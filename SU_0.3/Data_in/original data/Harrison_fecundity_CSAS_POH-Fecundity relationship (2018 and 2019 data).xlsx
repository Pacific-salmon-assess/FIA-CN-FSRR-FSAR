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rkenc\Documents\Fraser Chinook\Harrison\fecundity\"/>
    </mc:Choice>
  </mc:AlternateContent>
  <xr:revisionPtr revIDLastSave="0" documentId="8_{C7A508CF-8E67-4997-AF3C-1290FFA8AD5A}" xr6:coauthVersionLast="47" xr6:coauthVersionMax="47" xr10:uidLastSave="{00000000-0000-0000-0000-000000000000}"/>
  <bookViews>
    <workbookView xWindow="-120" yWindow="-120" windowWidth="29040" windowHeight="17520" xr2:uid="{802C9BC1-E949-4238-B78D-5662F4CD01B3}"/>
  </bookViews>
  <sheets>
    <sheet name="Harrison POH-fecundity rel'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7" i="1" l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N7" i="1"/>
  <c r="E7" i="1"/>
  <c r="D7" i="1"/>
  <c r="E6" i="1"/>
  <c r="D6" i="1"/>
  <c r="E5" i="1"/>
  <c r="D5" i="1"/>
  <c r="H4" i="1"/>
  <c r="E4" i="1"/>
  <c r="H8" i="1" s="1"/>
  <c r="D4" i="1"/>
  <c r="N3" i="1"/>
  <c r="H3" i="1"/>
  <c r="E3" i="1"/>
  <c r="D3" i="1"/>
  <c r="H2" i="1"/>
  <c r="J3" i="1" s="1"/>
  <c r="K3" i="1" l="1"/>
  <c r="L3" i="1"/>
  <c r="H6" i="1"/>
  <c r="H7" i="1"/>
  <c r="J7" i="1" l="1"/>
  <c r="L7" i="1" l="1"/>
  <c r="K7" i="1"/>
</calcChain>
</file>

<file path=xl/sharedStrings.xml><?xml version="1.0" encoding="utf-8"?>
<sst xmlns="http://schemas.openxmlformats.org/spreadsheetml/2006/main" count="54" uniqueCount="44">
  <si>
    <t>n</t>
  </si>
  <si>
    <t>SUMMARY OUTPUT</t>
  </si>
  <si>
    <t>Year</t>
  </si>
  <si>
    <t>POH</t>
  </si>
  <si>
    <t>Fecundity</t>
  </si>
  <si>
    <t>ln(POH)</t>
  </si>
  <si>
    <t>ln(fecundity)</t>
  </si>
  <si>
    <t>Slope</t>
  </si>
  <si>
    <t>x</t>
  </si>
  <si>
    <t>pred</t>
  </si>
  <si>
    <t>LCL</t>
  </si>
  <si>
    <t>UCL</t>
  </si>
  <si>
    <t>t(n-2)</t>
  </si>
  <si>
    <t>Sy</t>
  </si>
  <si>
    <t>intercept</t>
  </si>
  <si>
    <t>Regression Statistics</t>
  </si>
  <si>
    <t>steyx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</si>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</sst>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164" fontId="0" fillId="0" borderId="0" xfId="0" applyNumberFormat="1"/>
    <xf numFmtId="1" fontId="0" fillId="0" borderId="0" xfId="0" applyNumberFormat="1"/>
    <xf numFmtId="0" fontId="1" fillId="0" borderId="3" xfId="0" applyFont="1" applyBorder="1" applyAlignment="1">
      <alignment horizontal="centerContinuous"/>
    </xf>
    <xf numFmtId="0" fontId="0" fillId="0" borderId="4" xfId="0" applyBorder="1" applyAlignment="1">
      <alignment horizontal="center"/>
    </xf>
    <xf numFmtId="0" fontId="0" fillId="0" borderId="5" xfId="0" applyBorder="1"/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and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078302712160974E-2"/>
                  <c:y val="-0.378143205783487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'Harrison POH-fecundity rel''p'!$B$3:$B$237</c:f>
              <c:numCache>
                <c:formatCode>General</c:formatCode>
                <c:ptCount val="235"/>
                <c:pt idx="0">
                  <c:v>625</c:v>
                </c:pt>
                <c:pt idx="1">
                  <c:v>670</c:v>
                </c:pt>
                <c:pt idx="2">
                  <c:v>688</c:v>
                </c:pt>
                <c:pt idx="3">
                  <c:v>614</c:v>
                </c:pt>
                <c:pt idx="4">
                  <c:v>658</c:v>
                </c:pt>
                <c:pt idx="5">
                  <c:v>621</c:v>
                </c:pt>
                <c:pt idx="6">
                  <c:v>604</c:v>
                </c:pt>
                <c:pt idx="7">
                  <c:v>694</c:v>
                </c:pt>
                <c:pt idx="8">
                  <c:v>667</c:v>
                </c:pt>
                <c:pt idx="9">
                  <c:v>706</c:v>
                </c:pt>
                <c:pt idx="10">
                  <c:v>587</c:v>
                </c:pt>
                <c:pt idx="11">
                  <c:v>657</c:v>
                </c:pt>
                <c:pt idx="12">
                  <c:v>725</c:v>
                </c:pt>
                <c:pt idx="13">
                  <c:v>583</c:v>
                </c:pt>
                <c:pt idx="14">
                  <c:v>615</c:v>
                </c:pt>
                <c:pt idx="15">
                  <c:v>651</c:v>
                </c:pt>
                <c:pt idx="16">
                  <c:v>574</c:v>
                </c:pt>
                <c:pt idx="17">
                  <c:v>681</c:v>
                </c:pt>
                <c:pt idx="18">
                  <c:v>577</c:v>
                </c:pt>
                <c:pt idx="19">
                  <c:v>738</c:v>
                </c:pt>
                <c:pt idx="20">
                  <c:v>762</c:v>
                </c:pt>
                <c:pt idx="21">
                  <c:v>783</c:v>
                </c:pt>
                <c:pt idx="22">
                  <c:v>813</c:v>
                </c:pt>
                <c:pt idx="23">
                  <c:v>643</c:v>
                </c:pt>
                <c:pt idx="24">
                  <c:v>698</c:v>
                </c:pt>
                <c:pt idx="25">
                  <c:v>692</c:v>
                </c:pt>
                <c:pt idx="26">
                  <c:v>719</c:v>
                </c:pt>
                <c:pt idx="27">
                  <c:v>618</c:v>
                </c:pt>
                <c:pt idx="28">
                  <c:v>705</c:v>
                </c:pt>
                <c:pt idx="29">
                  <c:v>668</c:v>
                </c:pt>
                <c:pt idx="30">
                  <c:v>651</c:v>
                </c:pt>
                <c:pt idx="31">
                  <c:v>618</c:v>
                </c:pt>
                <c:pt idx="32">
                  <c:v>684</c:v>
                </c:pt>
                <c:pt idx="33">
                  <c:v>599</c:v>
                </c:pt>
                <c:pt idx="34">
                  <c:v>700</c:v>
                </c:pt>
                <c:pt idx="35">
                  <c:v>731</c:v>
                </c:pt>
                <c:pt idx="36">
                  <c:v>678</c:v>
                </c:pt>
                <c:pt idx="37">
                  <c:v>609</c:v>
                </c:pt>
                <c:pt idx="38">
                  <c:v>653</c:v>
                </c:pt>
                <c:pt idx="39">
                  <c:v>731</c:v>
                </c:pt>
                <c:pt idx="40">
                  <c:v>620</c:v>
                </c:pt>
                <c:pt idx="41">
                  <c:v>771</c:v>
                </c:pt>
                <c:pt idx="42">
                  <c:v>600</c:v>
                </c:pt>
                <c:pt idx="43">
                  <c:v>574</c:v>
                </c:pt>
                <c:pt idx="44">
                  <c:v>701</c:v>
                </c:pt>
                <c:pt idx="45">
                  <c:v>617</c:v>
                </c:pt>
                <c:pt idx="46">
                  <c:v>619</c:v>
                </c:pt>
                <c:pt idx="47">
                  <c:v>706</c:v>
                </c:pt>
                <c:pt idx="48">
                  <c:v>685</c:v>
                </c:pt>
                <c:pt idx="49">
                  <c:v>710</c:v>
                </c:pt>
                <c:pt idx="50">
                  <c:v>715</c:v>
                </c:pt>
                <c:pt idx="51">
                  <c:v>676</c:v>
                </c:pt>
                <c:pt idx="52">
                  <c:v>694</c:v>
                </c:pt>
                <c:pt idx="53">
                  <c:v>587</c:v>
                </c:pt>
                <c:pt idx="54">
                  <c:v>752</c:v>
                </c:pt>
                <c:pt idx="55">
                  <c:v>700</c:v>
                </c:pt>
                <c:pt idx="56">
                  <c:v>719</c:v>
                </c:pt>
                <c:pt idx="57">
                  <c:v>667</c:v>
                </c:pt>
                <c:pt idx="58">
                  <c:v>743</c:v>
                </c:pt>
                <c:pt idx="59">
                  <c:v>625</c:v>
                </c:pt>
                <c:pt idx="60">
                  <c:v>612</c:v>
                </c:pt>
                <c:pt idx="61">
                  <c:v>632</c:v>
                </c:pt>
                <c:pt idx="62">
                  <c:v>579</c:v>
                </c:pt>
                <c:pt idx="63">
                  <c:v>742</c:v>
                </c:pt>
                <c:pt idx="64">
                  <c:v>702</c:v>
                </c:pt>
                <c:pt idx="65">
                  <c:v>646</c:v>
                </c:pt>
                <c:pt idx="66">
                  <c:v>702</c:v>
                </c:pt>
                <c:pt idx="67">
                  <c:v>621</c:v>
                </c:pt>
                <c:pt idx="68">
                  <c:v>593</c:v>
                </c:pt>
                <c:pt idx="69">
                  <c:v>590</c:v>
                </c:pt>
                <c:pt idx="70">
                  <c:v>729</c:v>
                </c:pt>
                <c:pt idx="71">
                  <c:v>589</c:v>
                </c:pt>
                <c:pt idx="72">
                  <c:v>654</c:v>
                </c:pt>
                <c:pt idx="73">
                  <c:v>616</c:v>
                </c:pt>
                <c:pt idx="74">
                  <c:v>609</c:v>
                </c:pt>
                <c:pt idx="75">
                  <c:v>695</c:v>
                </c:pt>
                <c:pt idx="76">
                  <c:v>622</c:v>
                </c:pt>
                <c:pt idx="77">
                  <c:v>588</c:v>
                </c:pt>
                <c:pt idx="78">
                  <c:v>576</c:v>
                </c:pt>
                <c:pt idx="79">
                  <c:v>749</c:v>
                </c:pt>
                <c:pt idx="80">
                  <c:v>704</c:v>
                </c:pt>
                <c:pt idx="81">
                  <c:v>583</c:v>
                </c:pt>
                <c:pt idx="82">
                  <c:v>584</c:v>
                </c:pt>
                <c:pt idx="83">
                  <c:v>583</c:v>
                </c:pt>
                <c:pt idx="84">
                  <c:v>617</c:v>
                </c:pt>
                <c:pt idx="85">
                  <c:v>648</c:v>
                </c:pt>
                <c:pt idx="86">
                  <c:v>683</c:v>
                </c:pt>
                <c:pt idx="87">
                  <c:v>649</c:v>
                </c:pt>
                <c:pt idx="88">
                  <c:v>796</c:v>
                </c:pt>
                <c:pt idx="89">
                  <c:v>705</c:v>
                </c:pt>
                <c:pt idx="90">
                  <c:v>674</c:v>
                </c:pt>
                <c:pt idx="91">
                  <c:v>616</c:v>
                </c:pt>
                <c:pt idx="92">
                  <c:v>754</c:v>
                </c:pt>
                <c:pt idx="93">
                  <c:v>573</c:v>
                </c:pt>
                <c:pt idx="94">
                  <c:v>737</c:v>
                </c:pt>
                <c:pt idx="95">
                  <c:v>732</c:v>
                </c:pt>
                <c:pt idx="96">
                  <c:v>706</c:v>
                </c:pt>
                <c:pt idx="97">
                  <c:v>634</c:v>
                </c:pt>
                <c:pt idx="98">
                  <c:v>652</c:v>
                </c:pt>
                <c:pt idx="99">
                  <c:v>732</c:v>
                </c:pt>
                <c:pt idx="100">
                  <c:v>800</c:v>
                </c:pt>
                <c:pt idx="101">
                  <c:v>704</c:v>
                </c:pt>
                <c:pt idx="102">
                  <c:v>601</c:v>
                </c:pt>
                <c:pt idx="103">
                  <c:v>715</c:v>
                </c:pt>
                <c:pt idx="104">
                  <c:v>615</c:v>
                </c:pt>
                <c:pt idx="105">
                  <c:v>688</c:v>
                </c:pt>
                <c:pt idx="106">
                  <c:v>594</c:v>
                </c:pt>
                <c:pt idx="107">
                  <c:v>652</c:v>
                </c:pt>
                <c:pt idx="108">
                  <c:v>645</c:v>
                </c:pt>
                <c:pt idx="109">
                  <c:v>643</c:v>
                </c:pt>
                <c:pt idx="110">
                  <c:v>696</c:v>
                </c:pt>
                <c:pt idx="111">
                  <c:v>673</c:v>
                </c:pt>
                <c:pt idx="112">
                  <c:v>564</c:v>
                </c:pt>
                <c:pt idx="113">
                  <c:v>730</c:v>
                </c:pt>
                <c:pt idx="114">
                  <c:v>634</c:v>
                </c:pt>
                <c:pt idx="115">
                  <c:v>705</c:v>
                </c:pt>
                <c:pt idx="116">
                  <c:v>621</c:v>
                </c:pt>
                <c:pt idx="117">
                  <c:v>693</c:v>
                </c:pt>
                <c:pt idx="118">
                  <c:v>690</c:v>
                </c:pt>
                <c:pt idx="119">
                  <c:v>588</c:v>
                </c:pt>
                <c:pt idx="120">
                  <c:v>583</c:v>
                </c:pt>
                <c:pt idx="121">
                  <c:v>702</c:v>
                </c:pt>
                <c:pt idx="122">
                  <c:v>739</c:v>
                </c:pt>
                <c:pt idx="123">
                  <c:v>624</c:v>
                </c:pt>
                <c:pt idx="124">
                  <c:v>644</c:v>
                </c:pt>
                <c:pt idx="125">
                  <c:v>718</c:v>
                </c:pt>
                <c:pt idx="126">
                  <c:v>637</c:v>
                </c:pt>
                <c:pt idx="127">
                  <c:v>950</c:v>
                </c:pt>
                <c:pt idx="128">
                  <c:v>797</c:v>
                </c:pt>
                <c:pt idx="129">
                  <c:v>874</c:v>
                </c:pt>
                <c:pt idx="130">
                  <c:v>853</c:v>
                </c:pt>
                <c:pt idx="131">
                  <c:v>863</c:v>
                </c:pt>
                <c:pt idx="132">
                  <c:v>904</c:v>
                </c:pt>
                <c:pt idx="133">
                  <c:v>960</c:v>
                </c:pt>
                <c:pt idx="134">
                  <c:v>838</c:v>
                </c:pt>
                <c:pt idx="135">
                  <c:v>824</c:v>
                </c:pt>
                <c:pt idx="136">
                  <c:v>885</c:v>
                </c:pt>
                <c:pt idx="137">
                  <c:v>838</c:v>
                </c:pt>
                <c:pt idx="138">
                  <c:v>855</c:v>
                </c:pt>
                <c:pt idx="139">
                  <c:v>864</c:v>
                </c:pt>
                <c:pt idx="140">
                  <c:v>794</c:v>
                </c:pt>
                <c:pt idx="141">
                  <c:v>812</c:v>
                </c:pt>
                <c:pt idx="142">
                  <c:v>679</c:v>
                </c:pt>
                <c:pt idx="143">
                  <c:v>730</c:v>
                </c:pt>
                <c:pt idx="144">
                  <c:v>732</c:v>
                </c:pt>
                <c:pt idx="145">
                  <c:v>727</c:v>
                </c:pt>
                <c:pt idx="146">
                  <c:v>696</c:v>
                </c:pt>
                <c:pt idx="147">
                  <c:v>703</c:v>
                </c:pt>
                <c:pt idx="148">
                  <c:v>596</c:v>
                </c:pt>
                <c:pt idx="149">
                  <c:v>652</c:v>
                </c:pt>
                <c:pt idx="150">
                  <c:v>683</c:v>
                </c:pt>
                <c:pt idx="151">
                  <c:v>735</c:v>
                </c:pt>
                <c:pt idx="152">
                  <c:v>661</c:v>
                </c:pt>
                <c:pt idx="153">
                  <c:v>747</c:v>
                </c:pt>
                <c:pt idx="154">
                  <c:v>743</c:v>
                </c:pt>
                <c:pt idx="155">
                  <c:v>673</c:v>
                </c:pt>
                <c:pt idx="156">
                  <c:v>718</c:v>
                </c:pt>
                <c:pt idx="157">
                  <c:v>621</c:v>
                </c:pt>
                <c:pt idx="158">
                  <c:v>713</c:v>
                </c:pt>
                <c:pt idx="159">
                  <c:v>698</c:v>
                </c:pt>
                <c:pt idx="160">
                  <c:v>679</c:v>
                </c:pt>
                <c:pt idx="161">
                  <c:v>656</c:v>
                </c:pt>
                <c:pt idx="162">
                  <c:v>672</c:v>
                </c:pt>
                <c:pt idx="163">
                  <c:v>735</c:v>
                </c:pt>
                <c:pt idx="164">
                  <c:v>772</c:v>
                </c:pt>
                <c:pt idx="165">
                  <c:v>763</c:v>
                </c:pt>
                <c:pt idx="166">
                  <c:v>698</c:v>
                </c:pt>
                <c:pt idx="167">
                  <c:v>585</c:v>
                </c:pt>
                <c:pt idx="168">
                  <c:v>820</c:v>
                </c:pt>
                <c:pt idx="169">
                  <c:v>795</c:v>
                </c:pt>
                <c:pt idx="170">
                  <c:v>805</c:v>
                </c:pt>
                <c:pt idx="171">
                  <c:v>935</c:v>
                </c:pt>
                <c:pt idx="172">
                  <c:v>911</c:v>
                </c:pt>
                <c:pt idx="173">
                  <c:v>904</c:v>
                </c:pt>
                <c:pt idx="174">
                  <c:v>920</c:v>
                </c:pt>
                <c:pt idx="175">
                  <c:v>841</c:v>
                </c:pt>
                <c:pt idx="176">
                  <c:v>839</c:v>
                </c:pt>
                <c:pt idx="177">
                  <c:v>879</c:v>
                </c:pt>
                <c:pt idx="178">
                  <c:v>1010</c:v>
                </c:pt>
                <c:pt idx="179">
                  <c:v>677</c:v>
                </c:pt>
                <c:pt idx="180">
                  <c:v>606</c:v>
                </c:pt>
                <c:pt idx="181">
                  <c:v>681</c:v>
                </c:pt>
                <c:pt idx="182">
                  <c:v>677</c:v>
                </c:pt>
                <c:pt idx="183">
                  <c:v>640</c:v>
                </c:pt>
                <c:pt idx="184">
                  <c:v>628</c:v>
                </c:pt>
                <c:pt idx="185">
                  <c:v>610</c:v>
                </c:pt>
                <c:pt idx="186">
                  <c:v>721</c:v>
                </c:pt>
                <c:pt idx="187">
                  <c:v>696</c:v>
                </c:pt>
                <c:pt idx="188">
                  <c:v>633</c:v>
                </c:pt>
                <c:pt idx="189">
                  <c:v>744</c:v>
                </c:pt>
                <c:pt idx="190">
                  <c:v>670</c:v>
                </c:pt>
                <c:pt idx="191">
                  <c:v>709</c:v>
                </c:pt>
                <c:pt idx="192">
                  <c:v>702</c:v>
                </c:pt>
                <c:pt idx="193">
                  <c:v>665</c:v>
                </c:pt>
                <c:pt idx="194">
                  <c:v>722</c:v>
                </c:pt>
                <c:pt idx="195">
                  <c:v>722</c:v>
                </c:pt>
                <c:pt idx="196">
                  <c:v>735</c:v>
                </c:pt>
                <c:pt idx="197">
                  <c:v>753</c:v>
                </c:pt>
                <c:pt idx="198">
                  <c:v>703</c:v>
                </c:pt>
                <c:pt idx="199">
                  <c:v>759</c:v>
                </c:pt>
                <c:pt idx="200">
                  <c:v>706</c:v>
                </c:pt>
                <c:pt idx="201">
                  <c:v>725</c:v>
                </c:pt>
                <c:pt idx="202">
                  <c:v>657</c:v>
                </c:pt>
                <c:pt idx="203">
                  <c:v>686</c:v>
                </c:pt>
                <c:pt idx="204">
                  <c:v>738</c:v>
                </c:pt>
                <c:pt idx="205">
                  <c:v>687</c:v>
                </c:pt>
                <c:pt idx="206">
                  <c:v>808</c:v>
                </c:pt>
                <c:pt idx="207">
                  <c:v>855</c:v>
                </c:pt>
                <c:pt idx="208">
                  <c:v>935</c:v>
                </c:pt>
                <c:pt idx="209">
                  <c:v>789</c:v>
                </c:pt>
                <c:pt idx="210">
                  <c:v>877</c:v>
                </c:pt>
                <c:pt idx="211">
                  <c:v>911</c:v>
                </c:pt>
                <c:pt idx="212">
                  <c:v>839</c:v>
                </c:pt>
                <c:pt idx="213">
                  <c:v>894</c:v>
                </c:pt>
                <c:pt idx="214">
                  <c:v>920</c:v>
                </c:pt>
                <c:pt idx="215">
                  <c:v>910</c:v>
                </c:pt>
                <c:pt idx="216">
                  <c:v>865</c:v>
                </c:pt>
                <c:pt idx="217">
                  <c:v>874</c:v>
                </c:pt>
                <c:pt idx="218">
                  <c:v>863</c:v>
                </c:pt>
                <c:pt idx="219">
                  <c:v>883</c:v>
                </c:pt>
                <c:pt idx="220">
                  <c:v>905</c:v>
                </c:pt>
                <c:pt idx="221">
                  <c:v>650</c:v>
                </c:pt>
                <c:pt idx="222">
                  <c:v>628</c:v>
                </c:pt>
                <c:pt idx="223">
                  <c:v>741</c:v>
                </c:pt>
                <c:pt idx="224">
                  <c:v>719</c:v>
                </c:pt>
                <c:pt idx="225">
                  <c:v>695</c:v>
                </c:pt>
                <c:pt idx="226">
                  <c:v>676</c:v>
                </c:pt>
                <c:pt idx="227">
                  <c:v>805</c:v>
                </c:pt>
                <c:pt idx="228">
                  <c:v>723</c:v>
                </c:pt>
                <c:pt idx="229">
                  <c:v>716</c:v>
                </c:pt>
                <c:pt idx="230">
                  <c:v>617</c:v>
                </c:pt>
                <c:pt idx="231">
                  <c:v>704</c:v>
                </c:pt>
                <c:pt idx="232">
                  <c:v>728</c:v>
                </c:pt>
                <c:pt idx="233">
                  <c:v>716</c:v>
                </c:pt>
                <c:pt idx="234">
                  <c:v>689</c:v>
                </c:pt>
              </c:numCache>
            </c:numRef>
          </c:xVal>
          <c:yVal>
            <c:numRef>
              <c:f>'Harrison POH-fecundity rel''p'!$C$3:$C$237</c:f>
              <c:numCache>
                <c:formatCode>General</c:formatCode>
                <c:ptCount val="235"/>
                <c:pt idx="0">
                  <c:v>3400</c:v>
                </c:pt>
                <c:pt idx="1">
                  <c:v>4998</c:v>
                </c:pt>
                <c:pt idx="2">
                  <c:v>3528</c:v>
                </c:pt>
                <c:pt idx="3">
                  <c:v>4061</c:v>
                </c:pt>
                <c:pt idx="4">
                  <c:v>3761</c:v>
                </c:pt>
                <c:pt idx="5">
                  <c:v>3753</c:v>
                </c:pt>
                <c:pt idx="6">
                  <c:v>2868</c:v>
                </c:pt>
                <c:pt idx="7">
                  <c:v>4816</c:v>
                </c:pt>
                <c:pt idx="8">
                  <c:v>4516</c:v>
                </c:pt>
                <c:pt idx="9">
                  <c:v>2227</c:v>
                </c:pt>
                <c:pt idx="10">
                  <c:v>3862</c:v>
                </c:pt>
                <c:pt idx="11">
                  <c:v>4747</c:v>
                </c:pt>
                <c:pt idx="12">
                  <c:v>4998</c:v>
                </c:pt>
                <c:pt idx="13">
                  <c:v>3402</c:v>
                </c:pt>
                <c:pt idx="14">
                  <c:v>3815</c:v>
                </c:pt>
                <c:pt idx="15">
                  <c:v>3285</c:v>
                </c:pt>
                <c:pt idx="16">
                  <c:v>2843</c:v>
                </c:pt>
                <c:pt idx="17">
                  <c:v>4868</c:v>
                </c:pt>
                <c:pt idx="18">
                  <c:v>2877</c:v>
                </c:pt>
                <c:pt idx="19">
                  <c:v>5768</c:v>
                </c:pt>
                <c:pt idx="20">
                  <c:v>4909</c:v>
                </c:pt>
                <c:pt idx="21">
                  <c:v>4328</c:v>
                </c:pt>
                <c:pt idx="22">
                  <c:v>5669</c:v>
                </c:pt>
                <c:pt idx="23">
                  <c:v>2790</c:v>
                </c:pt>
                <c:pt idx="24">
                  <c:v>4589</c:v>
                </c:pt>
                <c:pt idx="25">
                  <c:v>3804</c:v>
                </c:pt>
                <c:pt idx="26">
                  <c:v>3865</c:v>
                </c:pt>
                <c:pt idx="27">
                  <c:v>2482</c:v>
                </c:pt>
                <c:pt idx="28">
                  <c:v>3746</c:v>
                </c:pt>
                <c:pt idx="29">
                  <c:v>3565</c:v>
                </c:pt>
                <c:pt idx="30">
                  <c:v>3535</c:v>
                </c:pt>
                <c:pt idx="31">
                  <c:v>4148</c:v>
                </c:pt>
                <c:pt idx="32">
                  <c:v>3698</c:v>
                </c:pt>
                <c:pt idx="33">
                  <c:v>4003</c:v>
                </c:pt>
                <c:pt idx="34">
                  <c:v>5028</c:v>
                </c:pt>
                <c:pt idx="35">
                  <c:v>4324</c:v>
                </c:pt>
                <c:pt idx="36">
                  <c:v>3827</c:v>
                </c:pt>
                <c:pt idx="37">
                  <c:v>2486</c:v>
                </c:pt>
                <c:pt idx="38">
                  <c:v>6288</c:v>
                </c:pt>
                <c:pt idx="39">
                  <c:v>5256</c:v>
                </c:pt>
                <c:pt idx="40">
                  <c:v>3345</c:v>
                </c:pt>
                <c:pt idx="41">
                  <c:v>2208</c:v>
                </c:pt>
                <c:pt idx="42">
                  <c:v>4025</c:v>
                </c:pt>
                <c:pt idx="43">
                  <c:v>3169</c:v>
                </c:pt>
                <c:pt idx="44">
                  <c:v>3699</c:v>
                </c:pt>
                <c:pt idx="45">
                  <c:v>2649</c:v>
                </c:pt>
                <c:pt idx="46">
                  <c:v>2188</c:v>
                </c:pt>
                <c:pt idx="47">
                  <c:v>4642</c:v>
                </c:pt>
                <c:pt idx="48">
                  <c:v>3995</c:v>
                </c:pt>
                <c:pt idx="49">
                  <c:v>4722</c:v>
                </c:pt>
                <c:pt idx="50">
                  <c:v>4659</c:v>
                </c:pt>
                <c:pt idx="51">
                  <c:v>4506</c:v>
                </c:pt>
                <c:pt idx="52">
                  <c:v>4257</c:v>
                </c:pt>
                <c:pt idx="53">
                  <c:v>1634</c:v>
                </c:pt>
                <c:pt idx="54">
                  <c:v>6082</c:v>
                </c:pt>
                <c:pt idx="55">
                  <c:v>4936</c:v>
                </c:pt>
                <c:pt idx="56">
                  <c:v>4830</c:v>
                </c:pt>
                <c:pt idx="57">
                  <c:v>4305</c:v>
                </c:pt>
                <c:pt idx="58">
                  <c:v>5427</c:v>
                </c:pt>
                <c:pt idx="59">
                  <c:v>2662</c:v>
                </c:pt>
                <c:pt idx="60">
                  <c:v>3141</c:v>
                </c:pt>
                <c:pt idx="61">
                  <c:v>2635</c:v>
                </c:pt>
                <c:pt idx="62">
                  <c:v>2856</c:v>
                </c:pt>
                <c:pt idx="63">
                  <c:v>5496</c:v>
                </c:pt>
                <c:pt idx="64">
                  <c:v>5497</c:v>
                </c:pt>
                <c:pt idx="65">
                  <c:v>2233</c:v>
                </c:pt>
                <c:pt idx="66">
                  <c:v>3651</c:v>
                </c:pt>
                <c:pt idx="67">
                  <c:v>3084</c:v>
                </c:pt>
                <c:pt idx="68">
                  <c:v>3441</c:v>
                </c:pt>
                <c:pt idx="69">
                  <c:v>3557</c:v>
                </c:pt>
                <c:pt idx="70">
                  <c:v>5453</c:v>
                </c:pt>
                <c:pt idx="71">
                  <c:v>2707</c:v>
                </c:pt>
                <c:pt idx="72">
                  <c:v>3962</c:v>
                </c:pt>
                <c:pt idx="73">
                  <c:v>3952</c:v>
                </c:pt>
                <c:pt idx="74">
                  <c:v>3937</c:v>
                </c:pt>
                <c:pt idx="75">
                  <c:v>3664</c:v>
                </c:pt>
                <c:pt idx="76">
                  <c:v>3672</c:v>
                </c:pt>
                <c:pt idx="77">
                  <c:v>3692</c:v>
                </c:pt>
                <c:pt idx="78">
                  <c:v>3202</c:v>
                </c:pt>
                <c:pt idx="79">
                  <c:v>5571</c:v>
                </c:pt>
                <c:pt idx="80">
                  <c:v>4047</c:v>
                </c:pt>
                <c:pt idx="81">
                  <c:v>4400</c:v>
                </c:pt>
                <c:pt idx="82">
                  <c:v>3703</c:v>
                </c:pt>
                <c:pt idx="83">
                  <c:v>3036</c:v>
                </c:pt>
                <c:pt idx="84">
                  <c:v>3473</c:v>
                </c:pt>
                <c:pt idx="85">
                  <c:v>5631</c:v>
                </c:pt>
                <c:pt idx="86">
                  <c:v>4381</c:v>
                </c:pt>
                <c:pt idx="87">
                  <c:v>3698</c:v>
                </c:pt>
                <c:pt idx="88">
                  <c:v>6032</c:v>
                </c:pt>
                <c:pt idx="89">
                  <c:v>1401</c:v>
                </c:pt>
                <c:pt idx="90">
                  <c:v>2121</c:v>
                </c:pt>
                <c:pt idx="91">
                  <c:v>3510</c:v>
                </c:pt>
                <c:pt idx="92">
                  <c:v>5371</c:v>
                </c:pt>
                <c:pt idx="93">
                  <c:v>2033</c:v>
                </c:pt>
                <c:pt idx="94">
                  <c:v>8630</c:v>
                </c:pt>
                <c:pt idx="95">
                  <c:v>5405</c:v>
                </c:pt>
                <c:pt idx="96">
                  <c:v>4189</c:v>
                </c:pt>
                <c:pt idx="97">
                  <c:v>3523</c:v>
                </c:pt>
                <c:pt idx="98">
                  <c:v>2543</c:v>
                </c:pt>
                <c:pt idx="99">
                  <c:v>5849</c:v>
                </c:pt>
                <c:pt idx="100">
                  <c:v>4957</c:v>
                </c:pt>
                <c:pt idx="101">
                  <c:v>4048</c:v>
                </c:pt>
                <c:pt idx="102">
                  <c:v>3787</c:v>
                </c:pt>
                <c:pt idx="103">
                  <c:v>3205</c:v>
                </c:pt>
                <c:pt idx="104">
                  <c:v>5356</c:v>
                </c:pt>
                <c:pt idx="105">
                  <c:v>4214</c:v>
                </c:pt>
                <c:pt idx="106">
                  <c:v>4626</c:v>
                </c:pt>
                <c:pt idx="107">
                  <c:v>4857</c:v>
                </c:pt>
                <c:pt idx="108">
                  <c:v>3514</c:v>
                </c:pt>
                <c:pt idx="109">
                  <c:v>5361</c:v>
                </c:pt>
                <c:pt idx="110">
                  <c:v>4292</c:v>
                </c:pt>
                <c:pt idx="111">
                  <c:v>2741</c:v>
                </c:pt>
                <c:pt idx="112">
                  <c:v>3605</c:v>
                </c:pt>
                <c:pt idx="113">
                  <c:v>3773</c:v>
                </c:pt>
                <c:pt idx="114">
                  <c:v>4590</c:v>
                </c:pt>
                <c:pt idx="115">
                  <c:v>3844</c:v>
                </c:pt>
                <c:pt idx="116">
                  <c:v>4534</c:v>
                </c:pt>
                <c:pt idx="117">
                  <c:v>2975</c:v>
                </c:pt>
                <c:pt idx="118">
                  <c:v>2689</c:v>
                </c:pt>
                <c:pt idx="119">
                  <c:v>2426</c:v>
                </c:pt>
                <c:pt idx="120">
                  <c:v>2953</c:v>
                </c:pt>
                <c:pt idx="121">
                  <c:v>5012</c:v>
                </c:pt>
                <c:pt idx="122">
                  <c:v>4299</c:v>
                </c:pt>
                <c:pt idx="123">
                  <c:v>4216</c:v>
                </c:pt>
                <c:pt idx="124">
                  <c:v>3979</c:v>
                </c:pt>
                <c:pt idx="125">
                  <c:v>4468</c:v>
                </c:pt>
                <c:pt idx="126">
                  <c:v>3337</c:v>
                </c:pt>
                <c:pt idx="127">
                  <c:v>4174</c:v>
                </c:pt>
                <c:pt idx="128">
                  <c:v>4334</c:v>
                </c:pt>
                <c:pt idx="129">
                  <c:v>3629</c:v>
                </c:pt>
                <c:pt idx="130">
                  <c:v>3815</c:v>
                </c:pt>
                <c:pt idx="131">
                  <c:v>2266</c:v>
                </c:pt>
                <c:pt idx="132">
                  <c:v>4758</c:v>
                </c:pt>
                <c:pt idx="133">
                  <c:v>5538</c:v>
                </c:pt>
                <c:pt idx="134">
                  <c:v>3219</c:v>
                </c:pt>
                <c:pt idx="135">
                  <c:v>4255</c:v>
                </c:pt>
                <c:pt idx="136">
                  <c:v>4407</c:v>
                </c:pt>
                <c:pt idx="137">
                  <c:v>3417</c:v>
                </c:pt>
                <c:pt idx="138">
                  <c:v>3740</c:v>
                </c:pt>
                <c:pt idx="139">
                  <c:v>4176</c:v>
                </c:pt>
                <c:pt idx="140">
                  <c:v>3507</c:v>
                </c:pt>
                <c:pt idx="141">
                  <c:v>3245</c:v>
                </c:pt>
                <c:pt idx="142">
                  <c:v>4216</c:v>
                </c:pt>
                <c:pt idx="143">
                  <c:v>5531</c:v>
                </c:pt>
                <c:pt idx="144">
                  <c:v>4876</c:v>
                </c:pt>
                <c:pt idx="145">
                  <c:v>4233</c:v>
                </c:pt>
                <c:pt idx="146">
                  <c:v>4991</c:v>
                </c:pt>
                <c:pt idx="147">
                  <c:v>4302</c:v>
                </c:pt>
                <c:pt idx="148">
                  <c:v>3771</c:v>
                </c:pt>
                <c:pt idx="149">
                  <c:v>3923</c:v>
                </c:pt>
                <c:pt idx="150">
                  <c:v>3907</c:v>
                </c:pt>
                <c:pt idx="151">
                  <c:v>2617</c:v>
                </c:pt>
                <c:pt idx="152">
                  <c:v>4500</c:v>
                </c:pt>
                <c:pt idx="153">
                  <c:v>4941</c:v>
                </c:pt>
                <c:pt idx="154">
                  <c:v>5075</c:v>
                </c:pt>
                <c:pt idx="155">
                  <c:v>4537</c:v>
                </c:pt>
                <c:pt idx="156">
                  <c:v>4794</c:v>
                </c:pt>
                <c:pt idx="157">
                  <c:v>4186</c:v>
                </c:pt>
                <c:pt idx="158">
                  <c:v>3521</c:v>
                </c:pt>
                <c:pt idx="159">
                  <c:v>2349</c:v>
                </c:pt>
                <c:pt idx="160">
                  <c:v>3978</c:v>
                </c:pt>
                <c:pt idx="161">
                  <c:v>4049</c:v>
                </c:pt>
                <c:pt idx="162">
                  <c:v>4421</c:v>
                </c:pt>
                <c:pt idx="163">
                  <c:v>4092</c:v>
                </c:pt>
                <c:pt idx="164">
                  <c:v>4751</c:v>
                </c:pt>
                <c:pt idx="165">
                  <c:v>5753</c:v>
                </c:pt>
                <c:pt idx="166">
                  <c:v>4219</c:v>
                </c:pt>
                <c:pt idx="167">
                  <c:v>2724</c:v>
                </c:pt>
                <c:pt idx="168">
                  <c:v>4466</c:v>
                </c:pt>
                <c:pt idx="169">
                  <c:v>3194</c:v>
                </c:pt>
                <c:pt idx="170">
                  <c:v>4379</c:v>
                </c:pt>
                <c:pt idx="171">
                  <c:v>5653</c:v>
                </c:pt>
                <c:pt idx="172">
                  <c:v>3438</c:v>
                </c:pt>
                <c:pt idx="173">
                  <c:v>4511</c:v>
                </c:pt>
                <c:pt idx="174">
                  <c:v>4444</c:v>
                </c:pt>
                <c:pt idx="175">
                  <c:v>4198</c:v>
                </c:pt>
                <c:pt idx="176">
                  <c:v>4045</c:v>
                </c:pt>
                <c:pt idx="177">
                  <c:v>3786</c:v>
                </c:pt>
                <c:pt idx="178">
                  <c:v>5883</c:v>
                </c:pt>
                <c:pt idx="179">
                  <c:v>3232</c:v>
                </c:pt>
                <c:pt idx="180">
                  <c:v>2856</c:v>
                </c:pt>
                <c:pt idx="181">
                  <c:v>4053</c:v>
                </c:pt>
                <c:pt idx="182">
                  <c:v>3449</c:v>
                </c:pt>
                <c:pt idx="183">
                  <c:v>4073</c:v>
                </c:pt>
                <c:pt idx="184">
                  <c:v>5003</c:v>
                </c:pt>
                <c:pt idx="185">
                  <c:v>2858</c:v>
                </c:pt>
                <c:pt idx="186">
                  <c:v>4991</c:v>
                </c:pt>
                <c:pt idx="187">
                  <c:v>4160</c:v>
                </c:pt>
                <c:pt idx="188">
                  <c:v>3535</c:v>
                </c:pt>
                <c:pt idx="189">
                  <c:v>4579</c:v>
                </c:pt>
                <c:pt idx="190">
                  <c:v>4092</c:v>
                </c:pt>
                <c:pt idx="191">
                  <c:v>4589</c:v>
                </c:pt>
                <c:pt idx="192">
                  <c:v>3486</c:v>
                </c:pt>
                <c:pt idx="193">
                  <c:v>4483</c:v>
                </c:pt>
                <c:pt idx="194">
                  <c:v>4599</c:v>
                </c:pt>
                <c:pt idx="195">
                  <c:v>3711</c:v>
                </c:pt>
                <c:pt idx="196">
                  <c:v>4476</c:v>
                </c:pt>
                <c:pt idx="197">
                  <c:v>4884</c:v>
                </c:pt>
                <c:pt idx="198">
                  <c:v>4157</c:v>
                </c:pt>
                <c:pt idx="199">
                  <c:v>5352</c:v>
                </c:pt>
                <c:pt idx="200">
                  <c:v>4252</c:v>
                </c:pt>
                <c:pt idx="201">
                  <c:v>4056</c:v>
                </c:pt>
                <c:pt idx="202">
                  <c:v>4070</c:v>
                </c:pt>
                <c:pt idx="203">
                  <c:v>3425</c:v>
                </c:pt>
                <c:pt idx="204">
                  <c:v>3625</c:v>
                </c:pt>
                <c:pt idx="205">
                  <c:v>4126</c:v>
                </c:pt>
                <c:pt idx="206">
                  <c:v>3638</c:v>
                </c:pt>
                <c:pt idx="207">
                  <c:v>3521</c:v>
                </c:pt>
                <c:pt idx="208">
                  <c:v>4418</c:v>
                </c:pt>
                <c:pt idx="209">
                  <c:v>5374</c:v>
                </c:pt>
                <c:pt idx="210">
                  <c:v>4911</c:v>
                </c:pt>
                <c:pt idx="211">
                  <c:v>5178</c:v>
                </c:pt>
                <c:pt idx="212">
                  <c:v>3685</c:v>
                </c:pt>
                <c:pt idx="213">
                  <c:v>4896</c:v>
                </c:pt>
                <c:pt idx="214">
                  <c:v>5410</c:v>
                </c:pt>
                <c:pt idx="215">
                  <c:v>4902</c:v>
                </c:pt>
                <c:pt idx="216">
                  <c:v>4749</c:v>
                </c:pt>
                <c:pt idx="217">
                  <c:v>4304</c:v>
                </c:pt>
                <c:pt idx="218">
                  <c:v>4503</c:v>
                </c:pt>
                <c:pt idx="219">
                  <c:v>5219</c:v>
                </c:pt>
                <c:pt idx="220">
                  <c:v>4218</c:v>
                </c:pt>
                <c:pt idx="221">
                  <c:v>5052</c:v>
                </c:pt>
                <c:pt idx="222">
                  <c:v>3387</c:v>
                </c:pt>
                <c:pt idx="223">
                  <c:v>4371</c:v>
                </c:pt>
                <c:pt idx="224">
                  <c:v>4016</c:v>
                </c:pt>
                <c:pt idx="225">
                  <c:v>4153</c:v>
                </c:pt>
                <c:pt idx="226">
                  <c:v>3400</c:v>
                </c:pt>
                <c:pt idx="227">
                  <c:v>5847</c:v>
                </c:pt>
                <c:pt idx="228">
                  <c:v>4867</c:v>
                </c:pt>
                <c:pt idx="229">
                  <c:v>4442</c:v>
                </c:pt>
                <c:pt idx="230">
                  <c:v>3194</c:v>
                </c:pt>
                <c:pt idx="231">
                  <c:v>4199</c:v>
                </c:pt>
                <c:pt idx="232">
                  <c:v>5250</c:v>
                </c:pt>
                <c:pt idx="233">
                  <c:v>4337</c:v>
                </c:pt>
                <c:pt idx="234">
                  <c:v>3746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8E-4379-B86F-113D0F226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202536"/>
        <c:axId val="820208768"/>
      </c:scatterChart>
      <c:valAx>
        <c:axId val="82020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08768"/>
        <c:crosses val="autoZero"/>
        <c:crossBetween val="midCat"/>
      </c:valAx>
      <c:valAx>
        <c:axId val="8202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0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and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089041994750655"/>
                  <c:y val="-0.25031680035322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'Harrison POH-fecundity rel''p'!$B$3:$B$123</c:f>
              <c:numCache>
                <c:formatCode>General</c:formatCode>
                <c:ptCount val="121"/>
                <c:pt idx="0">
                  <c:v>625</c:v>
                </c:pt>
                <c:pt idx="1">
                  <c:v>670</c:v>
                </c:pt>
                <c:pt idx="2">
                  <c:v>688</c:v>
                </c:pt>
                <c:pt idx="3">
                  <c:v>614</c:v>
                </c:pt>
                <c:pt idx="4">
                  <c:v>658</c:v>
                </c:pt>
                <c:pt idx="5">
                  <c:v>621</c:v>
                </c:pt>
                <c:pt idx="6">
                  <c:v>604</c:v>
                </c:pt>
                <c:pt idx="7">
                  <c:v>694</c:v>
                </c:pt>
                <c:pt idx="8">
                  <c:v>667</c:v>
                </c:pt>
                <c:pt idx="9">
                  <c:v>706</c:v>
                </c:pt>
                <c:pt idx="10">
                  <c:v>587</c:v>
                </c:pt>
                <c:pt idx="11">
                  <c:v>657</c:v>
                </c:pt>
                <c:pt idx="12">
                  <c:v>725</c:v>
                </c:pt>
                <c:pt idx="13">
                  <c:v>583</c:v>
                </c:pt>
                <c:pt idx="14">
                  <c:v>615</c:v>
                </c:pt>
                <c:pt idx="15">
                  <c:v>651</c:v>
                </c:pt>
                <c:pt idx="16">
                  <c:v>574</c:v>
                </c:pt>
                <c:pt idx="17">
                  <c:v>681</c:v>
                </c:pt>
                <c:pt idx="18">
                  <c:v>577</c:v>
                </c:pt>
                <c:pt idx="19">
                  <c:v>738</c:v>
                </c:pt>
                <c:pt idx="20">
                  <c:v>762</c:v>
                </c:pt>
                <c:pt idx="21">
                  <c:v>783</c:v>
                </c:pt>
                <c:pt idx="22">
                  <c:v>813</c:v>
                </c:pt>
                <c:pt idx="23">
                  <c:v>643</c:v>
                </c:pt>
                <c:pt idx="24">
                  <c:v>698</c:v>
                </c:pt>
                <c:pt idx="25">
                  <c:v>692</c:v>
                </c:pt>
                <c:pt idx="26">
                  <c:v>719</c:v>
                </c:pt>
                <c:pt idx="27">
                  <c:v>618</c:v>
                </c:pt>
                <c:pt idx="28">
                  <c:v>705</c:v>
                </c:pt>
                <c:pt idx="29">
                  <c:v>668</c:v>
                </c:pt>
                <c:pt idx="30">
                  <c:v>651</c:v>
                </c:pt>
                <c:pt idx="31">
                  <c:v>618</c:v>
                </c:pt>
                <c:pt idx="32">
                  <c:v>684</c:v>
                </c:pt>
                <c:pt idx="33">
                  <c:v>599</c:v>
                </c:pt>
                <c:pt idx="34">
                  <c:v>700</c:v>
                </c:pt>
                <c:pt idx="35">
                  <c:v>731</c:v>
                </c:pt>
                <c:pt idx="36">
                  <c:v>678</c:v>
                </c:pt>
                <c:pt idx="37">
                  <c:v>609</c:v>
                </c:pt>
                <c:pt idx="38">
                  <c:v>653</c:v>
                </c:pt>
                <c:pt idx="39">
                  <c:v>731</c:v>
                </c:pt>
                <c:pt idx="40">
                  <c:v>620</c:v>
                </c:pt>
                <c:pt idx="41">
                  <c:v>771</c:v>
                </c:pt>
                <c:pt idx="42">
                  <c:v>600</c:v>
                </c:pt>
                <c:pt idx="43">
                  <c:v>574</c:v>
                </c:pt>
                <c:pt idx="44">
                  <c:v>701</c:v>
                </c:pt>
                <c:pt idx="45">
                  <c:v>617</c:v>
                </c:pt>
                <c:pt idx="46">
                  <c:v>619</c:v>
                </c:pt>
                <c:pt idx="47">
                  <c:v>706</c:v>
                </c:pt>
                <c:pt idx="48">
                  <c:v>685</c:v>
                </c:pt>
                <c:pt idx="49">
                  <c:v>710</c:v>
                </c:pt>
                <c:pt idx="50">
                  <c:v>715</c:v>
                </c:pt>
                <c:pt idx="51">
                  <c:v>676</c:v>
                </c:pt>
                <c:pt idx="52">
                  <c:v>694</c:v>
                </c:pt>
                <c:pt idx="53">
                  <c:v>587</c:v>
                </c:pt>
                <c:pt idx="54">
                  <c:v>752</c:v>
                </c:pt>
                <c:pt idx="55">
                  <c:v>700</c:v>
                </c:pt>
                <c:pt idx="56">
                  <c:v>719</c:v>
                </c:pt>
                <c:pt idx="57">
                  <c:v>667</c:v>
                </c:pt>
                <c:pt idx="58">
                  <c:v>743</c:v>
                </c:pt>
                <c:pt idx="59">
                  <c:v>625</c:v>
                </c:pt>
                <c:pt idx="60">
                  <c:v>612</c:v>
                </c:pt>
                <c:pt idx="61">
                  <c:v>632</c:v>
                </c:pt>
                <c:pt idx="62">
                  <c:v>579</c:v>
                </c:pt>
                <c:pt idx="63">
                  <c:v>742</c:v>
                </c:pt>
                <c:pt idx="64">
                  <c:v>702</c:v>
                </c:pt>
                <c:pt idx="65">
                  <c:v>646</c:v>
                </c:pt>
                <c:pt idx="66">
                  <c:v>702</c:v>
                </c:pt>
                <c:pt idx="67">
                  <c:v>621</c:v>
                </c:pt>
                <c:pt idx="68">
                  <c:v>593</c:v>
                </c:pt>
                <c:pt idx="69">
                  <c:v>590</c:v>
                </c:pt>
                <c:pt idx="70">
                  <c:v>729</c:v>
                </c:pt>
                <c:pt idx="71">
                  <c:v>589</c:v>
                </c:pt>
                <c:pt idx="72">
                  <c:v>654</c:v>
                </c:pt>
                <c:pt idx="73">
                  <c:v>616</c:v>
                </c:pt>
                <c:pt idx="74">
                  <c:v>609</c:v>
                </c:pt>
                <c:pt idx="75">
                  <c:v>695</c:v>
                </c:pt>
                <c:pt idx="76">
                  <c:v>622</c:v>
                </c:pt>
                <c:pt idx="77">
                  <c:v>588</c:v>
                </c:pt>
                <c:pt idx="78">
                  <c:v>576</c:v>
                </c:pt>
                <c:pt idx="79">
                  <c:v>749</c:v>
                </c:pt>
                <c:pt idx="80">
                  <c:v>704</c:v>
                </c:pt>
                <c:pt idx="81">
                  <c:v>583</c:v>
                </c:pt>
                <c:pt idx="82">
                  <c:v>584</c:v>
                </c:pt>
                <c:pt idx="83">
                  <c:v>583</c:v>
                </c:pt>
                <c:pt idx="84">
                  <c:v>617</c:v>
                </c:pt>
                <c:pt idx="85">
                  <c:v>648</c:v>
                </c:pt>
                <c:pt idx="86">
                  <c:v>683</c:v>
                </c:pt>
                <c:pt idx="87">
                  <c:v>649</c:v>
                </c:pt>
                <c:pt idx="88">
                  <c:v>796</c:v>
                </c:pt>
                <c:pt idx="89">
                  <c:v>705</c:v>
                </c:pt>
                <c:pt idx="90">
                  <c:v>674</c:v>
                </c:pt>
                <c:pt idx="91">
                  <c:v>616</c:v>
                </c:pt>
                <c:pt idx="92">
                  <c:v>754</c:v>
                </c:pt>
                <c:pt idx="93">
                  <c:v>573</c:v>
                </c:pt>
                <c:pt idx="94">
                  <c:v>737</c:v>
                </c:pt>
                <c:pt idx="95">
                  <c:v>732</c:v>
                </c:pt>
                <c:pt idx="96">
                  <c:v>706</c:v>
                </c:pt>
                <c:pt idx="97">
                  <c:v>634</c:v>
                </c:pt>
                <c:pt idx="98">
                  <c:v>652</c:v>
                </c:pt>
                <c:pt idx="99">
                  <c:v>732</c:v>
                </c:pt>
                <c:pt idx="100">
                  <c:v>800</c:v>
                </c:pt>
                <c:pt idx="101">
                  <c:v>704</c:v>
                </c:pt>
                <c:pt idx="102">
                  <c:v>601</c:v>
                </c:pt>
                <c:pt idx="103">
                  <c:v>715</c:v>
                </c:pt>
                <c:pt idx="104">
                  <c:v>615</c:v>
                </c:pt>
                <c:pt idx="105">
                  <c:v>688</c:v>
                </c:pt>
                <c:pt idx="106">
                  <c:v>594</c:v>
                </c:pt>
                <c:pt idx="107">
                  <c:v>652</c:v>
                </c:pt>
                <c:pt idx="108">
                  <c:v>645</c:v>
                </c:pt>
                <c:pt idx="109">
                  <c:v>643</c:v>
                </c:pt>
                <c:pt idx="110">
                  <c:v>696</c:v>
                </c:pt>
                <c:pt idx="111">
                  <c:v>673</c:v>
                </c:pt>
                <c:pt idx="112">
                  <c:v>564</c:v>
                </c:pt>
                <c:pt idx="113">
                  <c:v>730</c:v>
                </c:pt>
                <c:pt idx="114">
                  <c:v>634</c:v>
                </c:pt>
                <c:pt idx="115">
                  <c:v>705</c:v>
                </c:pt>
                <c:pt idx="116">
                  <c:v>621</c:v>
                </c:pt>
                <c:pt idx="117">
                  <c:v>693</c:v>
                </c:pt>
                <c:pt idx="118">
                  <c:v>690</c:v>
                </c:pt>
                <c:pt idx="119">
                  <c:v>588</c:v>
                </c:pt>
                <c:pt idx="120">
                  <c:v>583</c:v>
                </c:pt>
              </c:numCache>
            </c:numRef>
          </c:xVal>
          <c:yVal>
            <c:numRef>
              <c:f>'Harrison POH-fecundity rel''p'!$C$3:$C$123</c:f>
              <c:numCache>
                <c:formatCode>General</c:formatCode>
                <c:ptCount val="121"/>
                <c:pt idx="0">
                  <c:v>3400</c:v>
                </c:pt>
                <c:pt idx="1">
                  <c:v>4998</c:v>
                </c:pt>
                <c:pt idx="2">
                  <c:v>3528</c:v>
                </c:pt>
                <c:pt idx="3">
                  <c:v>4061</c:v>
                </c:pt>
                <c:pt idx="4">
                  <c:v>3761</c:v>
                </c:pt>
                <c:pt idx="5">
                  <c:v>3753</c:v>
                </c:pt>
                <c:pt idx="6">
                  <c:v>2868</c:v>
                </c:pt>
                <c:pt idx="7">
                  <c:v>4816</c:v>
                </c:pt>
                <c:pt idx="8">
                  <c:v>4516</c:v>
                </c:pt>
                <c:pt idx="9">
                  <c:v>2227</c:v>
                </c:pt>
                <c:pt idx="10">
                  <c:v>3862</c:v>
                </c:pt>
                <c:pt idx="11">
                  <c:v>4747</c:v>
                </c:pt>
                <c:pt idx="12">
                  <c:v>4998</c:v>
                </c:pt>
                <c:pt idx="13">
                  <c:v>3402</c:v>
                </c:pt>
                <c:pt idx="14">
                  <c:v>3815</c:v>
                </c:pt>
                <c:pt idx="15">
                  <c:v>3285</c:v>
                </c:pt>
                <c:pt idx="16">
                  <c:v>2843</c:v>
                </c:pt>
                <c:pt idx="17">
                  <c:v>4868</c:v>
                </c:pt>
                <c:pt idx="18">
                  <c:v>2877</c:v>
                </c:pt>
                <c:pt idx="19">
                  <c:v>5768</c:v>
                </c:pt>
                <c:pt idx="20">
                  <c:v>4909</c:v>
                </c:pt>
                <c:pt idx="21">
                  <c:v>4328</c:v>
                </c:pt>
                <c:pt idx="22">
                  <c:v>5669</c:v>
                </c:pt>
                <c:pt idx="23">
                  <c:v>2790</c:v>
                </c:pt>
                <c:pt idx="24">
                  <c:v>4589</c:v>
                </c:pt>
                <c:pt idx="25">
                  <c:v>3804</c:v>
                </c:pt>
                <c:pt idx="26">
                  <c:v>3865</c:v>
                </c:pt>
                <c:pt idx="27">
                  <c:v>2482</c:v>
                </c:pt>
                <c:pt idx="28">
                  <c:v>3746</c:v>
                </c:pt>
                <c:pt idx="29">
                  <c:v>3565</c:v>
                </c:pt>
                <c:pt idx="30">
                  <c:v>3535</c:v>
                </c:pt>
                <c:pt idx="31">
                  <c:v>4148</c:v>
                </c:pt>
                <c:pt idx="32">
                  <c:v>3698</c:v>
                </c:pt>
                <c:pt idx="33">
                  <c:v>4003</c:v>
                </c:pt>
                <c:pt idx="34">
                  <c:v>5028</c:v>
                </c:pt>
                <c:pt idx="35">
                  <c:v>4324</c:v>
                </c:pt>
                <c:pt idx="36">
                  <c:v>3827</c:v>
                </c:pt>
                <c:pt idx="37">
                  <c:v>2486</c:v>
                </c:pt>
                <c:pt idx="38">
                  <c:v>6288</c:v>
                </c:pt>
                <c:pt idx="39">
                  <c:v>5256</c:v>
                </c:pt>
                <c:pt idx="40">
                  <c:v>3345</c:v>
                </c:pt>
                <c:pt idx="41">
                  <c:v>2208</c:v>
                </c:pt>
                <c:pt idx="42">
                  <c:v>4025</c:v>
                </c:pt>
                <c:pt idx="43">
                  <c:v>3169</c:v>
                </c:pt>
                <c:pt idx="44">
                  <c:v>3699</c:v>
                </c:pt>
                <c:pt idx="45">
                  <c:v>2649</c:v>
                </c:pt>
                <c:pt idx="46">
                  <c:v>2188</c:v>
                </c:pt>
                <c:pt idx="47">
                  <c:v>4642</c:v>
                </c:pt>
                <c:pt idx="48">
                  <c:v>3995</c:v>
                </c:pt>
                <c:pt idx="49">
                  <c:v>4722</c:v>
                </c:pt>
                <c:pt idx="50">
                  <c:v>4659</c:v>
                </c:pt>
                <c:pt idx="51">
                  <c:v>4506</c:v>
                </c:pt>
                <c:pt idx="52">
                  <c:v>4257</c:v>
                </c:pt>
                <c:pt idx="53">
                  <c:v>1634</c:v>
                </c:pt>
                <c:pt idx="54">
                  <c:v>6082</c:v>
                </c:pt>
                <c:pt idx="55">
                  <c:v>4936</c:v>
                </c:pt>
                <c:pt idx="56">
                  <c:v>4830</c:v>
                </c:pt>
                <c:pt idx="57">
                  <c:v>4305</c:v>
                </c:pt>
                <c:pt idx="58">
                  <c:v>5427</c:v>
                </c:pt>
                <c:pt idx="59">
                  <c:v>2662</c:v>
                </c:pt>
                <c:pt idx="60">
                  <c:v>3141</c:v>
                </c:pt>
                <c:pt idx="61">
                  <c:v>2635</c:v>
                </c:pt>
                <c:pt idx="62">
                  <c:v>2856</c:v>
                </c:pt>
                <c:pt idx="63">
                  <c:v>5496</c:v>
                </c:pt>
                <c:pt idx="64">
                  <c:v>5497</c:v>
                </c:pt>
                <c:pt idx="65">
                  <c:v>2233</c:v>
                </c:pt>
                <c:pt idx="66">
                  <c:v>3651</c:v>
                </c:pt>
                <c:pt idx="67">
                  <c:v>3084</c:v>
                </c:pt>
                <c:pt idx="68">
                  <c:v>3441</c:v>
                </c:pt>
                <c:pt idx="69">
                  <c:v>3557</c:v>
                </c:pt>
                <c:pt idx="70">
                  <c:v>5453</c:v>
                </c:pt>
                <c:pt idx="71">
                  <c:v>2707</c:v>
                </c:pt>
                <c:pt idx="72">
                  <c:v>3962</c:v>
                </c:pt>
                <c:pt idx="73">
                  <c:v>3952</c:v>
                </c:pt>
                <c:pt idx="74">
                  <c:v>3937</c:v>
                </c:pt>
                <c:pt idx="75">
                  <c:v>3664</c:v>
                </c:pt>
                <c:pt idx="76">
                  <c:v>3672</c:v>
                </c:pt>
                <c:pt idx="77">
                  <c:v>3692</c:v>
                </c:pt>
                <c:pt idx="78">
                  <c:v>3202</c:v>
                </c:pt>
                <c:pt idx="79">
                  <c:v>5571</c:v>
                </c:pt>
                <c:pt idx="80">
                  <c:v>4047</c:v>
                </c:pt>
                <c:pt idx="81">
                  <c:v>4400</c:v>
                </c:pt>
                <c:pt idx="82">
                  <c:v>3703</c:v>
                </c:pt>
                <c:pt idx="83">
                  <c:v>3036</c:v>
                </c:pt>
                <c:pt idx="84">
                  <c:v>3473</c:v>
                </c:pt>
                <c:pt idx="85">
                  <c:v>5631</c:v>
                </c:pt>
                <c:pt idx="86">
                  <c:v>4381</c:v>
                </c:pt>
                <c:pt idx="87">
                  <c:v>3698</c:v>
                </c:pt>
                <c:pt idx="88">
                  <c:v>6032</c:v>
                </c:pt>
                <c:pt idx="89">
                  <c:v>1401</c:v>
                </c:pt>
                <c:pt idx="90">
                  <c:v>2121</c:v>
                </c:pt>
                <c:pt idx="91">
                  <c:v>3510</c:v>
                </c:pt>
                <c:pt idx="92">
                  <c:v>5371</c:v>
                </c:pt>
                <c:pt idx="93">
                  <c:v>2033</c:v>
                </c:pt>
                <c:pt idx="94">
                  <c:v>8630</c:v>
                </c:pt>
                <c:pt idx="95">
                  <c:v>5405</c:v>
                </c:pt>
                <c:pt idx="96">
                  <c:v>4189</c:v>
                </c:pt>
                <c:pt idx="97">
                  <c:v>3523</c:v>
                </c:pt>
                <c:pt idx="98">
                  <c:v>2543</c:v>
                </c:pt>
                <c:pt idx="99">
                  <c:v>5849</c:v>
                </c:pt>
                <c:pt idx="100">
                  <c:v>4957</c:v>
                </c:pt>
                <c:pt idx="101">
                  <c:v>4048</c:v>
                </c:pt>
                <c:pt idx="102">
                  <c:v>3787</c:v>
                </c:pt>
                <c:pt idx="103">
                  <c:v>3205</c:v>
                </c:pt>
                <c:pt idx="104">
                  <c:v>5356</c:v>
                </c:pt>
                <c:pt idx="105">
                  <c:v>4214</c:v>
                </c:pt>
                <c:pt idx="106">
                  <c:v>4626</c:v>
                </c:pt>
                <c:pt idx="107">
                  <c:v>4857</c:v>
                </c:pt>
                <c:pt idx="108">
                  <c:v>3514</c:v>
                </c:pt>
                <c:pt idx="109">
                  <c:v>5361</c:v>
                </c:pt>
                <c:pt idx="110">
                  <c:v>4292</c:v>
                </c:pt>
                <c:pt idx="111">
                  <c:v>2741</c:v>
                </c:pt>
                <c:pt idx="112">
                  <c:v>3605</c:v>
                </c:pt>
                <c:pt idx="113">
                  <c:v>3773</c:v>
                </c:pt>
                <c:pt idx="114">
                  <c:v>4590</c:v>
                </c:pt>
                <c:pt idx="115">
                  <c:v>3844</c:v>
                </c:pt>
                <c:pt idx="116">
                  <c:v>4534</c:v>
                </c:pt>
                <c:pt idx="117">
                  <c:v>2975</c:v>
                </c:pt>
                <c:pt idx="118">
                  <c:v>2689</c:v>
                </c:pt>
                <c:pt idx="119">
                  <c:v>2426</c:v>
                </c:pt>
                <c:pt idx="120">
                  <c:v>2953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6F-4009-8B73-87F96033EE9D}"/>
            </c:ext>
          </c:extLst>
        </c:ser>
        <c:ser>
          <c:idx val="1"/>
          <c:order val="1"/>
          <c:tx>
            <c:v>2019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85608048993874"/>
                  <c:y val="-0.30825483847229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'Harrison POH-fecundity rel''p'!$B$123:$B$237</c:f>
              <c:numCache>
                <c:formatCode>General</c:formatCode>
                <c:ptCount val="115"/>
                <c:pt idx="0">
                  <c:v>583</c:v>
                </c:pt>
                <c:pt idx="1">
                  <c:v>702</c:v>
                </c:pt>
                <c:pt idx="2">
                  <c:v>739</c:v>
                </c:pt>
                <c:pt idx="3">
                  <c:v>624</c:v>
                </c:pt>
                <c:pt idx="4">
                  <c:v>644</c:v>
                </c:pt>
                <c:pt idx="5">
                  <c:v>718</c:v>
                </c:pt>
                <c:pt idx="6">
                  <c:v>637</c:v>
                </c:pt>
                <c:pt idx="7">
                  <c:v>950</c:v>
                </c:pt>
                <c:pt idx="8">
                  <c:v>797</c:v>
                </c:pt>
                <c:pt idx="9">
                  <c:v>874</c:v>
                </c:pt>
                <c:pt idx="10">
                  <c:v>853</c:v>
                </c:pt>
                <c:pt idx="11">
                  <c:v>863</c:v>
                </c:pt>
                <c:pt idx="12">
                  <c:v>904</c:v>
                </c:pt>
                <c:pt idx="13">
                  <c:v>960</c:v>
                </c:pt>
                <c:pt idx="14">
                  <c:v>838</c:v>
                </c:pt>
                <c:pt idx="15">
                  <c:v>824</c:v>
                </c:pt>
                <c:pt idx="16">
                  <c:v>885</c:v>
                </c:pt>
                <c:pt idx="17">
                  <c:v>838</c:v>
                </c:pt>
                <c:pt idx="18">
                  <c:v>855</c:v>
                </c:pt>
                <c:pt idx="19">
                  <c:v>864</c:v>
                </c:pt>
                <c:pt idx="20">
                  <c:v>794</c:v>
                </c:pt>
                <c:pt idx="21">
                  <c:v>812</c:v>
                </c:pt>
                <c:pt idx="22">
                  <c:v>679</c:v>
                </c:pt>
                <c:pt idx="23">
                  <c:v>730</c:v>
                </c:pt>
                <c:pt idx="24">
                  <c:v>732</c:v>
                </c:pt>
                <c:pt idx="25">
                  <c:v>727</c:v>
                </c:pt>
                <c:pt idx="26">
                  <c:v>696</c:v>
                </c:pt>
                <c:pt idx="27">
                  <c:v>703</c:v>
                </c:pt>
                <c:pt idx="28">
                  <c:v>596</c:v>
                </c:pt>
                <c:pt idx="29">
                  <c:v>652</c:v>
                </c:pt>
                <c:pt idx="30">
                  <c:v>683</c:v>
                </c:pt>
                <c:pt idx="31">
                  <c:v>735</c:v>
                </c:pt>
                <c:pt idx="32">
                  <c:v>661</c:v>
                </c:pt>
                <c:pt idx="33">
                  <c:v>747</c:v>
                </c:pt>
                <c:pt idx="34">
                  <c:v>743</c:v>
                </c:pt>
                <c:pt idx="35">
                  <c:v>673</c:v>
                </c:pt>
                <c:pt idx="36">
                  <c:v>718</c:v>
                </c:pt>
                <c:pt idx="37">
                  <c:v>621</c:v>
                </c:pt>
                <c:pt idx="38">
                  <c:v>713</c:v>
                </c:pt>
                <c:pt idx="39">
                  <c:v>698</c:v>
                </c:pt>
                <c:pt idx="40">
                  <c:v>679</c:v>
                </c:pt>
                <c:pt idx="41">
                  <c:v>656</c:v>
                </c:pt>
                <c:pt idx="42">
                  <c:v>672</c:v>
                </c:pt>
                <c:pt idx="43">
                  <c:v>735</c:v>
                </c:pt>
                <c:pt idx="44">
                  <c:v>772</c:v>
                </c:pt>
                <c:pt idx="45">
                  <c:v>763</c:v>
                </c:pt>
                <c:pt idx="46">
                  <c:v>698</c:v>
                </c:pt>
                <c:pt idx="47">
                  <c:v>585</c:v>
                </c:pt>
                <c:pt idx="48">
                  <c:v>820</c:v>
                </c:pt>
                <c:pt idx="49">
                  <c:v>795</c:v>
                </c:pt>
                <c:pt idx="50">
                  <c:v>805</c:v>
                </c:pt>
                <c:pt idx="51">
                  <c:v>935</c:v>
                </c:pt>
                <c:pt idx="52">
                  <c:v>911</c:v>
                </c:pt>
                <c:pt idx="53">
                  <c:v>904</c:v>
                </c:pt>
                <c:pt idx="54">
                  <c:v>920</c:v>
                </c:pt>
                <c:pt idx="55">
                  <c:v>841</c:v>
                </c:pt>
                <c:pt idx="56">
                  <c:v>839</c:v>
                </c:pt>
                <c:pt idx="57">
                  <c:v>879</c:v>
                </c:pt>
                <c:pt idx="58">
                  <c:v>1010</c:v>
                </c:pt>
                <c:pt idx="59">
                  <c:v>677</c:v>
                </c:pt>
                <c:pt idx="60">
                  <c:v>606</c:v>
                </c:pt>
                <c:pt idx="61">
                  <c:v>681</c:v>
                </c:pt>
                <c:pt idx="62">
                  <c:v>677</c:v>
                </c:pt>
                <c:pt idx="63">
                  <c:v>640</c:v>
                </c:pt>
                <c:pt idx="64">
                  <c:v>628</c:v>
                </c:pt>
                <c:pt idx="65">
                  <c:v>610</c:v>
                </c:pt>
                <c:pt idx="66">
                  <c:v>721</c:v>
                </c:pt>
                <c:pt idx="67">
                  <c:v>696</c:v>
                </c:pt>
                <c:pt idx="68">
                  <c:v>633</c:v>
                </c:pt>
                <c:pt idx="69">
                  <c:v>744</c:v>
                </c:pt>
                <c:pt idx="70">
                  <c:v>670</c:v>
                </c:pt>
                <c:pt idx="71">
                  <c:v>709</c:v>
                </c:pt>
                <c:pt idx="72">
                  <c:v>702</c:v>
                </c:pt>
                <c:pt idx="73">
                  <c:v>665</c:v>
                </c:pt>
                <c:pt idx="74">
                  <c:v>722</c:v>
                </c:pt>
                <c:pt idx="75">
                  <c:v>722</c:v>
                </c:pt>
                <c:pt idx="76">
                  <c:v>735</c:v>
                </c:pt>
                <c:pt idx="77">
                  <c:v>753</c:v>
                </c:pt>
                <c:pt idx="78">
                  <c:v>703</c:v>
                </c:pt>
                <c:pt idx="79">
                  <c:v>759</c:v>
                </c:pt>
                <c:pt idx="80">
                  <c:v>706</c:v>
                </c:pt>
                <c:pt idx="81">
                  <c:v>725</c:v>
                </c:pt>
                <c:pt idx="82">
                  <c:v>657</c:v>
                </c:pt>
                <c:pt idx="83">
                  <c:v>686</c:v>
                </c:pt>
                <c:pt idx="84">
                  <c:v>738</c:v>
                </c:pt>
                <c:pt idx="85">
                  <c:v>687</c:v>
                </c:pt>
                <c:pt idx="86">
                  <c:v>808</c:v>
                </c:pt>
                <c:pt idx="87">
                  <c:v>855</c:v>
                </c:pt>
                <c:pt idx="88">
                  <c:v>935</c:v>
                </c:pt>
                <c:pt idx="89">
                  <c:v>789</c:v>
                </c:pt>
                <c:pt idx="90">
                  <c:v>877</c:v>
                </c:pt>
                <c:pt idx="91">
                  <c:v>911</c:v>
                </c:pt>
                <c:pt idx="92">
                  <c:v>839</c:v>
                </c:pt>
                <c:pt idx="93">
                  <c:v>894</c:v>
                </c:pt>
                <c:pt idx="94">
                  <c:v>920</c:v>
                </c:pt>
                <c:pt idx="95">
                  <c:v>910</c:v>
                </c:pt>
                <c:pt idx="96">
                  <c:v>865</c:v>
                </c:pt>
                <c:pt idx="97">
                  <c:v>874</c:v>
                </c:pt>
                <c:pt idx="98">
                  <c:v>863</c:v>
                </c:pt>
                <c:pt idx="99">
                  <c:v>883</c:v>
                </c:pt>
                <c:pt idx="100">
                  <c:v>905</c:v>
                </c:pt>
                <c:pt idx="101">
                  <c:v>650</c:v>
                </c:pt>
                <c:pt idx="102">
                  <c:v>628</c:v>
                </c:pt>
                <c:pt idx="103">
                  <c:v>741</c:v>
                </c:pt>
                <c:pt idx="104">
                  <c:v>719</c:v>
                </c:pt>
                <c:pt idx="105">
                  <c:v>695</c:v>
                </c:pt>
                <c:pt idx="106">
                  <c:v>676</c:v>
                </c:pt>
                <c:pt idx="107">
                  <c:v>805</c:v>
                </c:pt>
                <c:pt idx="108">
                  <c:v>723</c:v>
                </c:pt>
                <c:pt idx="109">
                  <c:v>716</c:v>
                </c:pt>
                <c:pt idx="110">
                  <c:v>617</c:v>
                </c:pt>
                <c:pt idx="111">
                  <c:v>704</c:v>
                </c:pt>
                <c:pt idx="112">
                  <c:v>728</c:v>
                </c:pt>
                <c:pt idx="113">
                  <c:v>716</c:v>
                </c:pt>
                <c:pt idx="114">
                  <c:v>689</c:v>
                </c:pt>
              </c:numCache>
            </c:numRef>
          </c:xVal>
          <c:yVal>
            <c:numRef>
              <c:f>'Harrison POH-fecundity rel''p'!$C$123:$C$237</c:f>
              <c:numCache>
                <c:formatCode>General</c:formatCode>
                <c:ptCount val="115"/>
                <c:pt idx="0">
                  <c:v>2953</c:v>
                </c:pt>
                <c:pt idx="1">
                  <c:v>5012</c:v>
                </c:pt>
                <c:pt idx="2">
                  <c:v>4299</c:v>
                </c:pt>
                <c:pt idx="3">
                  <c:v>4216</c:v>
                </c:pt>
                <c:pt idx="4">
                  <c:v>3979</c:v>
                </c:pt>
                <c:pt idx="5">
                  <c:v>4468</c:v>
                </c:pt>
                <c:pt idx="6">
                  <c:v>3337</c:v>
                </c:pt>
                <c:pt idx="7">
                  <c:v>4174</c:v>
                </c:pt>
                <c:pt idx="8">
                  <c:v>4334</c:v>
                </c:pt>
                <c:pt idx="9">
                  <c:v>3629</c:v>
                </c:pt>
                <c:pt idx="10">
                  <c:v>3815</c:v>
                </c:pt>
                <c:pt idx="11">
                  <c:v>2266</c:v>
                </c:pt>
                <c:pt idx="12">
                  <c:v>4758</c:v>
                </c:pt>
                <c:pt idx="13">
                  <c:v>5538</c:v>
                </c:pt>
                <c:pt idx="14">
                  <c:v>3219</c:v>
                </c:pt>
                <c:pt idx="15">
                  <c:v>4255</c:v>
                </c:pt>
                <c:pt idx="16">
                  <c:v>4407</c:v>
                </c:pt>
                <c:pt idx="17">
                  <c:v>3417</c:v>
                </c:pt>
                <c:pt idx="18">
                  <c:v>3740</c:v>
                </c:pt>
                <c:pt idx="19">
                  <c:v>4176</c:v>
                </c:pt>
                <c:pt idx="20">
                  <c:v>3507</c:v>
                </c:pt>
                <c:pt idx="21">
                  <c:v>3245</c:v>
                </c:pt>
                <c:pt idx="22">
                  <c:v>4216</c:v>
                </c:pt>
                <c:pt idx="23">
                  <c:v>5531</c:v>
                </c:pt>
                <c:pt idx="24">
                  <c:v>4876</c:v>
                </c:pt>
                <c:pt idx="25">
                  <c:v>4233</c:v>
                </c:pt>
                <c:pt idx="26">
                  <c:v>4991</c:v>
                </c:pt>
                <c:pt idx="27">
                  <c:v>4302</c:v>
                </c:pt>
                <c:pt idx="28">
                  <c:v>3771</c:v>
                </c:pt>
                <c:pt idx="29">
                  <c:v>3923</c:v>
                </c:pt>
                <c:pt idx="30">
                  <c:v>3907</c:v>
                </c:pt>
                <c:pt idx="31">
                  <c:v>2617</c:v>
                </c:pt>
                <c:pt idx="32">
                  <c:v>4500</c:v>
                </c:pt>
                <c:pt idx="33">
                  <c:v>4941</c:v>
                </c:pt>
                <c:pt idx="34">
                  <c:v>5075</c:v>
                </c:pt>
                <c:pt idx="35">
                  <c:v>4537</c:v>
                </c:pt>
                <c:pt idx="36">
                  <c:v>4794</c:v>
                </c:pt>
                <c:pt idx="37">
                  <c:v>4186</c:v>
                </c:pt>
                <c:pt idx="38">
                  <c:v>3521</c:v>
                </c:pt>
                <c:pt idx="39">
                  <c:v>2349</c:v>
                </c:pt>
                <c:pt idx="40">
                  <c:v>3978</c:v>
                </c:pt>
                <c:pt idx="41">
                  <c:v>4049</c:v>
                </c:pt>
                <c:pt idx="42">
                  <c:v>4421</c:v>
                </c:pt>
                <c:pt idx="43">
                  <c:v>4092</c:v>
                </c:pt>
                <c:pt idx="44">
                  <c:v>4751</c:v>
                </c:pt>
                <c:pt idx="45">
                  <c:v>5753</c:v>
                </c:pt>
                <c:pt idx="46">
                  <c:v>4219</c:v>
                </c:pt>
                <c:pt idx="47">
                  <c:v>2724</c:v>
                </c:pt>
                <c:pt idx="48">
                  <c:v>4466</c:v>
                </c:pt>
                <c:pt idx="49">
                  <c:v>3194</c:v>
                </c:pt>
                <c:pt idx="50">
                  <c:v>4379</c:v>
                </c:pt>
                <c:pt idx="51">
                  <c:v>5653</c:v>
                </c:pt>
                <c:pt idx="52">
                  <c:v>3438</c:v>
                </c:pt>
                <c:pt idx="53">
                  <c:v>4511</c:v>
                </c:pt>
                <c:pt idx="54">
                  <c:v>4444</c:v>
                </c:pt>
                <c:pt idx="55">
                  <c:v>4198</c:v>
                </c:pt>
                <c:pt idx="56">
                  <c:v>4045</c:v>
                </c:pt>
                <c:pt idx="57">
                  <c:v>3786</c:v>
                </c:pt>
                <c:pt idx="58">
                  <c:v>5883</c:v>
                </c:pt>
                <c:pt idx="59">
                  <c:v>3232</c:v>
                </c:pt>
                <c:pt idx="60">
                  <c:v>2856</c:v>
                </c:pt>
                <c:pt idx="61">
                  <c:v>4053</c:v>
                </c:pt>
                <c:pt idx="62">
                  <c:v>3449</c:v>
                </c:pt>
                <c:pt idx="63">
                  <c:v>4073</c:v>
                </c:pt>
                <c:pt idx="64">
                  <c:v>5003</c:v>
                </c:pt>
                <c:pt idx="65">
                  <c:v>2858</c:v>
                </c:pt>
                <c:pt idx="66">
                  <c:v>4991</c:v>
                </c:pt>
                <c:pt idx="67">
                  <c:v>4160</c:v>
                </c:pt>
                <c:pt idx="68">
                  <c:v>3535</c:v>
                </c:pt>
                <c:pt idx="69">
                  <c:v>4579</c:v>
                </c:pt>
                <c:pt idx="70">
                  <c:v>4092</c:v>
                </c:pt>
                <c:pt idx="71">
                  <c:v>4589</c:v>
                </c:pt>
                <c:pt idx="72">
                  <c:v>3486</c:v>
                </c:pt>
                <c:pt idx="73">
                  <c:v>4483</c:v>
                </c:pt>
                <c:pt idx="74">
                  <c:v>4599</c:v>
                </c:pt>
                <c:pt idx="75">
                  <c:v>3711</c:v>
                </c:pt>
                <c:pt idx="76">
                  <c:v>4476</c:v>
                </c:pt>
                <c:pt idx="77">
                  <c:v>4884</c:v>
                </c:pt>
                <c:pt idx="78">
                  <c:v>4157</c:v>
                </c:pt>
                <c:pt idx="79">
                  <c:v>5352</c:v>
                </c:pt>
                <c:pt idx="80">
                  <c:v>4252</c:v>
                </c:pt>
                <c:pt idx="81">
                  <c:v>4056</c:v>
                </c:pt>
                <c:pt idx="82">
                  <c:v>4070</c:v>
                </c:pt>
                <c:pt idx="83">
                  <c:v>3425</c:v>
                </c:pt>
                <c:pt idx="84">
                  <c:v>3625</c:v>
                </c:pt>
                <c:pt idx="85">
                  <c:v>4126</c:v>
                </c:pt>
                <c:pt idx="86">
                  <c:v>3638</c:v>
                </c:pt>
                <c:pt idx="87">
                  <c:v>3521</c:v>
                </c:pt>
                <c:pt idx="88">
                  <c:v>4418</c:v>
                </c:pt>
                <c:pt idx="89">
                  <c:v>5374</c:v>
                </c:pt>
                <c:pt idx="90">
                  <c:v>4911</c:v>
                </c:pt>
                <c:pt idx="91">
                  <c:v>5178</c:v>
                </c:pt>
                <c:pt idx="92">
                  <c:v>3685</c:v>
                </c:pt>
                <c:pt idx="93">
                  <c:v>4896</c:v>
                </c:pt>
                <c:pt idx="94">
                  <c:v>5410</c:v>
                </c:pt>
                <c:pt idx="95">
                  <c:v>4902</c:v>
                </c:pt>
                <c:pt idx="96">
                  <c:v>4749</c:v>
                </c:pt>
                <c:pt idx="97">
                  <c:v>4304</c:v>
                </c:pt>
                <c:pt idx="98">
                  <c:v>4503</c:v>
                </c:pt>
                <c:pt idx="99">
                  <c:v>5219</c:v>
                </c:pt>
                <c:pt idx="100">
                  <c:v>4218</c:v>
                </c:pt>
                <c:pt idx="101">
                  <c:v>5052</c:v>
                </c:pt>
                <c:pt idx="102">
                  <c:v>3387</c:v>
                </c:pt>
                <c:pt idx="103">
                  <c:v>4371</c:v>
                </c:pt>
                <c:pt idx="104">
                  <c:v>4016</c:v>
                </c:pt>
                <c:pt idx="105">
                  <c:v>4153</c:v>
                </c:pt>
                <c:pt idx="106">
                  <c:v>3400</c:v>
                </c:pt>
                <c:pt idx="107">
                  <c:v>5847</c:v>
                </c:pt>
                <c:pt idx="108">
                  <c:v>4867</c:v>
                </c:pt>
                <c:pt idx="109">
                  <c:v>4442</c:v>
                </c:pt>
                <c:pt idx="110">
                  <c:v>3194</c:v>
                </c:pt>
                <c:pt idx="111">
                  <c:v>4199</c:v>
                </c:pt>
                <c:pt idx="112">
                  <c:v>5250</c:v>
                </c:pt>
                <c:pt idx="113">
                  <c:v>4337</c:v>
                </c:pt>
                <c:pt idx="114">
                  <c:v>3746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6F-4009-8B73-87F96033E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202536"/>
        <c:axId val="820208768"/>
      </c:scatterChart>
      <c:valAx>
        <c:axId val="82020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08768"/>
        <c:crosses val="autoZero"/>
        <c:crossBetween val="midCat"/>
      </c:valAx>
      <c:valAx>
        <c:axId val="8202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0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'Harrison POH-fecundity rel''p'!$B$3:$B$237</c:f>
              <c:numCache>
                <c:formatCode>General</c:formatCode>
                <c:ptCount val="235"/>
                <c:pt idx="0">
                  <c:v>625</c:v>
                </c:pt>
                <c:pt idx="1">
                  <c:v>670</c:v>
                </c:pt>
                <c:pt idx="2">
                  <c:v>688</c:v>
                </c:pt>
                <c:pt idx="3">
                  <c:v>614</c:v>
                </c:pt>
                <c:pt idx="4">
                  <c:v>658</c:v>
                </c:pt>
                <c:pt idx="5">
                  <c:v>621</c:v>
                </c:pt>
                <c:pt idx="6">
                  <c:v>604</c:v>
                </c:pt>
                <c:pt idx="7">
                  <c:v>694</c:v>
                </c:pt>
                <c:pt idx="8">
                  <c:v>667</c:v>
                </c:pt>
                <c:pt idx="9">
                  <c:v>706</c:v>
                </c:pt>
                <c:pt idx="10">
                  <c:v>587</c:v>
                </c:pt>
                <c:pt idx="11">
                  <c:v>657</c:v>
                </c:pt>
                <c:pt idx="12">
                  <c:v>725</c:v>
                </c:pt>
                <c:pt idx="13">
                  <c:v>583</c:v>
                </c:pt>
                <c:pt idx="14">
                  <c:v>615</c:v>
                </c:pt>
                <c:pt idx="15">
                  <c:v>651</c:v>
                </c:pt>
                <c:pt idx="16">
                  <c:v>574</c:v>
                </c:pt>
                <c:pt idx="17">
                  <c:v>681</c:v>
                </c:pt>
                <c:pt idx="18">
                  <c:v>577</c:v>
                </c:pt>
                <c:pt idx="19">
                  <c:v>738</c:v>
                </c:pt>
                <c:pt idx="20">
                  <c:v>762</c:v>
                </c:pt>
                <c:pt idx="21">
                  <c:v>783</c:v>
                </c:pt>
                <c:pt idx="22">
                  <c:v>813</c:v>
                </c:pt>
                <c:pt idx="23">
                  <c:v>643</c:v>
                </c:pt>
                <c:pt idx="24">
                  <c:v>698</c:v>
                </c:pt>
                <c:pt idx="25">
                  <c:v>692</c:v>
                </c:pt>
                <c:pt idx="26">
                  <c:v>719</c:v>
                </c:pt>
                <c:pt idx="27">
                  <c:v>618</c:v>
                </c:pt>
                <c:pt idx="28">
                  <c:v>705</c:v>
                </c:pt>
                <c:pt idx="29">
                  <c:v>668</c:v>
                </c:pt>
                <c:pt idx="30">
                  <c:v>651</c:v>
                </c:pt>
                <c:pt idx="31">
                  <c:v>618</c:v>
                </c:pt>
                <c:pt idx="32">
                  <c:v>684</c:v>
                </c:pt>
                <c:pt idx="33">
                  <c:v>599</c:v>
                </c:pt>
                <c:pt idx="34">
                  <c:v>700</c:v>
                </c:pt>
                <c:pt idx="35">
                  <c:v>731</c:v>
                </c:pt>
                <c:pt idx="36">
                  <c:v>678</c:v>
                </c:pt>
                <c:pt idx="37">
                  <c:v>609</c:v>
                </c:pt>
                <c:pt idx="38">
                  <c:v>653</c:v>
                </c:pt>
                <c:pt idx="39">
                  <c:v>731</c:v>
                </c:pt>
                <c:pt idx="40">
                  <c:v>620</c:v>
                </c:pt>
                <c:pt idx="41">
                  <c:v>771</c:v>
                </c:pt>
                <c:pt idx="42">
                  <c:v>600</c:v>
                </c:pt>
                <c:pt idx="43">
                  <c:v>574</c:v>
                </c:pt>
                <c:pt idx="44">
                  <c:v>701</c:v>
                </c:pt>
                <c:pt idx="45">
                  <c:v>617</c:v>
                </c:pt>
                <c:pt idx="46">
                  <c:v>619</c:v>
                </c:pt>
                <c:pt idx="47">
                  <c:v>706</c:v>
                </c:pt>
                <c:pt idx="48">
                  <c:v>685</c:v>
                </c:pt>
                <c:pt idx="49">
                  <c:v>710</c:v>
                </c:pt>
                <c:pt idx="50">
                  <c:v>715</c:v>
                </c:pt>
                <c:pt idx="51">
                  <c:v>676</c:v>
                </c:pt>
                <c:pt idx="52">
                  <c:v>694</c:v>
                </c:pt>
                <c:pt idx="53">
                  <c:v>587</c:v>
                </c:pt>
                <c:pt idx="54">
                  <c:v>752</c:v>
                </c:pt>
                <c:pt idx="55">
                  <c:v>700</c:v>
                </c:pt>
                <c:pt idx="56">
                  <c:v>719</c:v>
                </c:pt>
                <c:pt idx="57">
                  <c:v>667</c:v>
                </c:pt>
                <c:pt idx="58">
                  <c:v>743</c:v>
                </c:pt>
                <c:pt idx="59">
                  <c:v>625</c:v>
                </c:pt>
                <c:pt idx="60">
                  <c:v>612</c:v>
                </c:pt>
                <c:pt idx="61">
                  <c:v>632</c:v>
                </c:pt>
                <c:pt idx="62">
                  <c:v>579</c:v>
                </c:pt>
                <c:pt idx="63">
                  <c:v>742</c:v>
                </c:pt>
                <c:pt idx="64">
                  <c:v>702</c:v>
                </c:pt>
                <c:pt idx="65">
                  <c:v>646</c:v>
                </c:pt>
                <c:pt idx="66">
                  <c:v>702</c:v>
                </c:pt>
                <c:pt idx="67">
                  <c:v>621</c:v>
                </c:pt>
                <c:pt idx="68">
                  <c:v>593</c:v>
                </c:pt>
                <c:pt idx="69">
                  <c:v>590</c:v>
                </c:pt>
                <c:pt idx="70">
                  <c:v>729</c:v>
                </c:pt>
                <c:pt idx="71">
                  <c:v>589</c:v>
                </c:pt>
                <c:pt idx="72">
                  <c:v>654</c:v>
                </c:pt>
                <c:pt idx="73">
                  <c:v>616</c:v>
                </c:pt>
                <c:pt idx="74">
                  <c:v>609</c:v>
                </c:pt>
                <c:pt idx="75">
                  <c:v>695</c:v>
                </c:pt>
                <c:pt idx="76">
                  <c:v>622</c:v>
                </c:pt>
                <c:pt idx="77">
                  <c:v>588</c:v>
                </c:pt>
                <c:pt idx="78">
                  <c:v>576</c:v>
                </c:pt>
                <c:pt idx="79">
                  <c:v>749</c:v>
                </c:pt>
                <c:pt idx="80">
                  <c:v>704</c:v>
                </c:pt>
                <c:pt idx="81">
                  <c:v>583</c:v>
                </c:pt>
                <c:pt idx="82">
                  <c:v>584</c:v>
                </c:pt>
                <c:pt idx="83">
                  <c:v>583</c:v>
                </c:pt>
                <c:pt idx="84">
                  <c:v>617</c:v>
                </c:pt>
                <c:pt idx="85">
                  <c:v>648</c:v>
                </c:pt>
                <c:pt idx="86">
                  <c:v>683</c:v>
                </c:pt>
                <c:pt idx="87">
                  <c:v>649</c:v>
                </c:pt>
                <c:pt idx="88">
                  <c:v>796</c:v>
                </c:pt>
                <c:pt idx="89">
                  <c:v>705</c:v>
                </c:pt>
                <c:pt idx="90">
                  <c:v>674</c:v>
                </c:pt>
                <c:pt idx="91">
                  <c:v>616</c:v>
                </c:pt>
                <c:pt idx="92">
                  <c:v>754</c:v>
                </c:pt>
                <c:pt idx="93">
                  <c:v>573</c:v>
                </c:pt>
                <c:pt idx="94">
                  <c:v>737</c:v>
                </c:pt>
                <c:pt idx="95">
                  <c:v>732</c:v>
                </c:pt>
                <c:pt idx="96">
                  <c:v>706</c:v>
                </c:pt>
                <c:pt idx="97">
                  <c:v>634</c:v>
                </c:pt>
                <c:pt idx="98">
                  <c:v>652</c:v>
                </c:pt>
                <c:pt idx="99">
                  <c:v>732</c:v>
                </c:pt>
                <c:pt idx="100">
                  <c:v>800</c:v>
                </c:pt>
                <c:pt idx="101">
                  <c:v>704</c:v>
                </c:pt>
                <c:pt idx="102">
                  <c:v>601</c:v>
                </c:pt>
                <c:pt idx="103">
                  <c:v>715</c:v>
                </c:pt>
                <c:pt idx="104">
                  <c:v>615</c:v>
                </c:pt>
                <c:pt idx="105">
                  <c:v>688</c:v>
                </c:pt>
                <c:pt idx="106">
                  <c:v>594</c:v>
                </c:pt>
                <c:pt idx="107">
                  <c:v>652</c:v>
                </c:pt>
                <c:pt idx="108">
                  <c:v>645</c:v>
                </c:pt>
                <c:pt idx="109">
                  <c:v>643</c:v>
                </c:pt>
                <c:pt idx="110">
                  <c:v>696</c:v>
                </c:pt>
                <c:pt idx="111">
                  <c:v>673</c:v>
                </c:pt>
                <c:pt idx="112">
                  <c:v>564</c:v>
                </c:pt>
                <c:pt idx="113">
                  <c:v>730</c:v>
                </c:pt>
                <c:pt idx="114">
                  <c:v>634</c:v>
                </c:pt>
                <c:pt idx="115">
                  <c:v>705</c:v>
                </c:pt>
                <c:pt idx="116">
                  <c:v>621</c:v>
                </c:pt>
                <c:pt idx="117">
                  <c:v>693</c:v>
                </c:pt>
                <c:pt idx="118">
                  <c:v>690</c:v>
                </c:pt>
                <c:pt idx="119">
                  <c:v>588</c:v>
                </c:pt>
                <c:pt idx="120">
                  <c:v>583</c:v>
                </c:pt>
                <c:pt idx="121">
                  <c:v>702</c:v>
                </c:pt>
                <c:pt idx="122">
                  <c:v>739</c:v>
                </c:pt>
                <c:pt idx="123">
                  <c:v>624</c:v>
                </c:pt>
                <c:pt idx="124">
                  <c:v>644</c:v>
                </c:pt>
                <c:pt idx="125">
                  <c:v>718</c:v>
                </c:pt>
                <c:pt idx="126">
                  <c:v>637</c:v>
                </c:pt>
                <c:pt idx="127">
                  <c:v>950</c:v>
                </c:pt>
                <c:pt idx="128">
                  <c:v>797</c:v>
                </c:pt>
                <c:pt idx="129">
                  <c:v>874</c:v>
                </c:pt>
                <c:pt idx="130">
                  <c:v>853</c:v>
                </c:pt>
                <c:pt idx="131">
                  <c:v>863</c:v>
                </c:pt>
                <c:pt idx="132">
                  <c:v>904</c:v>
                </c:pt>
                <c:pt idx="133">
                  <c:v>960</c:v>
                </c:pt>
                <c:pt idx="134">
                  <c:v>838</c:v>
                </c:pt>
                <c:pt idx="135">
                  <c:v>824</c:v>
                </c:pt>
                <c:pt idx="136">
                  <c:v>885</c:v>
                </c:pt>
                <c:pt idx="137">
                  <c:v>838</c:v>
                </c:pt>
                <c:pt idx="138">
                  <c:v>855</c:v>
                </c:pt>
                <c:pt idx="139">
                  <c:v>864</c:v>
                </c:pt>
                <c:pt idx="140">
                  <c:v>794</c:v>
                </c:pt>
                <c:pt idx="141">
                  <c:v>812</c:v>
                </c:pt>
                <c:pt idx="142">
                  <c:v>679</c:v>
                </c:pt>
                <c:pt idx="143">
                  <c:v>730</c:v>
                </c:pt>
                <c:pt idx="144">
                  <c:v>732</c:v>
                </c:pt>
                <c:pt idx="145">
                  <c:v>727</c:v>
                </c:pt>
                <c:pt idx="146">
                  <c:v>696</c:v>
                </c:pt>
                <c:pt idx="147">
                  <c:v>703</c:v>
                </c:pt>
                <c:pt idx="148">
                  <c:v>596</c:v>
                </c:pt>
                <c:pt idx="149">
                  <c:v>652</c:v>
                </c:pt>
                <c:pt idx="150">
                  <c:v>683</c:v>
                </c:pt>
                <c:pt idx="151">
                  <c:v>735</c:v>
                </c:pt>
                <c:pt idx="152">
                  <c:v>661</c:v>
                </c:pt>
                <c:pt idx="153">
                  <c:v>747</c:v>
                </c:pt>
                <c:pt idx="154">
                  <c:v>743</c:v>
                </c:pt>
                <c:pt idx="155">
                  <c:v>673</c:v>
                </c:pt>
                <c:pt idx="156">
                  <c:v>718</c:v>
                </c:pt>
                <c:pt idx="157">
                  <c:v>621</c:v>
                </c:pt>
                <c:pt idx="158">
                  <c:v>713</c:v>
                </c:pt>
                <c:pt idx="159">
                  <c:v>698</c:v>
                </c:pt>
                <c:pt idx="160">
                  <c:v>679</c:v>
                </c:pt>
                <c:pt idx="161">
                  <c:v>656</c:v>
                </c:pt>
                <c:pt idx="162">
                  <c:v>672</c:v>
                </c:pt>
                <c:pt idx="163">
                  <c:v>735</c:v>
                </c:pt>
                <c:pt idx="164">
                  <c:v>772</c:v>
                </c:pt>
                <c:pt idx="165">
                  <c:v>763</c:v>
                </c:pt>
                <c:pt idx="166">
                  <c:v>698</c:v>
                </c:pt>
                <c:pt idx="167">
                  <c:v>585</c:v>
                </c:pt>
                <c:pt idx="168">
                  <c:v>820</c:v>
                </c:pt>
                <c:pt idx="169">
                  <c:v>795</c:v>
                </c:pt>
                <c:pt idx="170">
                  <c:v>805</c:v>
                </c:pt>
                <c:pt idx="171">
                  <c:v>935</c:v>
                </c:pt>
                <c:pt idx="172">
                  <c:v>911</c:v>
                </c:pt>
                <c:pt idx="173">
                  <c:v>904</c:v>
                </c:pt>
                <c:pt idx="174">
                  <c:v>920</c:v>
                </c:pt>
                <c:pt idx="175">
                  <c:v>841</c:v>
                </c:pt>
                <c:pt idx="176">
                  <c:v>839</c:v>
                </c:pt>
                <c:pt idx="177">
                  <c:v>879</c:v>
                </c:pt>
                <c:pt idx="178">
                  <c:v>1010</c:v>
                </c:pt>
                <c:pt idx="179">
                  <c:v>677</c:v>
                </c:pt>
                <c:pt idx="180">
                  <c:v>606</c:v>
                </c:pt>
                <c:pt idx="181">
                  <c:v>681</c:v>
                </c:pt>
                <c:pt idx="182">
                  <c:v>677</c:v>
                </c:pt>
                <c:pt idx="183">
                  <c:v>640</c:v>
                </c:pt>
                <c:pt idx="184">
                  <c:v>628</c:v>
                </c:pt>
                <c:pt idx="185">
                  <c:v>610</c:v>
                </c:pt>
                <c:pt idx="186">
                  <c:v>721</c:v>
                </c:pt>
                <c:pt idx="187">
                  <c:v>696</c:v>
                </c:pt>
                <c:pt idx="188">
                  <c:v>633</c:v>
                </c:pt>
                <c:pt idx="189">
                  <c:v>744</c:v>
                </c:pt>
                <c:pt idx="190">
                  <c:v>670</c:v>
                </c:pt>
                <c:pt idx="191">
                  <c:v>709</c:v>
                </c:pt>
                <c:pt idx="192">
                  <c:v>702</c:v>
                </c:pt>
                <c:pt idx="193">
                  <c:v>665</c:v>
                </c:pt>
                <c:pt idx="194">
                  <c:v>722</c:v>
                </c:pt>
                <c:pt idx="195">
                  <c:v>722</c:v>
                </c:pt>
                <c:pt idx="196">
                  <c:v>735</c:v>
                </c:pt>
                <c:pt idx="197">
                  <c:v>753</c:v>
                </c:pt>
                <c:pt idx="198">
                  <c:v>703</c:v>
                </c:pt>
                <c:pt idx="199">
                  <c:v>759</c:v>
                </c:pt>
                <c:pt idx="200">
                  <c:v>706</c:v>
                </c:pt>
                <c:pt idx="201">
                  <c:v>725</c:v>
                </c:pt>
                <c:pt idx="202">
                  <c:v>657</c:v>
                </c:pt>
                <c:pt idx="203">
                  <c:v>686</c:v>
                </c:pt>
                <c:pt idx="204">
                  <c:v>738</c:v>
                </c:pt>
                <c:pt idx="205">
                  <c:v>687</c:v>
                </c:pt>
                <c:pt idx="206">
                  <c:v>808</c:v>
                </c:pt>
                <c:pt idx="207">
                  <c:v>855</c:v>
                </c:pt>
                <c:pt idx="208">
                  <c:v>935</c:v>
                </c:pt>
                <c:pt idx="209">
                  <c:v>789</c:v>
                </c:pt>
                <c:pt idx="210">
                  <c:v>877</c:v>
                </c:pt>
                <c:pt idx="211">
                  <c:v>911</c:v>
                </c:pt>
                <c:pt idx="212">
                  <c:v>839</c:v>
                </c:pt>
                <c:pt idx="213">
                  <c:v>894</c:v>
                </c:pt>
                <c:pt idx="214">
                  <c:v>920</c:v>
                </c:pt>
                <c:pt idx="215">
                  <c:v>910</c:v>
                </c:pt>
                <c:pt idx="216">
                  <c:v>865</c:v>
                </c:pt>
                <c:pt idx="217">
                  <c:v>874</c:v>
                </c:pt>
                <c:pt idx="218">
                  <c:v>863</c:v>
                </c:pt>
                <c:pt idx="219">
                  <c:v>883</c:v>
                </c:pt>
                <c:pt idx="220">
                  <c:v>905</c:v>
                </c:pt>
                <c:pt idx="221">
                  <c:v>650</c:v>
                </c:pt>
                <c:pt idx="222">
                  <c:v>628</c:v>
                </c:pt>
                <c:pt idx="223">
                  <c:v>741</c:v>
                </c:pt>
                <c:pt idx="224">
                  <c:v>719</c:v>
                </c:pt>
                <c:pt idx="225">
                  <c:v>695</c:v>
                </c:pt>
                <c:pt idx="226">
                  <c:v>676</c:v>
                </c:pt>
                <c:pt idx="227">
                  <c:v>805</c:v>
                </c:pt>
                <c:pt idx="228">
                  <c:v>723</c:v>
                </c:pt>
                <c:pt idx="229">
                  <c:v>716</c:v>
                </c:pt>
                <c:pt idx="230">
                  <c:v>617</c:v>
                </c:pt>
                <c:pt idx="231">
                  <c:v>704</c:v>
                </c:pt>
                <c:pt idx="232">
                  <c:v>728</c:v>
                </c:pt>
                <c:pt idx="233">
                  <c:v>716</c:v>
                </c:pt>
                <c:pt idx="234">
                  <c:v>689</c:v>
                </c:pt>
              </c:numCache>
            </c:numRef>
          </c:xVal>
          <c:yVal>
            <c:numRef>
              <c:f>'Harrison POH-fecundity rel''p'!$AB$25:$AB$259</c:f>
              <c:numCache>
                <c:formatCode>General</c:formatCode>
                <c:ptCount val="235"/>
                <c:pt idx="0">
                  <c:v>-354.66349374460742</c:v>
                </c:pt>
                <c:pt idx="1">
                  <c:v>1063.4440903962882</c:v>
                </c:pt>
                <c:pt idx="2">
                  <c:v>-478.51287594735322</c:v>
                </c:pt>
                <c:pt idx="3">
                  <c:v>350.3102079098403</c:v>
                </c:pt>
                <c:pt idx="4">
                  <c:v>-125.58459870795059</c:v>
                </c:pt>
                <c:pt idx="5">
                  <c:v>14.326943220646172</c:v>
                </c:pt>
                <c:pt idx="6">
                  <c:v>-802.71369967702549</c:v>
                </c:pt>
                <c:pt idx="7">
                  <c:v>785.50146860476616</c:v>
                </c:pt>
                <c:pt idx="8">
                  <c:v>593.43691812022871</c:v>
                </c:pt>
                <c:pt idx="9">
                  <c:v>-1851.4698422909951</c:v>
                </c:pt>
                <c:pt idx="10">
                  <c:v>259.24565742530285</c:v>
                </c:pt>
                <c:pt idx="11">
                  <c:v>864.41301053336292</c:v>
                </c:pt>
                <c:pt idx="12">
                  <c:v>843.57558212404911</c:v>
                </c:pt>
                <c:pt idx="13">
                  <c:v>-184.76390560944355</c:v>
                </c:pt>
                <c:pt idx="14">
                  <c:v>100.31259866852679</c:v>
                </c:pt>
                <c:pt idx="15">
                  <c:v>-573.60133401875646</c:v>
                </c:pt>
                <c:pt idx="16">
                  <c:v>-707.7854224376224</c:v>
                </c:pt>
                <c:pt idx="17">
                  <c:v>889.47038874184045</c:v>
                </c:pt>
                <c:pt idx="18">
                  <c:v>-685.77825016156294</c:v>
                </c:pt>
                <c:pt idx="19">
                  <c:v>1561.6066619869753</c:v>
                </c:pt>
                <c:pt idx="20">
                  <c:v>606.6640401954528</c:v>
                </c:pt>
                <c:pt idx="21">
                  <c:v>-58.285753872129135</c:v>
                </c:pt>
                <c:pt idx="22">
                  <c:v>1162.7859688884673</c:v>
                </c:pt>
                <c:pt idx="23">
                  <c:v>-1036.6204600882493</c:v>
                </c:pt>
                <c:pt idx="24">
                  <c:v>542.51103163951211</c:v>
                </c:pt>
                <c:pt idx="25">
                  <c:v>-218.50331291260727</c:v>
                </c:pt>
                <c:pt idx="26">
                  <c:v>-265.43876242806982</c:v>
                </c:pt>
                <c:pt idx="27">
                  <c:v>-1244.6802290554133</c:v>
                </c:pt>
                <c:pt idx="28">
                  <c:v>-328.47223304968156</c:v>
                </c:pt>
                <c:pt idx="29">
                  <c:v>-361.5606911210848</c:v>
                </c:pt>
                <c:pt idx="30">
                  <c:v>-323.60133401875646</c:v>
                </c:pt>
                <c:pt idx="31">
                  <c:v>421.31977094458671</c:v>
                </c:pt>
                <c:pt idx="32">
                  <c:v>-292.52243898209963</c:v>
                </c:pt>
                <c:pt idx="33">
                  <c:v>352.27434652954162</c:v>
                </c:pt>
                <c:pt idx="34">
                  <c:v>973.51581315688554</c:v>
                </c:pt>
                <c:pt idx="35">
                  <c:v>145.58992667616894</c:v>
                </c:pt>
                <c:pt idx="36">
                  <c:v>-139.53678353421901</c:v>
                </c:pt>
                <c:pt idx="37">
                  <c:v>-1204.7017458835926</c:v>
                </c:pt>
                <c:pt idx="38">
                  <c:v>2421.4034474986165</c:v>
                </c:pt>
                <c:pt idx="39">
                  <c:v>1077.5899266761689</c:v>
                </c:pt>
                <c:pt idx="40">
                  <c:v>-389.67544753804032</c:v>
                </c:pt>
                <c:pt idx="41">
                  <c:v>-2130.3144429763679</c:v>
                </c:pt>
                <c:pt idx="42">
                  <c:v>370.27673728822856</c:v>
                </c:pt>
                <c:pt idx="43">
                  <c:v>-381.7854224376224</c:v>
                </c:pt>
                <c:pt idx="44">
                  <c:v>-359.48179608442797</c:v>
                </c:pt>
                <c:pt idx="45">
                  <c:v>-1073.6826198140998</c:v>
                </c:pt>
                <c:pt idx="46">
                  <c:v>-1542.6778382967268</c:v>
                </c:pt>
                <c:pt idx="47">
                  <c:v>563.53015770900492</c:v>
                </c:pt>
                <c:pt idx="48">
                  <c:v>0.47995177658685861</c:v>
                </c:pt>
                <c:pt idx="49">
                  <c:v>627.53972074375133</c:v>
                </c:pt>
                <c:pt idx="50">
                  <c:v>544.55167453718423</c:v>
                </c:pt>
                <c:pt idx="51">
                  <c:v>547.45843494840756</c:v>
                </c:pt>
                <c:pt idx="52">
                  <c:v>226.50146860476616</c:v>
                </c:pt>
                <c:pt idx="53">
                  <c:v>-1968.7543425746971</c:v>
                </c:pt>
                <c:pt idx="54">
                  <c:v>1819.640132608587</c:v>
                </c:pt>
                <c:pt idx="55">
                  <c:v>881.51581315688554</c:v>
                </c:pt>
                <c:pt idx="56">
                  <c:v>699.56123757193018</c:v>
                </c:pt>
                <c:pt idx="57">
                  <c:v>382.43691812022871</c:v>
                </c:pt>
                <c:pt idx="58">
                  <c:v>1200.6186157804077</c:v>
                </c:pt>
                <c:pt idx="59">
                  <c:v>-1092.6634937446074</c:v>
                </c:pt>
                <c:pt idx="60">
                  <c:v>-561.69457360753267</c:v>
                </c:pt>
                <c:pt idx="61">
                  <c:v>-1147.6467584338016</c:v>
                </c:pt>
                <c:pt idx="62">
                  <c:v>-714.77346864418951</c:v>
                </c:pt>
                <c:pt idx="63">
                  <c:v>1273.6162250217221</c:v>
                </c:pt>
                <c:pt idx="64">
                  <c:v>1434.5205946742585</c:v>
                </c:pt>
                <c:pt idx="65">
                  <c:v>-1605.6132878121894</c:v>
                </c:pt>
                <c:pt idx="66">
                  <c:v>-411.47940532574148</c:v>
                </c:pt>
                <c:pt idx="67">
                  <c:v>-654.67305677935383</c:v>
                </c:pt>
                <c:pt idx="68">
                  <c:v>-185.73999802257777</c:v>
                </c:pt>
                <c:pt idx="69">
                  <c:v>-57.747170298637229</c:v>
                </c:pt>
                <c:pt idx="70">
                  <c:v>1282.585145158796</c:v>
                </c:pt>
                <c:pt idx="71">
                  <c:v>-903.74956105732372</c:v>
                </c:pt>
                <c:pt idx="72">
                  <c:v>91.405838257303003</c:v>
                </c:pt>
                <c:pt idx="73">
                  <c:v>233.31498942721328</c:v>
                </c:pt>
                <c:pt idx="74">
                  <c:v>246.29825411640741</c:v>
                </c:pt>
                <c:pt idx="75">
                  <c:v>-370.49614063654735</c:v>
                </c:pt>
                <c:pt idx="76">
                  <c:v>-70.670666020666886</c:v>
                </c:pt>
                <c:pt idx="77">
                  <c:v>85.24804818398934</c:v>
                </c:pt>
                <c:pt idx="78">
                  <c:v>-356.78064092024943</c:v>
                </c:pt>
                <c:pt idx="79">
                  <c:v>1320.6329603325275</c:v>
                </c:pt>
                <c:pt idx="80">
                  <c:v>-23.474623808368051</c:v>
                </c:pt>
                <c:pt idx="81">
                  <c:v>813.23609439055645</c:v>
                </c:pt>
                <c:pt idx="82">
                  <c:v>112.23848514924339</c:v>
                </c:pt>
                <c:pt idx="83">
                  <c:v>-550.76390560944355</c:v>
                </c:pt>
                <c:pt idx="84">
                  <c:v>-249.68261981409978</c:v>
                </c:pt>
                <c:pt idx="85">
                  <c:v>1784.3914937051836</c:v>
                </c:pt>
                <c:pt idx="86">
                  <c:v>394.47517025921388</c:v>
                </c:pt>
                <c:pt idx="87">
                  <c:v>-152.60611553612944</c:v>
                </c:pt>
                <c:pt idx="88">
                  <c:v>1593.7453259907961</c:v>
                </c:pt>
                <c:pt idx="89">
                  <c:v>-2673.4722330496816</c:v>
                </c:pt>
                <c:pt idx="90">
                  <c:v>-1829.5463465689654</c:v>
                </c:pt>
                <c:pt idx="91">
                  <c:v>-208.68501057278672</c:v>
                </c:pt>
                <c:pt idx="92">
                  <c:v>1100.64491412596</c:v>
                </c:pt>
                <c:pt idx="93">
                  <c:v>-1513.7878131963089</c:v>
                </c:pt>
                <c:pt idx="94">
                  <c:v>4427.6042712282888</c:v>
                </c:pt>
                <c:pt idx="95">
                  <c:v>1222.5923174348554</c:v>
                </c:pt>
                <c:pt idx="96">
                  <c:v>110.53015770900492</c:v>
                </c:pt>
                <c:pt idx="97">
                  <c:v>-267.64197691642812</c:v>
                </c:pt>
                <c:pt idx="98">
                  <c:v>-1319.59894326007</c:v>
                </c:pt>
                <c:pt idx="99">
                  <c:v>1666.5923174348554</c:v>
                </c:pt>
                <c:pt idx="100">
                  <c:v>502.75488902554207</c:v>
                </c:pt>
                <c:pt idx="101">
                  <c:v>-22.474623808368051</c:v>
                </c:pt>
                <c:pt idx="102">
                  <c:v>128.27912804691505</c:v>
                </c:pt>
                <c:pt idx="103">
                  <c:v>-909.44832546281577</c:v>
                </c:pt>
                <c:pt idx="104">
                  <c:v>1641.3125986685268</c:v>
                </c:pt>
                <c:pt idx="105">
                  <c:v>207.48712405264678</c:v>
                </c:pt>
                <c:pt idx="106">
                  <c:v>995.26239273610872</c:v>
                </c:pt>
                <c:pt idx="107">
                  <c:v>994.40105673993003</c:v>
                </c:pt>
                <c:pt idx="108">
                  <c:v>-320.61567857087584</c:v>
                </c:pt>
                <c:pt idx="109">
                  <c:v>1534.3795399117507</c:v>
                </c:pt>
                <c:pt idx="110">
                  <c:v>253.50625012213914</c:v>
                </c:pt>
                <c:pt idx="111">
                  <c:v>-1205.5487373276519</c:v>
                </c:pt>
                <c:pt idx="112">
                  <c:v>94.19066997551181</c:v>
                </c:pt>
                <c:pt idx="113">
                  <c:v>-401.41246408251754</c:v>
                </c:pt>
                <c:pt idx="114">
                  <c:v>799.35802308357188</c:v>
                </c:pt>
                <c:pt idx="115">
                  <c:v>-230.47223304968156</c:v>
                </c:pt>
                <c:pt idx="116">
                  <c:v>795.32694322064617</c:v>
                </c:pt>
                <c:pt idx="117">
                  <c:v>-1051.5009221539203</c:v>
                </c:pt>
                <c:pt idx="118">
                  <c:v>-1325.5080944299802</c:v>
                </c:pt>
                <c:pt idx="119">
                  <c:v>-1180.7519518160107</c:v>
                </c:pt>
                <c:pt idx="120">
                  <c:v>-633.76390560944355</c:v>
                </c:pt>
                <c:pt idx="121">
                  <c:v>949.52059467425852</c:v>
                </c:pt>
                <c:pt idx="122">
                  <c:v>88.609052745661756</c:v>
                </c:pt>
                <c:pt idx="123">
                  <c:v>465.33411549670609</c:v>
                </c:pt>
                <c:pt idx="124">
                  <c:v>148.38193067043767</c:v>
                </c:pt>
                <c:pt idx="125">
                  <c:v>341.55884681324369</c:v>
                </c:pt>
                <c:pt idx="126">
                  <c:v>-465.63480464036866</c:v>
                </c:pt>
                <c:pt idx="127">
                  <c:v>-879.886497171472</c:v>
                </c:pt>
                <c:pt idx="128">
                  <c:v>-108.25228325051648</c:v>
                </c:pt>
                <c:pt idx="129">
                  <c:v>-1121.0681948316505</c:v>
                </c:pt>
                <c:pt idx="130">
                  <c:v>-851.11840076406952</c:v>
                </c:pt>
                <c:pt idx="131">
                  <c:v>-2440.0944931772028</c:v>
                </c:pt>
                <c:pt idx="132">
                  <c:v>-111.99647207105409</c:v>
                </c:pt>
                <c:pt idx="133">
                  <c:v>444.13741041539379</c:v>
                </c:pt>
                <c:pt idx="134">
                  <c:v>-1387.1542621443677</c:v>
                </c:pt>
                <c:pt idx="135">
                  <c:v>-295.1877327659804</c:v>
                </c:pt>
                <c:pt idx="136">
                  <c:v>-387.04189648609827</c:v>
                </c:pt>
                <c:pt idx="137">
                  <c:v>-1189.1542621443677</c:v>
                </c:pt>
                <c:pt idx="138">
                  <c:v>-934.11361924669654</c:v>
                </c:pt>
                <c:pt idx="139">
                  <c:v>-534.09210241851724</c:v>
                </c:pt>
                <c:pt idx="140">
                  <c:v>-923.25945552657686</c:v>
                </c:pt>
                <c:pt idx="141">
                  <c:v>-1257.2164218702183</c:v>
                </c:pt>
                <c:pt idx="142">
                  <c:v>245.46560722446748</c:v>
                </c:pt>
                <c:pt idx="143">
                  <c:v>1356.5875359174825</c:v>
                </c:pt>
                <c:pt idx="144">
                  <c:v>693.59231743485543</c:v>
                </c:pt>
                <c:pt idx="145">
                  <c:v>70.580363641422991</c:v>
                </c:pt>
                <c:pt idx="146">
                  <c:v>952.50625012213914</c:v>
                </c:pt>
                <c:pt idx="147">
                  <c:v>235.52298543294501</c:v>
                </c:pt>
                <c:pt idx="148">
                  <c:v>132.26717425348215</c:v>
                </c:pt>
                <c:pt idx="149">
                  <c:v>60.401056739930027</c:v>
                </c:pt>
                <c:pt idx="150">
                  <c:v>-79.524829740786117</c:v>
                </c:pt>
                <c:pt idx="151">
                  <c:v>-1577.4005102890842</c:v>
                </c:pt>
                <c:pt idx="152">
                  <c:v>601.42257356810933</c:v>
                </c:pt>
                <c:pt idx="153">
                  <c:v>698.62817881515366</c:v>
                </c:pt>
                <c:pt idx="154">
                  <c:v>848.61861578040771</c:v>
                </c:pt>
                <c:pt idx="155">
                  <c:v>590.45126267234809</c:v>
                </c:pt>
                <c:pt idx="156">
                  <c:v>667.55884681324369</c:v>
                </c:pt>
                <c:pt idx="157">
                  <c:v>447.32694322064617</c:v>
                </c:pt>
                <c:pt idx="158">
                  <c:v>-585.45310698018875</c:v>
                </c:pt>
                <c:pt idx="159">
                  <c:v>-1697.4889683604879</c:v>
                </c:pt>
                <c:pt idx="160">
                  <c:v>7.465607224467476</c:v>
                </c:pt>
                <c:pt idx="161">
                  <c:v>170.41061977467643</c:v>
                </c:pt>
                <c:pt idx="162">
                  <c:v>478.44887191366161</c:v>
                </c:pt>
                <c:pt idx="163">
                  <c:v>-102.4005102890842</c:v>
                </c:pt>
                <c:pt idx="164">
                  <c:v>408.68794778231859</c:v>
                </c:pt>
                <c:pt idx="165">
                  <c:v>1446.6664309541393</c:v>
                </c:pt>
                <c:pt idx="166">
                  <c:v>172.51103163951211</c:v>
                </c:pt>
                <c:pt idx="167">
                  <c:v>-870.75912409207012</c:v>
                </c:pt>
                <c:pt idx="168">
                  <c:v>-68.197295800726351</c:v>
                </c:pt>
                <c:pt idx="169">
                  <c:v>-1240.2570647678904</c:v>
                </c:pt>
                <c:pt idx="170">
                  <c:v>-95.23315718102458</c:v>
                </c:pt>
                <c:pt idx="171">
                  <c:v>659.07764144822977</c:v>
                </c:pt>
                <c:pt idx="172">
                  <c:v>-1459.9797367602478</c:v>
                </c:pt>
                <c:pt idx="173">
                  <c:v>-358.99647207105409</c:v>
                </c:pt>
                <c:pt idx="174">
                  <c:v>-489.95821993206846</c:v>
                </c:pt>
                <c:pt idx="175">
                  <c:v>-420.14708986830738</c:v>
                </c:pt>
                <c:pt idx="176">
                  <c:v>-565.15187138568126</c:v>
                </c:pt>
                <c:pt idx="177">
                  <c:v>-984.0562410382181</c:v>
                </c:pt>
                <c:pt idx="178">
                  <c:v>589.25694834972273</c:v>
                </c:pt>
                <c:pt idx="179">
                  <c:v>-730.5391742929055</c:v>
                </c:pt>
                <c:pt idx="180">
                  <c:v>-822.70891815965206</c:v>
                </c:pt>
                <c:pt idx="181">
                  <c:v>74.470388741840452</c:v>
                </c:pt>
                <c:pt idx="182">
                  <c:v>-513.5391742929055</c:v>
                </c:pt>
                <c:pt idx="183">
                  <c:v>258.37236763569126</c:v>
                </c:pt>
                <c:pt idx="184">
                  <c:v>1236.3436785314525</c:v>
                </c:pt>
                <c:pt idx="185">
                  <c:v>-836.69935512490611</c:v>
                </c:pt>
                <c:pt idx="186">
                  <c:v>852.56601908930315</c:v>
                </c:pt>
                <c:pt idx="187">
                  <c:v>121.50625012213914</c:v>
                </c:pt>
                <c:pt idx="188">
                  <c:v>-251.64436767511461</c:v>
                </c:pt>
                <c:pt idx="189">
                  <c:v>348.62100653909511</c:v>
                </c:pt>
                <c:pt idx="190">
                  <c:v>157.44409039628817</c:v>
                </c:pt>
                <c:pt idx="191">
                  <c:v>498.53732998506439</c:v>
                </c:pt>
                <c:pt idx="192">
                  <c:v>-576.47940532574148</c:v>
                </c:pt>
                <c:pt idx="193">
                  <c:v>568.43213660285528</c:v>
                </c:pt>
                <c:pt idx="194">
                  <c:v>456.56840984799055</c:v>
                </c:pt>
                <c:pt idx="195">
                  <c:v>-431.43159015200945</c:v>
                </c:pt>
                <c:pt idx="196">
                  <c:v>281.5994897109158</c:v>
                </c:pt>
                <c:pt idx="197">
                  <c:v>617.64252336727441</c:v>
                </c:pt>
                <c:pt idx="198">
                  <c:v>90.522985432945006</c:v>
                </c:pt>
                <c:pt idx="199">
                  <c:v>1061.6568679193933</c:v>
                </c:pt>
                <c:pt idx="200">
                  <c:v>173.53015770900492</c:v>
                </c:pt>
                <c:pt idx="201">
                  <c:v>-98.424417875950894</c:v>
                </c:pt>
                <c:pt idx="202">
                  <c:v>187.41301053336292</c:v>
                </c:pt>
                <c:pt idx="203">
                  <c:v>-573.51765746472665</c:v>
                </c:pt>
                <c:pt idx="204">
                  <c:v>-581.39333801302473</c:v>
                </c:pt>
                <c:pt idx="205">
                  <c:v>123.48473329395983</c:v>
                </c:pt>
                <c:pt idx="206">
                  <c:v>-848.22598490496421</c:v>
                </c:pt>
                <c:pt idx="207">
                  <c:v>-1153.1136192466965</c:v>
                </c:pt>
                <c:pt idx="208">
                  <c:v>-575.92235855177023</c:v>
                </c:pt>
                <c:pt idx="209">
                  <c:v>963.72859067998979</c:v>
                </c:pt>
                <c:pt idx="210">
                  <c:v>148.93897744440801</c:v>
                </c:pt>
                <c:pt idx="211">
                  <c:v>280.02026323975224</c:v>
                </c:pt>
                <c:pt idx="212">
                  <c:v>-925.15187138568126</c:v>
                </c:pt>
                <c:pt idx="213">
                  <c:v>65.979620342080125</c:v>
                </c:pt>
                <c:pt idx="214">
                  <c:v>476.04178006793154</c:v>
                </c:pt>
                <c:pt idx="215">
                  <c:v>8.0178724810648418</c:v>
                </c:pt>
                <c:pt idx="216">
                  <c:v>34.910288340170155</c:v>
                </c:pt>
                <c:pt idx="217">
                  <c:v>-446.06819483165054</c:v>
                </c:pt>
                <c:pt idx="218">
                  <c:v>-203.09449317720282</c:v>
                </c:pt>
                <c:pt idx="219">
                  <c:v>432.95332199652785</c:v>
                </c:pt>
                <c:pt idx="220">
                  <c:v>-655.9940813123676</c:v>
                </c:pt>
                <c:pt idx="221">
                  <c:v>1197.3962752225571</c:v>
                </c:pt>
                <c:pt idx="222">
                  <c:v>-379.6563214685475</c:v>
                </c:pt>
                <c:pt idx="223">
                  <c:v>152.61383426303473</c:v>
                </c:pt>
                <c:pt idx="224">
                  <c:v>-114.43876242806982</c:v>
                </c:pt>
                <c:pt idx="225">
                  <c:v>118.50385936345265</c:v>
                </c:pt>
                <c:pt idx="226">
                  <c:v>-558.54156505159244</c:v>
                </c:pt>
                <c:pt idx="227">
                  <c:v>1372.7668428189754</c:v>
                </c:pt>
                <c:pt idx="228">
                  <c:v>720.57080060667613</c:v>
                </c:pt>
                <c:pt idx="229">
                  <c:v>323.55406529587071</c:v>
                </c:pt>
                <c:pt idx="230">
                  <c:v>-528.68261981409978</c:v>
                </c:pt>
                <c:pt idx="231">
                  <c:v>128.52537619163195</c:v>
                </c:pt>
                <c:pt idx="232">
                  <c:v>1083.5827544001095</c:v>
                </c:pt>
                <c:pt idx="233">
                  <c:v>218.55406529587071</c:v>
                </c:pt>
                <c:pt idx="234">
                  <c:v>-264.51048518866673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B-4397-8680-597D47D3B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052296"/>
        <c:axId val="952058528"/>
      </c:scatterChart>
      <c:valAx>
        <c:axId val="952052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2058528"/>
        <c:crosses val="autoZero"/>
        <c:crossBetween val="midCat"/>
      </c:valAx>
      <c:valAx>
        <c:axId val="952058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2052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and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470034995625548E-2"/>
                  <c:y val="0.293900262467191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'Harrison POH-fecundity rel''p'!$D$3:$D$237</c:f>
              <c:numCache>
                <c:formatCode>0.0</c:formatCode>
                <c:ptCount val="235"/>
                <c:pt idx="0">
                  <c:v>6.4377516497364011</c:v>
                </c:pt>
                <c:pt idx="1">
                  <c:v>6.5072777123850116</c:v>
                </c:pt>
                <c:pt idx="2">
                  <c:v>6.5337888379333435</c:v>
                </c:pt>
                <c:pt idx="3">
                  <c:v>6.4199949281471422</c:v>
                </c:pt>
                <c:pt idx="4">
                  <c:v>6.4892049313253173</c:v>
                </c:pt>
                <c:pt idx="5">
                  <c:v>6.4313310819334788</c:v>
                </c:pt>
                <c:pt idx="6">
                  <c:v>6.4035741979348151</c:v>
                </c:pt>
                <c:pt idx="7">
                  <c:v>6.5424719605068047</c:v>
                </c:pt>
                <c:pt idx="8">
                  <c:v>6.5027900459156234</c:v>
                </c:pt>
                <c:pt idx="9">
                  <c:v>6.5596152374932419</c:v>
                </c:pt>
                <c:pt idx="10">
                  <c:v>6.3750248198280968</c:v>
                </c:pt>
                <c:pt idx="11">
                  <c:v>6.4876840184846101</c:v>
                </c:pt>
                <c:pt idx="12">
                  <c:v>6.5861716548546747</c:v>
                </c:pt>
                <c:pt idx="13">
                  <c:v>6.3681871863504922</c:v>
                </c:pt>
                <c:pt idx="14">
                  <c:v>6.4216222678065176</c:v>
                </c:pt>
                <c:pt idx="15">
                  <c:v>6.4785096422085688</c:v>
                </c:pt>
                <c:pt idx="16">
                  <c:v>6.3526293963195668</c:v>
                </c:pt>
                <c:pt idx="17">
                  <c:v>6.523562306149512</c:v>
                </c:pt>
                <c:pt idx="18">
                  <c:v>6.3578422665080998</c:v>
                </c:pt>
                <c:pt idx="19">
                  <c:v>6.6039438246004725</c:v>
                </c:pt>
                <c:pt idx="20">
                  <c:v>6.6359465556866466</c:v>
                </c:pt>
                <c:pt idx="21">
                  <c:v>6.6631326959908028</c:v>
                </c:pt>
                <c:pt idx="22">
                  <c:v>6.7007311095478101</c:v>
                </c:pt>
                <c:pt idx="23">
                  <c:v>6.4661447242376191</c:v>
                </c:pt>
                <c:pt idx="24">
                  <c:v>6.5482191027623724</c:v>
                </c:pt>
                <c:pt idx="25">
                  <c:v>6.5395859556176692</c:v>
                </c:pt>
                <c:pt idx="26">
                  <c:v>6.577861357721047</c:v>
                </c:pt>
                <c:pt idx="27">
                  <c:v>6.4264884574576904</c:v>
                </c:pt>
                <c:pt idx="28">
                  <c:v>6.5581978028122689</c:v>
                </c:pt>
                <c:pt idx="29">
                  <c:v>6.5042881735366453</c:v>
                </c:pt>
                <c:pt idx="30">
                  <c:v>6.4785096422085688</c:v>
                </c:pt>
                <c:pt idx="31">
                  <c:v>6.4264884574576904</c:v>
                </c:pt>
                <c:pt idx="32">
                  <c:v>6.5279579176225502</c:v>
                </c:pt>
                <c:pt idx="33">
                  <c:v>6.3952615981154493</c:v>
                </c:pt>
                <c:pt idx="34">
                  <c:v>6.5510803350434044</c:v>
                </c:pt>
                <c:pt idx="35">
                  <c:v>6.5944134597497781</c:v>
                </c:pt>
                <c:pt idx="36">
                  <c:v>6.5191472879403953</c:v>
                </c:pt>
                <c:pt idx="37">
                  <c:v>6.4118182677098972</c:v>
                </c:pt>
                <c:pt idx="38">
                  <c:v>6.481577129276431</c:v>
                </c:pt>
                <c:pt idx="39">
                  <c:v>6.5944134597497781</c:v>
                </c:pt>
                <c:pt idx="40">
                  <c:v>6.4297194780391376</c:v>
                </c:pt>
                <c:pt idx="41">
                  <c:v>6.6476883735633292</c:v>
                </c:pt>
                <c:pt idx="42">
                  <c:v>6.3969296552161463</c:v>
                </c:pt>
                <c:pt idx="43">
                  <c:v>6.3526293963195668</c:v>
                </c:pt>
                <c:pt idx="44">
                  <c:v>6.5525078870345901</c:v>
                </c:pt>
                <c:pt idx="45">
                  <c:v>6.4248690239053881</c:v>
                </c:pt>
                <c:pt idx="46">
                  <c:v>6.4281052726845962</c:v>
                </c:pt>
                <c:pt idx="47">
                  <c:v>6.5596152374932419</c:v>
                </c:pt>
                <c:pt idx="48">
                  <c:v>6.5294188382622256</c:v>
                </c:pt>
                <c:pt idx="49">
                  <c:v>6.5652649700353614</c:v>
                </c:pt>
                <c:pt idx="50">
                  <c:v>6.5722825426940075</c:v>
                </c:pt>
                <c:pt idx="51">
                  <c:v>6.5161930760429643</c:v>
                </c:pt>
                <c:pt idx="52">
                  <c:v>6.5424719605068047</c:v>
                </c:pt>
                <c:pt idx="53">
                  <c:v>6.3750248198280968</c:v>
                </c:pt>
                <c:pt idx="54">
                  <c:v>6.62273632394984</c:v>
                </c:pt>
                <c:pt idx="55">
                  <c:v>6.5510803350434044</c:v>
                </c:pt>
                <c:pt idx="56">
                  <c:v>6.577861357721047</c:v>
                </c:pt>
                <c:pt idx="57">
                  <c:v>6.5027900459156234</c:v>
                </c:pt>
                <c:pt idx="58">
                  <c:v>6.6106960447177592</c:v>
                </c:pt>
                <c:pt idx="59">
                  <c:v>6.4377516497364011</c:v>
                </c:pt>
                <c:pt idx="60">
                  <c:v>6.4167322825123261</c:v>
                </c:pt>
                <c:pt idx="61">
                  <c:v>6.4488893941468577</c:v>
                </c:pt>
                <c:pt idx="62">
                  <c:v>6.3613024775729956</c:v>
                </c:pt>
                <c:pt idx="63">
                  <c:v>6.6093492431673804</c:v>
                </c:pt>
                <c:pt idx="64">
                  <c:v>6.5539334040258108</c:v>
                </c:pt>
                <c:pt idx="65">
                  <c:v>6.4707995037826018</c:v>
                </c:pt>
                <c:pt idx="66">
                  <c:v>6.5539334040258108</c:v>
                </c:pt>
                <c:pt idx="67">
                  <c:v>6.4313310819334788</c:v>
                </c:pt>
                <c:pt idx="68">
                  <c:v>6.3851943989977258</c:v>
                </c:pt>
                <c:pt idx="69">
                  <c:v>6.3801225368997647</c:v>
                </c:pt>
                <c:pt idx="70">
                  <c:v>6.5916737320086582</c:v>
                </c:pt>
                <c:pt idx="71">
                  <c:v>6.3784261836515865</c:v>
                </c:pt>
                <c:pt idx="72">
                  <c:v>6.4831073514571989</c:v>
                </c:pt>
                <c:pt idx="73">
                  <c:v>6.4232469635335194</c:v>
                </c:pt>
                <c:pt idx="74">
                  <c:v>6.4118182677098972</c:v>
                </c:pt>
                <c:pt idx="75">
                  <c:v>6.543911845564792</c:v>
                </c:pt>
                <c:pt idx="76">
                  <c:v>6.4329400927391793</c:v>
                </c:pt>
                <c:pt idx="77">
                  <c:v>6.3767269478986268</c:v>
                </c:pt>
                <c:pt idx="78">
                  <c:v>6.3561076606958915</c:v>
                </c:pt>
                <c:pt idx="79">
                  <c:v>6.6187389835172192</c:v>
                </c:pt>
                <c:pt idx="80">
                  <c:v>6.5567783561580422</c:v>
                </c:pt>
                <c:pt idx="81">
                  <c:v>6.3681871863504922</c:v>
                </c:pt>
                <c:pt idx="82">
                  <c:v>6.3699009828282271</c:v>
                </c:pt>
                <c:pt idx="83">
                  <c:v>6.3681871863504922</c:v>
                </c:pt>
                <c:pt idx="84">
                  <c:v>6.4248690239053881</c:v>
                </c:pt>
                <c:pt idx="85">
                  <c:v>6.4738906963522744</c:v>
                </c:pt>
                <c:pt idx="86">
                  <c:v>6.5264948595707901</c:v>
                </c:pt>
                <c:pt idx="87">
                  <c:v>6.4754327167040904</c:v>
                </c:pt>
                <c:pt idx="88">
                  <c:v>6.6795991858443831</c:v>
                </c:pt>
                <c:pt idx="89">
                  <c:v>6.5581978028122689</c:v>
                </c:pt>
                <c:pt idx="90">
                  <c:v>6.513230110912307</c:v>
                </c:pt>
                <c:pt idx="91">
                  <c:v>6.4232469635335194</c:v>
                </c:pt>
                <c:pt idx="92">
                  <c:v>6.6253923680079563</c:v>
                </c:pt>
                <c:pt idx="93">
                  <c:v>6.3508857167147399</c:v>
                </c:pt>
                <c:pt idx="94">
                  <c:v>6.6025878921893364</c:v>
                </c:pt>
                <c:pt idx="95">
                  <c:v>6.5957805139613113</c:v>
                </c:pt>
                <c:pt idx="96">
                  <c:v>6.5596152374932419</c:v>
                </c:pt>
                <c:pt idx="97">
                  <c:v>6.4520489544372257</c:v>
                </c:pt>
                <c:pt idx="98">
                  <c:v>6.4800445619266531</c:v>
                </c:pt>
                <c:pt idx="99">
                  <c:v>6.5957805139613113</c:v>
                </c:pt>
                <c:pt idx="100">
                  <c:v>6.6846117276679271</c:v>
                </c:pt>
                <c:pt idx="101">
                  <c:v>6.5567783561580422</c:v>
                </c:pt>
                <c:pt idx="102">
                  <c:v>6.3985949345352076</c:v>
                </c:pt>
                <c:pt idx="103">
                  <c:v>6.5722825426940075</c:v>
                </c:pt>
                <c:pt idx="104">
                  <c:v>6.4216222678065176</c:v>
                </c:pt>
                <c:pt idx="105">
                  <c:v>6.5337888379333435</c:v>
                </c:pt>
                <c:pt idx="106">
                  <c:v>6.3868793193626452</c:v>
                </c:pt>
                <c:pt idx="107">
                  <c:v>6.4800445619266531</c:v>
                </c:pt>
                <c:pt idx="108">
                  <c:v>6.4692503167957724</c:v>
                </c:pt>
                <c:pt idx="109">
                  <c:v>6.4661447242376191</c:v>
                </c:pt>
                <c:pt idx="110">
                  <c:v>6.5453496603344199</c:v>
                </c:pt>
                <c:pt idx="111">
                  <c:v>6.5117453296447279</c:v>
                </c:pt>
                <c:pt idx="112">
                  <c:v>6.3350542514980592</c:v>
                </c:pt>
                <c:pt idx="113">
                  <c:v>6.5930445341424369</c:v>
                </c:pt>
                <c:pt idx="114">
                  <c:v>6.4520489544372257</c:v>
                </c:pt>
                <c:pt idx="115">
                  <c:v>6.5581978028122689</c:v>
                </c:pt>
                <c:pt idx="116">
                  <c:v>6.4313310819334788</c:v>
                </c:pt>
                <c:pt idx="117">
                  <c:v>6.5410299991899032</c:v>
                </c:pt>
                <c:pt idx="118">
                  <c:v>6.5366915975913047</c:v>
                </c:pt>
                <c:pt idx="119">
                  <c:v>6.3767269478986268</c:v>
                </c:pt>
                <c:pt idx="120">
                  <c:v>6.3681871863504922</c:v>
                </c:pt>
                <c:pt idx="121">
                  <c:v>6.5539334040258108</c:v>
                </c:pt>
                <c:pt idx="122">
                  <c:v>6.6052979209482015</c:v>
                </c:pt>
                <c:pt idx="123">
                  <c:v>6.4361503683694279</c:v>
                </c:pt>
                <c:pt idx="124">
                  <c:v>6.4676987261043539</c:v>
                </c:pt>
                <c:pt idx="125">
                  <c:v>6.576469569048224</c:v>
                </c:pt>
                <c:pt idx="126">
                  <c:v>6.4567696555721632</c:v>
                </c:pt>
                <c:pt idx="127">
                  <c:v>6.8564619845945867</c:v>
                </c:pt>
                <c:pt idx="128">
                  <c:v>6.6808546787902152</c:v>
                </c:pt>
                <c:pt idx="129">
                  <c:v>6.7730803756555353</c:v>
                </c:pt>
                <c:pt idx="130">
                  <c:v>6.7487595474916793</c:v>
                </c:pt>
                <c:pt idx="131">
                  <c:v>6.7604146910834277</c:v>
                </c:pt>
                <c:pt idx="132">
                  <c:v>6.8068293603921761</c:v>
                </c:pt>
                <c:pt idx="133">
                  <c:v>6.866933284461882</c:v>
                </c:pt>
                <c:pt idx="134">
                  <c:v>6.7310181004820828</c:v>
                </c:pt>
                <c:pt idx="135">
                  <c:v>6.7141705299094721</c:v>
                </c:pt>
                <c:pt idx="136">
                  <c:v>6.7855876450079293</c:v>
                </c:pt>
                <c:pt idx="137">
                  <c:v>6.7310181004820828</c:v>
                </c:pt>
                <c:pt idx="138">
                  <c:v>6.7511014689367599</c:v>
                </c:pt>
                <c:pt idx="139">
                  <c:v>6.7615727688040552</c:v>
                </c:pt>
                <c:pt idx="140">
                  <c:v>6.6770834612471361</c:v>
                </c:pt>
                <c:pt idx="141">
                  <c:v>6.6995003401616779</c:v>
                </c:pt>
                <c:pt idx="142">
                  <c:v>6.5206211275586963</c:v>
                </c:pt>
                <c:pt idx="143">
                  <c:v>6.5930445341424369</c:v>
                </c:pt>
                <c:pt idx="144">
                  <c:v>6.5957805139613113</c:v>
                </c:pt>
                <c:pt idx="145">
                  <c:v>6.5889264775335192</c:v>
                </c:pt>
                <c:pt idx="146">
                  <c:v>6.5453496603344199</c:v>
                </c:pt>
                <c:pt idx="147">
                  <c:v>6.5553568918106651</c:v>
                </c:pt>
                <c:pt idx="148">
                  <c:v>6.39024066706535</c:v>
                </c:pt>
                <c:pt idx="149">
                  <c:v>6.4800445619266531</c:v>
                </c:pt>
                <c:pt idx="150">
                  <c:v>6.5264948595707901</c:v>
                </c:pt>
                <c:pt idx="151">
                  <c:v>6.5998704992128365</c:v>
                </c:pt>
                <c:pt idx="152">
                  <c:v>6.4937538398516859</c:v>
                </c:pt>
                <c:pt idx="153">
                  <c:v>6.6160651851328174</c:v>
                </c:pt>
                <c:pt idx="154">
                  <c:v>6.6106960447177592</c:v>
                </c:pt>
                <c:pt idx="155">
                  <c:v>6.5117453296447279</c:v>
                </c:pt>
                <c:pt idx="156">
                  <c:v>6.576469569048224</c:v>
                </c:pt>
                <c:pt idx="157">
                  <c:v>6.4313310819334788</c:v>
                </c:pt>
                <c:pt idx="158">
                  <c:v>6.5694814204142959</c:v>
                </c:pt>
                <c:pt idx="159">
                  <c:v>6.5482191027623724</c:v>
                </c:pt>
                <c:pt idx="160">
                  <c:v>6.5206211275586963</c:v>
                </c:pt>
                <c:pt idx="161">
                  <c:v>6.4861607889440887</c:v>
                </c:pt>
                <c:pt idx="162">
                  <c:v>6.5102583405231496</c:v>
                </c:pt>
                <c:pt idx="163">
                  <c:v>6.5998704992128365</c:v>
                </c:pt>
                <c:pt idx="164">
                  <c:v>6.6489845500247764</c:v>
                </c:pt>
                <c:pt idx="165">
                  <c:v>6.6372580312844569</c:v>
                </c:pt>
                <c:pt idx="166">
                  <c:v>6.5482191027623724</c:v>
                </c:pt>
                <c:pt idx="167">
                  <c:v>6.3716118472318568</c:v>
                </c:pt>
                <c:pt idx="168">
                  <c:v>6.7093043402582984</c:v>
                </c:pt>
                <c:pt idx="169">
                  <c:v>6.678342114654332</c:v>
                </c:pt>
                <c:pt idx="170">
                  <c:v>6.6908422774185636</c:v>
                </c:pt>
                <c:pt idx="171">
                  <c:v>6.8405465292886873</c:v>
                </c:pt>
                <c:pt idx="172">
                  <c:v>6.8145428972599582</c:v>
                </c:pt>
                <c:pt idx="173">
                  <c:v>6.8068293603921761</c:v>
                </c:pt>
                <c:pt idx="174">
                  <c:v>6.8243736700430864</c:v>
                </c:pt>
                <c:pt idx="175">
                  <c:v>6.7345916599729483</c:v>
                </c:pt>
                <c:pt idx="176">
                  <c:v>6.7322107064672059</c:v>
                </c:pt>
                <c:pt idx="177">
                  <c:v>6.7787848976851768</c:v>
                </c:pt>
                <c:pt idx="178">
                  <c:v>6.9177056098353047</c:v>
                </c:pt>
                <c:pt idx="179">
                  <c:v>6.517671272912275</c:v>
                </c:pt>
                <c:pt idx="180">
                  <c:v>6.4068799860693142</c:v>
                </c:pt>
                <c:pt idx="181">
                  <c:v>6.523562306149512</c:v>
                </c:pt>
                <c:pt idx="182">
                  <c:v>6.517671272912275</c:v>
                </c:pt>
                <c:pt idx="183">
                  <c:v>6.4614681763537174</c:v>
                </c:pt>
                <c:pt idx="184">
                  <c:v>6.4425401664681985</c:v>
                </c:pt>
                <c:pt idx="185">
                  <c:v>6.4134589571673573</c:v>
                </c:pt>
                <c:pt idx="186">
                  <c:v>6.5806391372849493</c:v>
                </c:pt>
                <c:pt idx="187">
                  <c:v>6.5453496603344199</c:v>
                </c:pt>
                <c:pt idx="188">
                  <c:v>6.4504704221441758</c:v>
                </c:pt>
                <c:pt idx="189">
                  <c:v>6.6120410348330916</c:v>
                </c:pt>
                <c:pt idx="190">
                  <c:v>6.5072777123850116</c:v>
                </c:pt>
                <c:pt idx="191">
                  <c:v>6.5638555265321274</c:v>
                </c:pt>
                <c:pt idx="192">
                  <c:v>6.5539334040258108</c:v>
                </c:pt>
                <c:pt idx="193">
                  <c:v>6.4997870406558542</c:v>
                </c:pt>
                <c:pt idx="194">
                  <c:v>6.5820251388928259</c:v>
                </c:pt>
                <c:pt idx="195">
                  <c:v>6.5820251388928259</c:v>
                </c:pt>
                <c:pt idx="196">
                  <c:v>6.5998704992128365</c:v>
                </c:pt>
                <c:pt idx="197">
                  <c:v>6.6240652277998935</c:v>
                </c:pt>
                <c:pt idx="198">
                  <c:v>6.5553568918106651</c:v>
                </c:pt>
                <c:pt idx="199">
                  <c:v>6.6320017773956303</c:v>
                </c:pt>
                <c:pt idx="200">
                  <c:v>6.5596152374932419</c:v>
                </c:pt>
                <c:pt idx="201">
                  <c:v>6.5861716548546747</c:v>
                </c:pt>
                <c:pt idx="202">
                  <c:v>6.4876840184846101</c:v>
                </c:pt>
                <c:pt idx="203">
                  <c:v>6.5308776277258849</c:v>
                </c:pt>
                <c:pt idx="204">
                  <c:v>6.6039438246004725</c:v>
                </c:pt>
                <c:pt idx="205">
                  <c:v>6.5323342922223491</c:v>
                </c:pt>
                <c:pt idx="206">
                  <c:v>6.694562058521095</c:v>
                </c:pt>
                <c:pt idx="207">
                  <c:v>6.7511014689367599</c:v>
                </c:pt>
                <c:pt idx="208">
                  <c:v>6.8405465292886873</c:v>
                </c:pt>
                <c:pt idx="209">
                  <c:v>6.6707663208458738</c:v>
                </c:pt>
                <c:pt idx="210">
                  <c:v>6.776506992372183</c:v>
                </c:pt>
                <c:pt idx="211">
                  <c:v>6.8145428972599582</c:v>
                </c:pt>
                <c:pt idx="212">
                  <c:v>6.7322107064672059</c:v>
                </c:pt>
                <c:pt idx="213">
                  <c:v>6.7957057751735137</c:v>
                </c:pt>
                <c:pt idx="214">
                  <c:v>6.8243736700430864</c:v>
                </c:pt>
                <c:pt idx="215">
                  <c:v>6.8134445995108956</c:v>
                </c:pt>
                <c:pt idx="216">
                  <c:v>6.7627295069318789</c:v>
                </c:pt>
                <c:pt idx="217">
                  <c:v>6.7730803756555353</c:v>
                </c:pt>
                <c:pt idx="218">
                  <c:v>6.7604146910834277</c:v>
                </c:pt>
                <c:pt idx="219">
                  <c:v>6.7833252006039597</c:v>
                </c:pt>
                <c:pt idx="220">
                  <c:v>6.8079349436999257</c:v>
                </c:pt>
                <c:pt idx="221">
                  <c:v>6.4769723628896827</c:v>
                </c:pt>
                <c:pt idx="222">
                  <c:v>6.4425401664681985</c:v>
                </c:pt>
                <c:pt idx="223">
                  <c:v>6.6080006252960866</c:v>
                </c:pt>
                <c:pt idx="224">
                  <c:v>6.577861357721047</c:v>
                </c:pt>
                <c:pt idx="225">
                  <c:v>6.543911845564792</c:v>
                </c:pt>
                <c:pt idx="226">
                  <c:v>6.5161930760429643</c:v>
                </c:pt>
                <c:pt idx="227">
                  <c:v>6.6908422774185636</c:v>
                </c:pt>
                <c:pt idx="228">
                  <c:v>6.5834092221587648</c:v>
                </c:pt>
                <c:pt idx="229">
                  <c:v>6.5736801669606457</c:v>
                </c:pt>
                <c:pt idx="230">
                  <c:v>6.4248690239053881</c:v>
                </c:pt>
                <c:pt idx="231">
                  <c:v>6.5567783561580422</c:v>
                </c:pt>
                <c:pt idx="232">
                  <c:v>6.5903010481966859</c:v>
                </c:pt>
                <c:pt idx="233">
                  <c:v>6.5736801669606457</c:v>
                </c:pt>
                <c:pt idx="234">
                  <c:v>6.5352412710136587</c:v>
                </c:pt>
              </c:numCache>
            </c:numRef>
          </c:xVal>
          <c:yVal>
            <c:numRef>
              <c:f>'Harrison POH-fecundity rel''p'!$E$3:$E$237</c:f>
              <c:numCache>
                <c:formatCode>0.0</c:formatCode>
                <c:ptCount val="235"/>
                <c:pt idx="0">
                  <c:v>8.1315307106042525</c:v>
                </c:pt>
                <c:pt idx="1">
                  <c:v>8.5167931113948985</c:v>
                </c:pt>
                <c:pt idx="2">
                  <c:v>8.1684864171266813</c:v>
                </c:pt>
                <c:pt idx="3">
                  <c:v>8.3091845276862983</c:v>
                </c:pt>
                <c:pt idx="4">
                  <c:v>8.2324401584703359</c:v>
                </c:pt>
                <c:pt idx="5">
                  <c:v>8.2303107991350206</c:v>
                </c:pt>
                <c:pt idx="6">
                  <c:v>7.9613702017195109</c:v>
                </c:pt>
                <c:pt idx="7">
                  <c:v>8.479698986988657</c:v>
                </c:pt>
                <c:pt idx="8">
                  <c:v>8.4153819252695534</c:v>
                </c:pt>
                <c:pt idx="9">
                  <c:v>7.7084106672573673</c:v>
                </c:pt>
                <c:pt idx="10">
                  <c:v>8.2589404629884591</c:v>
                </c:pt>
                <c:pt idx="11">
                  <c:v>8.4652681185513181</c:v>
                </c:pt>
                <c:pt idx="12">
                  <c:v>8.5167931113948985</c:v>
                </c:pt>
                <c:pt idx="13">
                  <c:v>8.1321187729558062</c:v>
                </c:pt>
                <c:pt idx="14">
                  <c:v>8.2466959437185565</c:v>
                </c:pt>
                <c:pt idx="15">
                  <c:v>8.0971219309187106</c:v>
                </c:pt>
                <c:pt idx="16">
                  <c:v>7.9526151116510002</c:v>
                </c:pt>
                <c:pt idx="17">
                  <c:v>8.4904384541074176</c:v>
                </c:pt>
                <c:pt idx="18">
                  <c:v>7.9645033635515476</c:v>
                </c:pt>
                <c:pt idx="19">
                  <c:v>8.6600806789647855</c:v>
                </c:pt>
                <c:pt idx="20">
                  <c:v>8.498825534058053</c:v>
                </c:pt>
                <c:pt idx="21">
                  <c:v>8.3728608205263182</c:v>
                </c:pt>
                <c:pt idx="22">
                  <c:v>8.6427680143243037</c:v>
                </c:pt>
                <c:pt idx="23">
                  <c:v>7.9337968748154113</c:v>
                </c:pt>
                <c:pt idx="24">
                  <c:v>8.4314174143948328</c:v>
                </c:pt>
                <c:pt idx="25">
                  <c:v>8.2438084236652802</c:v>
                </c:pt>
                <c:pt idx="26">
                  <c:v>8.2597169610215229</c:v>
                </c:pt>
                <c:pt idx="27">
                  <c:v>7.8168199657645525</c:v>
                </c:pt>
                <c:pt idx="28">
                  <c:v>8.228443883004033</c:v>
                </c:pt>
                <c:pt idx="29">
                  <c:v>8.1789193328483965</c:v>
                </c:pt>
                <c:pt idx="30">
                  <c:v>8.1704685783306736</c:v>
                </c:pt>
                <c:pt idx="31">
                  <c:v>8.3303815693494183</c:v>
                </c:pt>
                <c:pt idx="32">
                  <c:v>8.2155474119470693</c:v>
                </c:pt>
                <c:pt idx="33">
                  <c:v>8.2947993589925737</c:v>
                </c:pt>
                <c:pt idx="34">
                  <c:v>8.5227775697101382</c:v>
                </c:pt>
                <c:pt idx="35">
                  <c:v>8.371936178759098</c:v>
                </c:pt>
                <c:pt idx="36">
                  <c:v>8.2498364854257016</c:v>
                </c:pt>
                <c:pt idx="37">
                  <c:v>7.818430272070656</c:v>
                </c:pt>
                <c:pt idx="38">
                  <c:v>8.7463983341090419</c:v>
                </c:pt>
                <c:pt idx="39">
                  <c:v>8.5671255601644472</c:v>
                </c:pt>
                <c:pt idx="40">
                  <c:v>8.1152219725623294</c:v>
                </c:pt>
                <c:pt idx="41">
                  <c:v>7.6998424073969858</c:v>
                </c:pt>
                <c:pt idx="42">
                  <c:v>8.3002801898526641</c:v>
                </c:pt>
                <c:pt idx="43">
                  <c:v>8.0611713596909205</c:v>
                </c:pt>
                <c:pt idx="44">
                  <c:v>8.2158177918324533</c:v>
                </c:pt>
                <c:pt idx="45">
                  <c:v>7.8819374892720697</c:v>
                </c:pt>
                <c:pt idx="46">
                  <c:v>7.6907431635418719</c:v>
                </c:pt>
                <c:pt idx="47">
                  <c:v>8.4429005868343818</c:v>
                </c:pt>
                <c:pt idx="48">
                  <c:v>8.2927988582003742</c:v>
                </c:pt>
                <c:pt idx="49">
                  <c:v>8.4599877176454576</c:v>
                </c:pt>
                <c:pt idx="50">
                  <c:v>8.4465561118167969</c:v>
                </c:pt>
                <c:pt idx="51">
                  <c:v>8.4131651209921898</c:v>
                </c:pt>
                <c:pt idx="52">
                  <c:v>8.3563199658281526</c:v>
                </c:pt>
                <c:pt idx="53">
                  <c:v>7.3987862754199485</c:v>
                </c:pt>
                <c:pt idx="54">
                  <c:v>8.7130888682373104</c:v>
                </c:pt>
                <c:pt idx="55">
                  <c:v>8.5043105655852234</c:v>
                </c:pt>
                <c:pt idx="56">
                  <c:v>8.482601746646619</c:v>
                </c:pt>
                <c:pt idx="57">
                  <c:v>8.367532416861831</c:v>
                </c:pt>
                <c:pt idx="58">
                  <c:v>8.5991417740634049</c:v>
                </c:pt>
                <c:pt idx="59">
                  <c:v>7.8868329989550565</c:v>
                </c:pt>
                <c:pt idx="60">
                  <c:v>8.052296499538647</c:v>
                </c:pt>
                <c:pt idx="61">
                  <c:v>7.8766384609754629</c:v>
                </c:pt>
                <c:pt idx="62">
                  <c:v>7.9571773234594749</c:v>
                </c:pt>
                <c:pt idx="63">
                  <c:v>8.6117758339021862</c:v>
                </c:pt>
                <c:pt idx="64">
                  <c:v>8.6119577678606607</c:v>
                </c:pt>
                <c:pt idx="65">
                  <c:v>7.7111012518401578</c:v>
                </c:pt>
                <c:pt idx="66">
                  <c:v>8.2027563816556377</c:v>
                </c:pt>
                <c:pt idx="67">
                  <c:v>8.0339827346832209</c:v>
                </c:pt>
                <c:pt idx="68">
                  <c:v>8.1435174057974802</c:v>
                </c:pt>
                <c:pt idx="69">
                  <c:v>8.1766727719484553</c:v>
                </c:pt>
                <c:pt idx="70">
                  <c:v>8.6039211949260608</c:v>
                </c:pt>
                <c:pt idx="71">
                  <c:v>7.9035962896143008</c:v>
                </c:pt>
                <c:pt idx="72">
                  <c:v>8.2845042272584966</c:v>
                </c:pt>
                <c:pt idx="73">
                  <c:v>8.2819770588677581</c:v>
                </c:pt>
                <c:pt idx="74">
                  <c:v>8.2781742909437384</c:v>
                </c:pt>
                <c:pt idx="75">
                  <c:v>8.2063107257940207</c:v>
                </c:pt>
                <c:pt idx="76">
                  <c:v>8.2084917517403806</c:v>
                </c:pt>
                <c:pt idx="77">
                  <c:v>8.2139235956227434</c:v>
                </c:pt>
                <c:pt idx="78">
                  <c:v>8.0715308935566608</c:v>
                </c:pt>
                <c:pt idx="79">
                  <c:v>8.6253298500208153</c:v>
                </c:pt>
                <c:pt idx="80">
                  <c:v>8.3057311448758657</c:v>
                </c:pt>
                <c:pt idx="81">
                  <c:v>8.3893598199063533</c:v>
                </c:pt>
                <c:pt idx="82">
                  <c:v>8.2168985809136128</c:v>
                </c:pt>
                <c:pt idx="83">
                  <c:v>8.0182961385155203</c:v>
                </c:pt>
                <c:pt idx="84">
                  <c:v>8.1527740527440749</c:v>
                </c:pt>
                <c:pt idx="85">
                  <c:v>8.6360423252546177</c:v>
                </c:pt>
                <c:pt idx="86">
                  <c:v>8.3850322878138979</c:v>
                </c:pt>
                <c:pt idx="87">
                  <c:v>8.2155474119470693</c:v>
                </c:pt>
                <c:pt idx="88">
                  <c:v>8.7048339096877925</c:v>
                </c:pt>
                <c:pt idx="89">
                  <c:v>7.2449415463370066</c:v>
                </c:pt>
                <c:pt idx="90">
                  <c:v>7.6596429545646822</c:v>
                </c:pt>
                <c:pt idx="91">
                  <c:v>8.1633713164599122</c:v>
                </c:pt>
                <c:pt idx="92">
                  <c:v>8.58876938990546</c:v>
                </c:pt>
                <c:pt idx="93">
                  <c:v>7.6172678136283469</c:v>
                </c:pt>
                <c:pt idx="94">
                  <c:v>9.0629997840774728</c:v>
                </c:pt>
                <c:pt idx="95">
                  <c:v>8.5950797300733086</c:v>
                </c:pt>
                <c:pt idx="96">
                  <c:v>8.3402173209470352</c:v>
                </c:pt>
                <c:pt idx="97">
                  <c:v>8.1670681783412373</c:v>
                </c:pt>
                <c:pt idx="98">
                  <c:v>7.8410997654221193</c:v>
                </c:pt>
                <c:pt idx="99">
                  <c:v>8.6740259854430253</c:v>
                </c:pt>
                <c:pt idx="100">
                  <c:v>8.5085559980205741</c:v>
                </c:pt>
                <c:pt idx="101">
                  <c:v>8.3059782109673019</c:v>
                </c:pt>
                <c:pt idx="102">
                  <c:v>8.2393294279017955</c:v>
                </c:pt>
                <c:pt idx="103">
                  <c:v>8.0724673693547704</c:v>
                </c:pt>
                <c:pt idx="104">
                  <c:v>8.5859727068110629</c:v>
                </c:pt>
                <c:pt idx="105">
                  <c:v>8.3461675943641342</c:v>
                </c:pt>
                <c:pt idx="106">
                  <c:v>8.4394478427913846</c:v>
                </c:pt>
                <c:pt idx="107">
                  <c:v>8.4881762423457445</c:v>
                </c:pt>
                <c:pt idx="108">
                  <c:v>8.1645102687470423</c:v>
                </c:pt>
                <c:pt idx="109">
                  <c:v>8.5869058038275377</c:v>
                </c:pt>
                <c:pt idx="110">
                  <c:v>8.3645081037505893</c:v>
                </c:pt>
                <c:pt idx="111">
                  <c:v>7.9160780963027859</c:v>
                </c:pt>
                <c:pt idx="112">
                  <c:v>8.1900770497190489</c:v>
                </c:pt>
                <c:pt idx="113">
                  <c:v>8.235625719964311</c:v>
                </c:pt>
                <c:pt idx="114">
                  <c:v>8.4316353030545912</c:v>
                </c:pt>
                <c:pt idx="115">
                  <c:v>8.2542687700901833</c:v>
                </c:pt>
                <c:pt idx="116">
                  <c:v>8.4193598310674744</c:v>
                </c:pt>
                <c:pt idx="117">
                  <c:v>7.9979993179797297</c:v>
                </c:pt>
                <c:pt idx="118">
                  <c:v>7.8969246562688644</c:v>
                </c:pt>
                <c:pt idx="119">
                  <c:v>7.7939990895039957</c:v>
                </c:pt>
                <c:pt idx="120">
                  <c:v>7.9905768817439231</c:v>
                </c:pt>
                <c:pt idx="121">
                  <c:v>8.5195903160159592</c:v>
                </c:pt>
                <c:pt idx="122">
                  <c:v>8.3661377164962811</c:v>
                </c:pt>
                <c:pt idx="123">
                  <c:v>8.3466420902211986</c:v>
                </c:pt>
                <c:pt idx="124">
                  <c:v>8.2887858104269281</c:v>
                </c:pt>
                <c:pt idx="125">
                  <c:v>8.4046961601890917</c:v>
                </c:pt>
                <c:pt idx="126">
                  <c:v>8.1128274787513739</c:v>
                </c:pt>
                <c:pt idx="127">
                  <c:v>8.3366300876371469</c:v>
                </c:pt>
                <c:pt idx="128">
                  <c:v>8.3742461820963037</c:v>
                </c:pt>
                <c:pt idx="129">
                  <c:v>8.1967124072130702</c:v>
                </c:pt>
                <c:pt idx="130">
                  <c:v>8.2466959437185565</c:v>
                </c:pt>
                <c:pt idx="131">
                  <c:v>7.7257714415879519</c:v>
                </c:pt>
                <c:pt idx="132">
                  <c:v>8.467582690862903</c:v>
                </c:pt>
                <c:pt idx="133">
                  <c:v>8.6193887037309072</c:v>
                </c:pt>
                <c:pt idx="134">
                  <c:v>8.0768260312988076</c:v>
                </c:pt>
                <c:pt idx="135">
                  <c:v>8.355850041007475</c:v>
                </c:pt>
                <c:pt idx="136">
                  <c:v>8.3909494648419862</c:v>
                </c:pt>
                <c:pt idx="137">
                  <c:v>8.136518252115291</c:v>
                </c:pt>
                <c:pt idx="138">
                  <c:v>8.2268408904085781</c:v>
                </c:pt>
                <c:pt idx="139">
                  <c:v>8.3371091295624744</c:v>
                </c:pt>
                <c:pt idx="140">
                  <c:v>8.1625162501401789</c:v>
                </c:pt>
                <c:pt idx="141">
                  <c:v>8.0848706291381909</c:v>
                </c:pt>
                <c:pt idx="142">
                  <c:v>8.3466420902211986</c:v>
                </c:pt>
                <c:pt idx="143">
                  <c:v>8.6181239099946776</c:v>
                </c:pt>
                <c:pt idx="144">
                  <c:v>8.4920804906011629</c:v>
                </c:pt>
                <c:pt idx="145">
                  <c:v>8.3506662405209244</c:v>
                </c:pt>
                <c:pt idx="146">
                  <c:v>8.5153915694696085</c:v>
                </c:pt>
                <c:pt idx="147">
                  <c:v>8.3668353098276746</c:v>
                </c:pt>
                <c:pt idx="148">
                  <c:v>8.2350954972583565</c:v>
                </c:pt>
                <c:pt idx="149">
                  <c:v>8.2746119462095518</c:v>
                </c:pt>
                <c:pt idx="150">
                  <c:v>8.2705250950550706</c:v>
                </c:pt>
                <c:pt idx="151">
                  <c:v>7.8697839025301457</c:v>
                </c:pt>
                <c:pt idx="152">
                  <c:v>8.4118326757584114</c:v>
                </c:pt>
                <c:pt idx="153">
                  <c:v>8.5053230188457505</c:v>
                </c:pt>
                <c:pt idx="154">
                  <c:v>8.5320818039099873</c:v>
                </c:pt>
                <c:pt idx="155">
                  <c:v>8.4200212796639633</c:v>
                </c:pt>
                <c:pt idx="156">
                  <c:v>8.4751204149943291</c:v>
                </c:pt>
                <c:pt idx="157">
                  <c:v>8.3395009030059448</c:v>
                </c:pt>
                <c:pt idx="158">
                  <c:v>8.1665003191550518</c:v>
                </c:pt>
                <c:pt idx="159">
                  <c:v>7.7617449846589128</c:v>
                </c:pt>
                <c:pt idx="160">
                  <c:v>8.288534459413917</c:v>
                </c:pt>
                <c:pt idx="161">
                  <c:v>8.3062252160321606</c:v>
                </c:pt>
                <c:pt idx="162">
                  <c:v>8.3941211938262423</c:v>
                </c:pt>
                <c:pt idx="163">
                  <c:v>8.3167891270715177</c:v>
                </c:pt>
                <c:pt idx="164">
                  <c:v>8.4661104011869206</c:v>
                </c:pt>
                <c:pt idx="165">
                  <c:v>8.657476736863293</c:v>
                </c:pt>
                <c:pt idx="166">
                  <c:v>8.3473534121243382</c:v>
                </c:pt>
                <c:pt idx="167">
                  <c:v>7.9098566672694028</c:v>
                </c:pt>
                <c:pt idx="168">
                  <c:v>8.4042484324001023</c:v>
                </c:pt>
                <c:pt idx="169">
                  <c:v>8.0690293287749579</c:v>
                </c:pt>
                <c:pt idx="170">
                  <c:v>8.384575666801398</c:v>
                </c:pt>
                <c:pt idx="171">
                  <c:v>8.6399416566752905</c:v>
                </c:pt>
                <c:pt idx="172">
                  <c:v>8.1426451859427953</c:v>
                </c:pt>
                <c:pt idx="173">
                  <c:v>8.4142741374083965</c:v>
                </c:pt>
                <c:pt idx="174">
                  <c:v>8.3993101507595203</c:v>
                </c:pt>
                <c:pt idx="175">
                  <c:v>8.3423635003805785</c:v>
                </c:pt>
                <c:pt idx="176">
                  <c:v>8.3052368294925927</c:v>
                </c:pt>
                <c:pt idx="177">
                  <c:v>8.2390653317692681</c:v>
                </c:pt>
                <c:pt idx="178">
                  <c:v>8.6798221148644554</c:v>
                </c:pt>
                <c:pt idx="179">
                  <c:v>8.0808564196409858</c:v>
                </c:pt>
                <c:pt idx="180">
                  <c:v>7.9571773234594749</c:v>
                </c:pt>
                <c:pt idx="181">
                  <c:v>8.3072126266283082</c:v>
                </c:pt>
                <c:pt idx="182">
                  <c:v>8.1458396129368413</c:v>
                </c:pt>
                <c:pt idx="183">
                  <c:v>8.3121351076484125</c:v>
                </c:pt>
                <c:pt idx="184">
                  <c:v>8.5177930114882052</c:v>
                </c:pt>
                <c:pt idx="185">
                  <c:v>7.9578773584898128</c:v>
                </c:pt>
                <c:pt idx="186">
                  <c:v>8.5153915694696085</c:v>
                </c:pt>
                <c:pt idx="187">
                  <c:v>8.3332703532553083</c:v>
                </c:pt>
                <c:pt idx="188">
                  <c:v>8.1704685783306736</c:v>
                </c:pt>
                <c:pt idx="189">
                  <c:v>8.429235912657095</c:v>
                </c:pt>
                <c:pt idx="190">
                  <c:v>8.3167891270715177</c:v>
                </c:pt>
                <c:pt idx="191">
                  <c:v>8.4314174143948328</c:v>
                </c:pt>
                <c:pt idx="192">
                  <c:v>8.1565102260799662</c:v>
                </c:pt>
                <c:pt idx="193">
                  <c:v>8.4080477441554393</c:v>
                </c:pt>
                <c:pt idx="194">
                  <c:v>8.4335941675399244</c:v>
                </c:pt>
                <c:pt idx="195">
                  <c:v>8.2190566610605984</c:v>
                </c:pt>
                <c:pt idx="196">
                  <c:v>8.4064850694318167</c:v>
                </c:pt>
                <c:pt idx="197">
                  <c:v>8.4937198352305945</c:v>
                </c:pt>
                <c:pt idx="198">
                  <c:v>8.3325489392526375</c:v>
                </c:pt>
                <c:pt idx="199">
                  <c:v>8.5852256018080642</c:v>
                </c:pt>
                <c:pt idx="200">
                  <c:v>8.3551447394618386</c:v>
                </c:pt>
                <c:pt idx="201">
                  <c:v>8.3079525452710197</c:v>
                </c:pt>
                <c:pt idx="202">
                  <c:v>8.3113982784366414</c:v>
                </c:pt>
                <c:pt idx="203">
                  <c:v>8.1388567506963252</c:v>
                </c:pt>
                <c:pt idx="204">
                  <c:v>8.1956095672887752</c:v>
                </c:pt>
                <c:pt idx="205">
                  <c:v>8.325063693631197</c:v>
                </c:pt>
                <c:pt idx="206">
                  <c:v>8.1991893590780673</c:v>
                </c:pt>
                <c:pt idx="207">
                  <c:v>8.1665003191550518</c:v>
                </c:pt>
                <c:pt idx="208">
                  <c:v>8.3934423839800623</c:v>
                </c:pt>
                <c:pt idx="209">
                  <c:v>8.5893277891754369</c:v>
                </c:pt>
                <c:pt idx="210">
                  <c:v>8.4992328660392449</c:v>
                </c:pt>
                <c:pt idx="211">
                  <c:v>8.5521741603114823</c:v>
                </c:pt>
                <c:pt idx="212">
                  <c:v>8.2120258046234369</c:v>
                </c:pt>
                <c:pt idx="213">
                  <c:v>8.4961738241921623</c:v>
                </c:pt>
                <c:pt idx="214">
                  <c:v>8.596004371840527</c:v>
                </c:pt>
                <c:pt idx="215">
                  <c:v>8.4973985640880585</c:v>
                </c:pt>
                <c:pt idx="216">
                  <c:v>8.4656893485491214</c:v>
                </c:pt>
                <c:pt idx="217">
                  <c:v>8.3673001018416198</c:v>
                </c:pt>
                <c:pt idx="218">
                  <c:v>8.4124991203015718</c:v>
                </c:pt>
                <c:pt idx="219">
                  <c:v>8.5600610916434139</c:v>
                </c:pt>
                <c:pt idx="220">
                  <c:v>8.3471163610387205</c:v>
                </c:pt>
                <c:pt idx="221">
                  <c:v>8.527539483470381</c:v>
                </c:pt>
                <c:pt idx="222">
                  <c:v>8.1276998528177717</c:v>
                </c:pt>
                <c:pt idx="223">
                  <c:v>8.3827470948633138</c:v>
                </c:pt>
                <c:pt idx="224">
                  <c:v>8.2980416613715651</c:v>
                </c:pt>
                <c:pt idx="225">
                  <c:v>8.3315862436307544</c:v>
                </c:pt>
                <c:pt idx="226">
                  <c:v>8.1315307106042525</c:v>
                </c:pt>
                <c:pt idx="227">
                  <c:v>8.6736839881756698</c:v>
                </c:pt>
                <c:pt idx="228">
                  <c:v>8.4902330098334549</c:v>
                </c:pt>
                <c:pt idx="229">
                  <c:v>8.398860004454372</c:v>
                </c:pt>
                <c:pt idx="230">
                  <c:v>8.0690293287749579</c:v>
                </c:pt>
                <c:pt idx="231">
                  <c:v>8.3426016806841936</c:v>
                </c:pt>
                <c:pt idx="232">
                  <c:v>8.5659833555856686</c:v>
                </c:pt>
                <c:pt idx="233">
                  <c:v>8.3749381438353669</c:v>
                </c:pt>
                <c:pt idx="234">
                  <c:v>8.228443883004033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18-41DE-8167-2D6033188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202536"/>
        <c:axId val="820208768"/>
      </c:scatterChart>
      <c:valAx>
        <c:axId val="82020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08768"/>
        <c:crosses val="autoZero"/>
        <c:crossBetween val="midCat"/>
      </c:valAx>
      <c:valAx>
        <c:axId val="8202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0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591820</xdr:colOff>
      <xdr:row>0</xdr:row>
      <xdr:rowOff>168910</xdr:rowOff>
    </xdr:from>
    <xdr:to>
      <xdr:col>22</xdr:col>
      <xdr:colOff>287020</xdr:colOff>
      <xdr:row>15</xdr:row>
      <xdr:rowOff>168910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BA855-4240-43E0-8233-F28B0546F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12700</xdr:colOff>
      <xdr:row>16</xdr:row>
      <xdr:rowOff>111125</xdr:rowOff>
    </xdr:from>
    <xdr:to>
      <xdr:col>22</xdr:col>
      <xdr:colOff>317500</xdr:colOff>
      <xdr:row>31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12690D-63BB-4BE4-A7EA-E1E5230FD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198120</xdr:colOff>
      <xdr:row>0</xdr:row>
      <xdr:rowOff>144780</xdr:rowOff>
    </xdr:from>
    <xdr:to>
      <xdr:col>40</xdr:col>
      <xdr:colOff>198120</xdr:colOff>
      <xdr:row>10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EAD04B-0CB5-4E4C-A110-D6AC377D1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13</xdr:col>
      <xdr:colOff>304800</xdr:colOff>
      <xdr:row>27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77BFCA-5C77-4FF8-BC20-7F31DB7D3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rkenc\Documents\Fraser%20Chinook\Harrison\fecundity\Harrison_fecundity_CSAS_2020.xlsx" TargetMode="External"/><Relationship Id="rId1" Type="http://schemas.openxmlformats.org/officeDocument/2006/relationships/externalLinkPath" Target="Harrison_fecundity_CSA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rison POH-fecundity rel'p"/>
      <sheetName val="Female Length Biosample Data"/>
      <sheetName val="Mean POH by age"/>
      <sheetName val="Paired POH-FL female data"/>
      <sheetName val="Summary figures"/>
    </sheetNames>
    <sheetDataSet>
      <sheetData sheetId="0">
        <row r="3">
          <cell r="B3">
            <v>625</v>
          </cell>
          <cell r="C3">
            <v>3400</v>
          </cell>
          <cell r="D3">
            <v>6.4377516497364011</v>
          </cell>
          <cell r="E3">
            <v>8.1315307106042525</v>
          </cell>
        </row>
        <row r="4">
          <cell r="B4">
            <v>670</v>
          </cell>
          <cell r="C4">
            <v>4998</v>
          </cell>
          <cell r="D4">
            <v>6.5072777123850116</v>
          </cell>
          <cell r="E4">
            <v>8.5167931113948985</v>
          </cell>
        </row>
        <row r="5">
          <cell r="B5">
            <v>688</v>
          </cell>
          <cell r="C5">
            <v>3528</v>
          </cell>
          <cell r="D5">
            <v>6.5337888379333435</v>
          </cell>
          <cell r="E5">
            <v>8.1684864171266813</v>
          </cell>
        </row>
        <row r="6">
          <cell r="B6">
            <v>614</v>
          </cell>
          <cell r="C6">
            <v>4061</v>
          </cell>
          <cell r="D6">
            <v>6.4199949281471422</v>
          </cell>
          <cell r="E6">
            <v>8.3091845276862983</v>
          </cell>
        </row>
        <row r="7">
          <cell r="B7">
            <v>658</v>
          </cell>
          <cell r="C7">
            <v>3761</v>
          </cell>
          <cell r="D7">
            <v>6.4892049313253173</v>
          </cell>
          <cell r="E7">
            <v>8.2324401584703359</v>
          </cell>
        </row>
        <row r="8">
          <cell r="B8">
            <v>621</v>
          </cell>
          <cell r="C8">
            <v>3753</v>
          </cell>
          <cell r="D8">
            <v>6.4313310819334788</v>
          </cell>
          <cell r="E8">
            <v>8.2303107991350206</v>
          </cell>
        </row>
        <row r="9">
          <cell r="B9">
            <v>604</v>
          </cell>
          <cell r="C9">
            <v>2868</v>
          </cell>
          <cell r="D9">
            <v>6.4035741979348151</v>
          </cell>
          <cell r="E9">
            <v>7.9613702017195109</v>
          </cell>
        </row>
        <row r="10">
          <cell r="B10">
            <v>694</v>
          </cell>
          <cell r="C10">
            <v>4816</v>
          </cell>
          <cell r="D10">
            <v>6.5424719605068047</v>
          </cell>
          <cell r="E10">
            <v>8.479698986988657</v>
          </cell>
        </row>
        <row r="11">
          <cell r="B11">
            <v>667</v>
          </cell>
          <cell r="C11">
            <v>4516</v>
          </cell>
          <cell r="D11">
            <v>6.5027900459156234</v>
          </cell>
          <cell r="E11">
            <v>8.4153819252695534</v>
          </cell>
        </row>
        <row r="12">
          <cell r="B12">
            <v>706</v>
          </cell>
          <cell r="C12">
            <v>2227</v>
          </cell>
          <cell r="D12">
            <v>6.5596152374932419</v>
          </cell>
          <cell r="E12">
            <v>7.7084106672573673</v>
          </cell>
        </row>
        <row r="13">
          <cell r="B13">
            <v>587</v>
          </cell>
          <cell r="C13">
            <v>3862</v>
          </cell>
          <cell r="D13">
            <v>6.3750248198280968</v>
          </cell>
          <cell r="E13">
            <v>8.2589404629884591</v>
          </cell>
        </row>
        <row r="14">
          <cell r="B14">
            <v>657</v>
          </cell>
          <cell r="C14">
            <v>4747</v>
          </cell>
          <cell r="D14">
            <v>6.4876840184846101</v>
          </cell>
          <cell r="E14">
            <v>8.4652681185513181</v>
          </cell>
        </row>
        <row r="15">
          <cell r="B15">
            <v>725</v>
          </cell>
          <cell r="C15">
            <v>4998</v>
          </cell>
          <cell r="D15">
            <v>6.5861716548546747</v>
          </cell>
          <cell r="E15">
            <v>8.5167931113948985</v>
          </cell>
        </row>
        <row r="16">
          <cell r="B16">
            <v>583</v>
          </cell>
          <cell r="C16">
            <v>3402</v>
          </cell>
          <cell r="D16">
            <v>6.3681871863504922</v>
          </cell>
          <cell r="E16">
            <v>8.1321187729558062</v>
          </cell>
        </row>
        <row r="17">
          <cell r="B17">
            <v>615</v>
          </cell>
          <cell r="C17">
            <v>3815</v>
          </cell>
          <cell r="D17">
            <v>6.4216222678065176</v>
          </cell>
          <cell r="E17">
            <v>8.2466959437185565</v>
          </cell>
        </row>
        <row r="18">
          <cell r="B18">
            <v>651</v>
          </cell>
          <cell r="C18">
            <v>3285</v>
          </cell>
          <cell r="D18">
            <v>6.4785096422085688</v>
          </cell>
          <cell r="E18">
            <v>8.0971219309187106</v>
          </cell>
        </row>
        <row r="19">
          <cell r="B19">
            <v>574</v>
          </cell>
          <cell r="C19">
            <v>2843</v>
          </cell>
          <cell r="D19">
            <v>6.3526293963195668</v>
          </cell>
          <cell r="E19">
            <v>7.9526151116510002</v>
          </cell>
        </row>
        <row r="20">
          <cell r="B20">
            <v>681</v>
          </cell>
          <cell r="C20">
            <v>4868</v>
          </cell>
          <cell r="D20">
            <v>6.523562306149512</v>
          </cell>
          <cell r="E20">
            <v>8.4904384541074176</v>
          </cell>
        </row>
        <row r="21">
          <cell r="B21">
            <v>577</v>
          </cell>
          <cell r="C21">
            <v>2877</v>
          </cell>
          <cell r="D21">
            <v>6.3578422665080998</v>
          </cell>
          <cell r="E21">
            <v>7.9645033635515476</v>
          </cell>
        </row>
        <row r="22">
          <cell r="B22">
            <v>738</v>
          </cell>
          <cell r="C22">
            <v>5768</v>
          </cell>
          <cell r="D22">
            <v>6.6039438246004725</v>
          </cell>
          <cell r="E22">
            <v>8.6600806789647855</v>
          </cell>
        </row>
        <row r="23">
          <cell r="B23">
            <v>762</v>
          </cell>
          <cell r="C23">
            <v>4909</v>
          </cell>
          <cell r="D23">
            <v>6.6359465556866466</v>
          </cell>
          <cell r="E23">
            <v>8.498825534058053</v>
          </cell>
        </row>
        <row r="24">
          <cell r="B24">
            <v>783</v>
          </cell>
          <cell r="C24">
            <v>4328</v>
          </cell>
          <cell r="D24">
            <v>6.6631326959908028</v>
          </cell>
          <cell r="E24">
            <v>8.3728608205263182</v>
          </cell>
        </row>
        <row r="25">
          <cell r="B25">
            <v>813</v>
          </cell>
          <cell r="C25">
            <v>5669</v>
          </cell>
          <cell r="D25">
            <v>6.7007311095478101</v>
          </cell>
          <cell r="E25">
            <v>8.6427680143243037</v>
          </cell>
          <cell r="AB25">
            <v>-354.66349374460742</v>
          </cell>
        </row>
        <row r="26">
          <cell r="B26">
            <v>643</v>
          </cell>
          <cell r="C26">
            <v>2790</v>
          </cell>
          <cell r="D26">
            <v>6.4661447242376191</v>
          </cell>
          <cell r="E26">
            <v>7.9337968748154113</v>
          </cell>
          <cell r="AB26">
            <v>1063.4440903962882</v>
          </cell>
        </row>
        <row r="27">
          <cell r="B27">
            <v>698</v>
          </cell>
          <cell r="C27">
            <v>4589</v>
          </cell>
          <cell r="D27">
            <v>6.5482191027623724</v>
          </cell>
          <cell r="E27">
            <v>8.4314174143948328</v>
          </cell>
          <cell r="AB27">
            <v>-478.51287594735322</v>
          </cell>
        </row>
        <row r="28">
          <cell r="B28">
            <v>692</v>
          </cell>
          <cell r="C28">
            <v>3804</v>
          </cell>
          <cell r="D28">
            <v>6.5395859556176692</v>
          </cell>
          <cell r="E28">
            <v>8.2438084236652802</v>
          </cell>
          <cell r="AB28">
            <v>350.3102079098403</v>
          </cell>
        </row>
        <row r="29">
          <cell r="B29">
            <v>719</v>
          </cell>
          <cell r="C29">
            <v>3865</v>
          </cell>
          <cell r="D29">
            <v>6.577861357721047</v>
          </cell>
          <cell r="E29">
            <v>8.2597169610215229</v>
          </cell>
          <cell r="AB29">
            <v>-125.58459870795059</v>
          </cell>
        </row>
        <row r="30">
          <cell r="B30">
            <v>618</v>
          </cell>
          <cell r="C30">
            <v>2482</v>
          </cell>
          <cell r="D30">
            <v>6.4264884574576904</v>
          </cell>
          <cell r="E30">
            <v>7.8168199657645525</v>
          </cell>
          <cell r="AB30">
            <v>14.326943220646172</v>
          </cell>
        </row>
        <row r="31">
          <cell r="B31">
            <v>705</v>
          </cell>
          <cell r="C31">
            <v>3746</v>
          </cell>
          <cell r="D31">
            <v>6.5581978028122689</v>
          </cell>
          <cell r="E31">
            <v>8.228443883004033</v>
          </cell>
          <cell r="AB31">
            <v>-802.71369967702549</v>
          </cell>
        </row>
        <row r="32">
          <cell r="B32">
            <v>668</v>
          </cell>
          <cell r="C32">
            <v>3565</v>
          </cell>
          <cell r="D32">
            <v>6.5042881735366453</v>
          </cell>
          <cell r="E32">
            <v>8.1789193328483965</v>
          </cell>
          <cell r="AB32">
            <v>785.50146860476616</v>
          </cell>
        </row>
        <row r="33">
          <cell r="B33">
            <v>651</v>
          </cell>
          <cell r="C33">
            <v>3535</v>
          </cell>
          <cell r="D33">
            <v>6.4785096422085688</v>
          </cell>
          <cell r="E33">
            <v>8.1704685783306736</v>
          </cell>
          <cell r="AB33">
            <v>593.43691812022871</v>
          </cell>
        </row>
        <row r="34">
          <cell r="B34">
            <v>618</v>
          </cell>
          <cell r="C34">
            <v>4148</v>
          </cell>
          <cell r="D34">
            <v>6.4264884574576904</v>
          </cell>
          <cell r="E34">
            <v>8.3303815693494183</v>
          </cell>
          <cell r="AB34">
            <v>-1851.4698422909951</v>
          </cell>
        </row>
        <row r="35">
          <cell r="B35">
            <v>684</v>
          </cell>
          <cell r="C35">
            <v>3698</v>
          </cell>
          <cell r="D35">
            <v>6.5279579176225502</v>
          </cell>
          <cell r="E35">
            <v>8.2155474119470693</v>
          </cell>
          <cell r="AB35">
            <v>259.24565742530285</v>
          </cell>
        </row>
        <row r="36">
          <cell r="B36">
            <v>599</v>
          </cell>
          <cell r="C36">
            <v>4003</v>
          </cell>
          <cell r="D36">
            <v>6.3952615981154493</v>
          </cell>
          <cell r="E36">
            <v>8.2947993589925737</v>
          </cell>
          <cell r="AB36">
            <v>864.41301053336292</v>
          </cell>
        </row>
        <row r="37">
          <cell r="B37">
            <v>700</v>
          </cell>
          <cell r="C37">
            <v>5028</v>
          </cell>
          <cell r="D37">
            <v>6.5510803350434044</v>
          </cell>
          <cell r="E37">
            <v>8.5227775697101382</v>
          </cell>
          <cell r="AB37">
            <v>843.57558212404911</v>
          </cell>
        </row>
        <row r="38">
          <cell r="B38">
            <v>731</v>
          </cell>
          <cell r="C38">
            <v>4324</v>
          </cell>
          <cell r="D38">
            <v>6.5944134597497781</v>
          </cell>
          <cell r="E38">
            <v>8.371936178759098</v>
          </cell>
          <cell r="AB38">
            <v>-184.76390560944355</v>
          </cell>
        </row>
        <row r="39">
          <cell r="B39">
            <v>678</v>
          </cell>
          <cell r="C39">
            <v>3827</v>
          </cell>
          <cell r="D39">
            <v>6.5191472879403953</v>
          </cell>
          <cell r="E39">
            <v>8.2498364854257016</v>
          </cell>
          <cell r="AB39">
            <v>100.31259866852679</v>
          </cell>
        </row>
        <row r="40">
          <cell r="B40">
            <v>609</v>
          </cell>
          <cell r="C40">
            <v>2486</v>
          </cell>
          <cell r="D40">
            <v>6.4118182677098972</v>
          </cell>
          <cell r="E40">
            <v>7.818430272070656</v>
          </cell>
          <cell r="AB40">
            <v>-573.60133401875646</v>
          </cell>
        </row>
        <row r="41">
          <cell r="B41">
            <v>653</v>
          </cell>
          <cell r="C41">
            <v>6288</v>
          </cell>
          <cell r="D41">
            <v>6.481577129276431</v>
          </cell>
          <cell r="E41">
            <v>8.7463983341090419</v>
          </cell>
          <cell r="AB41">
            <v>-707.7854224376224</v>
          </cell>
        </row>
        <row r="42">
          <cell r="B42">
            <v>731</v>
          </cell>
          <cell r="C42">
            <v>5256</v>
          </cell>
          <cell r="D42">
            <v>6.5944134597497781</v>
          </cell>
          <cell r="E42">
            <v>8.5671255601644472</v>
          </cell>
          <cell r="AB42">
            <v>889.47038874184045</v>
          </cell>
        </row>
        <row r="43">
          <cell r="B43">
            <v>620</v>
          </cell>
          <cell r="C43">
            <v>3345</v>
          </cell>
          <cell r="D43">
            <v>6.4297194780391376</v>
          </cell>
          <cell r="E43">
            <v>8.1152219725623294</v>
          </cell>
          <cell r="AB43">
            <v>-685.77825016156294</v>
          </cell>
        </row>
        <row r="44">
          <cell r="B44">
            <v>771</v>
          </cell>
          <cell r="C44">
            <v>2208</v>
          </cell>
          <cell r="D44">
            <v>6.6476883735633292</v>
          </cell>
          <cell r="E44">
            <v>7.6998424073969858</v>
          </cell>
          <cell r="AB44">
            <v>1561.6066619869753</v>
          </cell>
        </row>
        <row r="45">
          <cell r="B45">
            <v>600</v>
          </cell>
          <cell r="C45">
            <v>4025</v>
          </cell>
          <cell r="D45">
            <v>6.3969296552161463</v>
          </cell>
          <cell r="E45">
            <v>8.3002801898526641</v>
          </cell>
          <cell r="AB45">
            <v>606.6640401954528</v>
          </cell>
        </row>
        <row r="46">
          <cell r="B46">
            <v>574</v>
          </cell>
          <cell r="C46">
            <v>3169</v>
          </cell>
          <cell r="D46">
            <v>6.3526293963195668</v>
          </cell>
          <cell r="E46">
            <v>8.0611713596909205</v>
          </cell>
          <cell r="AB46">
            <v>-58.285753872129135</v>
          </cell>
        </row>
        <row r="47">
          <cell r="B47">
            <v>701</v>
          </cell>
          <cell r="C47">
            <v>3699</v>
          </cell>
          <cell r="D47">
            <v>6.5525078870345901</v>
          </cell>
          <cell r="E47">
            <v>8.2158177918324533</v>
          </cell>
          <cell r="AB47">
            <v>1162.7859688884673</v>
          </cell>
        </row>
        <row r="48">
          <cell r="B48">
            <v>617</v>
          </cell>
          <cell r="C48">
            <v>2649</v>
          </cell>
          <cell r="D48">
            <v>6.4248690239053881</v>
          </cell>
          <cell r="E48">
            <v>7.8819374892720697</v>
          </cell>
          <cell r="AB48">
            <v>-1036.6204600882493</v>
          </cell>
        </row>
        <row r="49">
          <cell r="B49">
            <v>619</v>
          </cell>
          <cell r="C49">
            <v>2188</v>
          </cell>
          <cell r="D49">
            <v>6.4281052726845962</v>
          </cell>
          <cell r="E49">
            <v>7.6907431635418719</v>
          </cell>
          <cell r="AB49">
            <v>542.51103163951211</v>
          </cell>
        </row>
        <row r="50">
          <cell r="B50">
            <v>706</v>
          </cell>
          <cell r="C50">
            <v>4642</v>
          </cell>
          <cell r="D50">
            <v>6.5596152374932419</v>
          </cell>
          <cell r="E50">
            <v>8.4429005868343818</v>
          </cell>
          <cell r="AB50">
            <v>-218.50331291260727</v>
          </cell>
        </row>
        <row r="51">
          <cell r="B51">
            <v>685</v>
          </cell>
          <cell r="C51">
            <v>3995</v>
          </cell>
          <cell r="D51">
            <v>6.5294188382622256</v>
          </cell>
          <cell r="E51">
            <v>8.2927988582003742</v>
          </cell>
          <cell r="AB51">
            <v>-265.43876242806982</v>
          </cell>
        </row>
        <row r="52">
          <cell r="B52">
            <v>710</v>
          </cell>
          <cell r="C52">
            <v>4722</v>
          </cell>
          <cell r="D52">
            <v>6.5652649700353614</v>
          </cell>
          <cell r="E52">
            <v>8.4599877176454576</v>
          </cell>
          <cell r="AB52">
            <v>-1244.6802290554133</v>
          </cell>
        </row>
        <row r="53">
          <cell r="B53">
            <v>715</v>
          </cell>
          <cell r="C53">
            <v>4659</v>
          </cell>
          <cell r="D53">
            <v>6.5722825426940075</v>
          </cell>
          <cell r="E53">
            <v>8.4465561118167969</v>
          </cell>
          <cell r="AB53">
            <v>-328.47223304968156</v>
          </cell>
        </row>
        <row r="54">
          <cell r="B54">
            <v>676</v>
          </cell>
          <cell r="C54">
            <v>4506</v>
          </cell>
          <cell r="D54">
            <v>6.5161930760429643</v>
          </cell>
          <cell r="E54">
            <v>8.4131651209921898</v>
          </cell>
          <cell r="AB54">
            <v>-361.5606911210848</v>
          </cell>
        </row>
        <row r="55">
          <cell r="B55">
            <v>694</v>
          </cell>
          <cell r="C55">
            <v>4257</v>
          </cell>
          <cell r="D55">
            <v>6.5424719605068047</v>
          </cell>
          <cell r="E55">
            <v>8.3563199658281526</v>
          </cell>
          <cell r="AB55">
            <v>-323.60133401875646</v>
          </cell>
        </row>
        <row r="56">
          <cell r="B56">
            <v>587</v>
          </cell>
          <cell r="C56">
            <v>1634</v>
          </cell>
          <cell r="D56">
            <v>6.3750248198280968</v>
          </cell>
          <cell r="E56">
            <v>7.3987862754199485</v>
          </cell>
          <cell r="AB56">
            <v>421.31977094458671</v>
          </cell>
        </row>
        <row r="57">
          <cell r="B57">
            <v>752</v>
          </cell>
          <cell r="C57">
            <v>6082</v>
          </cell>
          <cell r="D57">
            <v>6.62273632394984</v>
          </cell>
          <cell r="E57">
            <v>8.7130888682373104</v>
          </cell>
          <cell r="AB57">
            <v>-292.52243898209963</v>
          </cell>
        </row>
        <row r="58">
          <cell r="B58">
            <v>700</v>
          </cell>
          <cell r="C58">
            <v>4936</v>
          </cell>
          <cell r="D58">
            <v>6.5510803350434044</v>
          </cell>
          <cell r="E58">
            <v>8.5043105655852234</v>
          </cell>
          <cell r="AB58">
            <v>352.27434652954162</v>
          </cell>
        </row>
        <row r="59">
          <cell r="B59">
            <v>719</v>
          </cell>
          <cell r="C59">
            <v>4830</v>
          </cell>
          <cell r="D59">
            <v>6.577861357721047</v>
          </cell>
          <cell r="E59">
            <v>8.482601746646619</v>
          </cell>
          <cell r="AB59">
            <v>973.51581315688554</v>
          </cell>
        </row>
        <row r="60">
          <cell r="B60">
            <v>667</v>
          </cell>
          <cell r="C60">
            <v>4305</v>
          </cell>
          <cell r="D60">
            <v>6.5027900459156234</v>
          </cell>
          <cell r="E60">
            <v>8.367532416861831</v>
          </cell>
          <cell r="AB60">
            <v>145.58992667616894</v>
          </cell>
        </row>
        <row r="61">
          <cell r="B61">
            <v>743</v>
          </cell>
          <cell r="C61">
            <v>5427</v>
          </cell>
          <cell r="D61">
            <v>6.6106960447177592</v>
          </cell>
          <cell r="E61">
            <v>8.5991417740634049</v>
          </cell>
          <cell r="AB61">
            <v>-139.53678353421901</v>
          </cell>
        </row>
        <row r="62">
          <cell r="B62">
            <v>625</v>
          </cell>
          <cell r="C62">
            <v>2662</v>
          </cell>
          <cell r="D62">
            <v>6.4377516497364011</v>
          </cell>
          <cell r="E62">
            <v>7.8868329989550565</v>
          </cell>
          <cell r="AB62">
            <v>-1204.7017458835926</v>
          </cell>
        </row>
        <row r="63">
          <cell r="B63">
            <v>612</v>
          </cell>
          <cell r="C63">
            <v>3141</v>
          </cell>
          <cell r="D63">
            <v>6.4167322825123261</v>
          </cell>
          <cell r="E63">
            <v>8.052296499538647</v>
          </cell>
          <cell r="AB63">
            <v>2421.4034474986165</v>
          </cell>
        </row>
        <row r="64">
          <cell r="B64">
            <v>632</v>
          </cell>
          <cell r="C64">
            <v>2635</v>
          </cell>
          <cell r="D64">
            <v>6.4488893941468577</v>
          </cell>
          <cell r="E64">
            <v>7.8766384609754629</v>
          </cell>
          <cell r="AB64">
            <v>1077.5899266761689</v>
          </cell>
        </row>
        <row r="65">
          <cell r="B65">
            <v>579</v>
          </cell>
          <cell r="C65">
            <v>2856</v>
          </cell>
          <cell r="D65">
            <v>6.3613024775729956</v>
          </cell>
          <cell r="E65">
            <v>7.9571773234594749</v>
          </cell>
          <cell r="AB65">
            <v>-389.67544753804032</v>
          </cell>
        </row>
        <row r="66">
          <cell r="B66">
            <v>742</v>
          </cell>
          <cell r="C66">
            <v>5496</v>
          </cell>
          <cell r="D66">
            <v>6.6093492431673804</v>
          </cell>
          <cell r="E66">
            <v>8.6117758339021862</v>
          </cell>
          <cell r="AB66">
            <v>-2130.3144429763679</v>
          </cell>
        </row>
        <row r="67">
          <cell r="B67">
            <v>702</v>
          </cell>
          <cell r="C67">
            <v>5497</v>
          </cell>
          <cell r="D67">
            <v>6.5539334040258108</v>
          </cell>
          <cell r="E67">
            <v>8.6119577678606607</v>
          </cell>
          <cell r="AB67">
            <v>370.27673728822856</v>
          </cell>
        </row>
        <row r="68">
          <cell r="B68">
            <v>646</v>
          </cell>
          <cell r="C68">
            <v>2233</v>
          </cell>
          <cell r="D68">
            <v>6.4707995037826018</v>
          </cell>
          <cell r="E68">
            <v>7.7111012518401578</v>
          </cell>
          <cell r="AB68">
            <v>-381.7854224376224</v>
          </cell>
        </row>
        <row r="69">
          <cell r="B69">
            <v>702</v>
          </cell>
          <cell r="C69">
            <v>3651</v>
          </cell>
          <cell r="D69">
            <v>6.5539334040258108</v>
          </cell>
          <cell r="E69">
            <v>8.2027563816556377</v>
          </cell>
          <cell r="AB69">
            <v>-359.48179608442797</v>
          </cell>
        </row>
        <row r="70">
          <cell r="B70">
            <v>621</v>
          </cell>
          <cell r="C70">
            <v>3084</v>
          </cell>
          <cell r="D70">
            <v>6.4313310819334788</v>
          </cell>
          <cell r="E70">
            <v>8.0339827346832209</v>
          </cell>
          <cell r="AB70">
            <v>-1073.6826198140998</v>
          </cell>
        </row>
        <row r="71">
          <cell r="B71">
            <v>593</v>
          </cell>
          <cell r="C71">
            <v>3441</v>
          </cell>
          <cell r="D71">
            <v>6.3851943989977258</v>
          </cell>
          <cell r="E71">
            <v>8.1435174057974802</v>
          </cell>
          <cell r="AB71">
            <v>-1542.6778382967268</v>
          </cell>
        </row>
        <row r="72">
          <cell r="B72">
            <v>590</v>
          </cell>
          <cell r="C72">
            <v>3557</v>
          </cell>
          <cell r="D72">
            <v>6.3801225368997647</v>
          </cell>
          <cell r="E72">
            <v>8.1766727719484553</v>
          </cell>
          <cell r="AB72">
            <v>563.53015770900492</v>
          </cell>
        </row>
        <row r="73">
          <cell r="B73">
            <v>729</v>
          </cell>
          <cell r="C73">
            <v>5453</v>
          </cell>
          <cell r="D73">
            <v>6.5916737320086582</v>
          </cell>
          <cell r="E73">
            <v>8.6039211949260608</v>
          </cell>
          <cell r="AB73">
            <v>0.47995177658685861</v>
          </cell>
        </row>
        <row r="74">
          <cell r="B74">
            <v>589</v>
          </cell>
          <cell r="C74">
            <v>2707</v>
          </cell>
          <cell r="D74">
            <v>6.3784261836515865</v>
          </cell>
          <cell r="E74">
            <v>7.9035962896143008</v>
          </cell>
          <cell r="AB74">
            <v>627.53972074375133</v>
          </cell>
        </row>
        <row r="75">
          <cell r="B75">
            <v>654</v>
          </cell>
          <cell r="C75">
            <v>3962</v>
          </cell>
          <cell r="D75">
            <v>6.4831073514571989</v>
          </cell>
          <cell r="E75">
            <v>8.2845042272584966</v>
          </cell>
          <cell r="AB75">
            <v>544.55167453718423</v>
          </cell>
        </row>
        <row r="76">
          <cell r="B76">
            <v>616</v>
          </cell>
          <cell r="C76">
            <v>3952</v>
          </cell>
          <cell r="D76">
            <v>6.4232469635335194</v>
          </cell>
          <cell r="E76">
            <v>8.2819770588677581</v>
          </cell>
          <cell r="AB76">
            <v>547.45843494840756</v>
          </cell>
        </row>
        <row r="77">
          <cell r="B77">
            <v>609</v>
          </cell>
          <cell r="C77">
            <v>3937</v>
          </cell>
          <cell r="D77">
            <v>6.4118182677098972</v>
          </cell>
          <cell r="E77">
            <v>8.2781742909437384</v>
          </cell>
          <cell r="AB77">
            <v>226.50146860476616</v>
          </cell>
        </row>
        <row r="78">
          <cell r="B78">
            <v>695</v>
          </cell>
          <cell r="C78">
            <v>3664</v>
          </cell>
          <cell r="D78">
            <v>6.543911845564792</v>
          </cell>
          <cell r="E78">
            <v>8.2063107257940207</v>
          </cell>
          <cell r="AB78">
            <v>-1968.7543425746971</v>
          </cell>
        </row>
        <row r="79">
          <cell r="B79">
            <v>622</v>
          </cell>
          <cell r="C79">
            <v>3672</v>
          </cell>
          <cell r="D79">
            <v>6.4329400927391793</v>
          </cell>
          <cell r="E79">
            <v>8.2084917517403806</v>
          </cell>
          <cell r="AB79">
            <v>1819.640132608587</v>
          </cell>
        </row>
        <row r="80">
          <cell r="B80">
            <v>588</v>
          </cell>
          <cell r="C80">
            <v>3692</v>
          </cell>
          <cell r="D80">
            <v>6.3767269478986268</v>
          </cell>
          <cell r="E80">
            <v>8.2139235956227434</v>
          </cell>
          <cell r="AB80">
            <v>881.51581315688554</v>
          </cell>
        </row>
        <row r="81">
          <cell r="B81">
            <v>576</v>
          </cell>
          <cell r="C81">
            <v>3202</v>
          </cell>
          <cell r="D81">
            <v>6.3561076606958915</v>
          </cell>
          <cell r="E81">
            <v>8.0715308935566608</v>
          </cell>
          <cell r="AB81">
            <v>699.56123757193018</v>
          </cell>
        </row>
        <row r="82">
          <cell r="B82">
            <v>749</v>
          </cell>
          <cell r="C82">
            <v>5571</v>
          </cell>
          <cell r="D82">
            <v>6.6187389835172192</v>
          </cell>
          <cell r="E82">
            <v>8.6253298500208153</v>
          </cell>
          <cell r="AB82">
            <v>382.43691812022871</v>
          </cell>
        </row>
        <row r="83">
          <cell r="B83">
            <v>704</v>
          </cell>
          <cell r="C83">
            <v>4047</v>
          </cell>
          <cell r="D83">
            <v>6.5567783561580422</v>
          </cell>
          <cell r="E83">
            <v>8.3057311448758657</v>
          </cell>
          <cell r="AB83">
            <v>1200.6186157804077</v>
          </cell>
        </row>
        <row r="84">
          <cell r="B84">
            <v>583</v>
          </cell>
          <cell r="C84">
            <v>4400</v>
          </cell>
          <cell r="D84">
            <v>6.3681871863504922</v>
          </cell>
          <cell r="E84">
            <v>8.3893598199063533</v>
          </cell>
          <cell r="AB84">
            <v>-1092.6634937446074</v>
          </cell>
        </row>
        <row r="85">
          <cell r="B85">
            <v>584</v>
          </cell>
          <cell r="C85">
            <v>3703</v>
          </cell>
          <cell r="D85">
            <v>6.3699009828282271</v>
          </cell>
          <cell r="E85">
            <v>8.2168985809136128</v>
          </cell>
          <cell r="AB85">
            <v>-561.69457360753267</v>
          </cell>
        </row>
        <row r="86">
          <cell r="B86">
            <v>583</v>
          </cell>
          <cell r="C86">
            <v>3036</v>
          </cell>
          <cell r="D86">
            <v>6.3681871863504922</v>
          </cell>
          <cell r="E86">
            <v>8.0182961385155203</v>
          </cell>
          <cell r="AB86">
            <v>-1147.6467584338016</v>
          </cell>
        </row>
        <row r="87">
          <cell r="B87">
            <v>617</v>
          </cell>
          <cell r="C87">
            <v>3473</v>
          </cell>
          <cell r="D87">
            <v>6.4248690239053881</v>
          </cell>
          <cell r="E87">
            <v>8.1527740527440749</v>
          </cell>
          <cell r="AB87">
            <v>-714.77346864418951</v>
          </cell>
        </row>
        <row r="88">
          <cell r="B88">
            <v>648</v>
          </cell>
          <cell r="C88">
            <v>5631</v>
          </cell>
          <cell r="D88">
            <v>6.4738906963522744</v>
          </cell>
          <cell r="E88">
            <v>8.6360423252546177</v>
          </cell>
          <cell r="AB88">
            <v>1273.6162250217221</v>
          </cell>
        </row>
        <row r="89">
          <cell r="B89">
            <v>683</v>
          </cell>
          <cell r="C89">
            <v>4381</v>
          </cell>
          <cell r="D89">
            <v>6.5264948595707901</v>
          </cell>
          <cell r="E89">
            <v>8.3850322878138979</v>
          </cell>
          <cell r="AB89">
            <v>1434.5205946742585</v>
          </cell>
        </row>
        <row r="90">
          <cell r="B90">
            <v>649</v>
          </cell>
          <cell r="C90">
            <v>3698</v>
          </cell>
          <cell r="D90">
            <v>6.4754327167040904</v>
          </cell>
          <cell r="E90">
            <v>8.2155474119470693</v>
          </cell>
          <cell r="AB90">
            <v>-1605.6132878121894</v>
          </cell>
        </row>
        <row r="91">
          <cell r="B91">
            <v>796</v>
          </cell>
          <cell r="C91">
            <v>6032</v>
          </cell>
          <cell r="D91">
            <v>6.6795991858443831</v>
          </cell>
          <cell r="E91">
            <v>8.7048339096877925</v>
          </cell>
          <cell r="AB91">
            <v>-411.47940532574148</v>
          </cell>
        </row>
        <row r="92">
          <cell r="B92">
            <v>705</v>
          </cell>
          <cell r="C92">
            <v>1401</v>
          </cell>
          <cell r="D92">
            <v>6.5581978028122689</v>
          </cell>
          <cell r="E92">
            <v>7.2449415463370066</v>
          </cell>
          <cell r="AB92">
            <v>-654.67305677935383</v>
          </cell>
        </row>
        <row r="93">
          <cell r="B93">
            <v>674</v>
          </cell>
          <cell r="C93">
            <v>2121</v>
          </cell>
          <cell r="D93">
            <v>6.513230110912307</v>
          </cell>
          <cell r="E93">
            <v>7.6596429545646822</v>
          </cell>
          <cell r="AB93">
            <v>-185.73999802257777</v>
          </cell>
        </row>
        <row r="94">
          <cell r="B94">
            <v>616</v>
          </cell>
          <cell r="C94">
            <v>3510</v>
          </cell>
          <cell r="D94">
            <v>6.4232469635335194</v>
          </cell>
          <cell r="E94">
            <v>8.1633713164599122</v>
          </cell>
          <cell r="AB94">
            <v>-57.747170298637229</v>
          </cell>
        </row>
        <row r="95">
          <cell r="B95">
            <v>754</v>
          </cell>
          <cell r="C95">
            <v>5371</v>
          </cell>
          <cell r="D95">
            <v>6.6253923680079563</v>
          </cell>
          <cell r="E95">
            <v>8.58876938990546</v>
          </cell>
          <cell r="AB95">
            <v>1282.585145158796</v>
          </cell>
        </row>
        <row r="96">
          <cell r="B96">
            <v>573</v>
          </cell>
          <cell r="C96">
            <v>2033</v>
          </cell>
          <cell r="D96">
            <v>6.3508857167147399</v>
          </cell>
          <cell r="E96">
            <v>7.6172678136283469</v>
          </cell>
          <cell r="AB96">
            <v>-903.74956105732372</v>
          </cell>
        </row>
        <row r="97">
          <cell r="B97">
            <v>737</v>
          </cell>
          <cell r="C97">
            <v>8630</v>
          </cell>
          <cell r="D97">
            <v>6.6025878921893364</v>
          </cell>
          <cell r="E97">
            <v>9.0629997840774728</v>
          </cell>
          <cell r="AB97">
            <v>91.405838257303003</v>
          </cell>
        </row>
        <row r="98">
          <cell r="B98">
            <v>732</v>
          </cell>
          <cell r="C98">
            <v>5405</v>
          </cell>
          <cell r="D98">
            <v>6.5957805139613113</v>
          </cell>
          <cell r="E98">
            <v>8.5950797300733086</v>
          </cell>
          <cell r="AB98">
            <v>233.31498942721328</v>
          </cell>
        </row>
        <row r="99">
          <cell r="B99">
            <v>706</v>
          </cell>
          <cell r="C99">
            <v>4189</v>
          </cell>
          <cell r="D99">
            <v>6.5596152374932419</v>
          </cell>
          <cell r="E99">
            <v>8.3402173209470352</v>
          </cell>
          <cell r="AB99">
            <v>246.29825411640741</v>
          </cell>
        </row>
        <row r="100">
          <cell r="B100">
            <v>634</v>
          </cell>
          <cell r="C100">
            <v>3523</v>
          </cell>
          <cell r="D100">
            <v>6.4520489544372257</v>
          </cell>
          <cell r="E100">
            <v>8.1670681783412373</v>
          </cell>
          <cell r="AB100">
            <v>-370.49614063654735</v>
          </cell>
        </row>
        <row r="101">
          <cell r="B101">
            <v>652</v>
          </cell>
          <cell r="C101">
            <v>2543</v>
          </cell>
          <cell r="D101">
            <v>6.4800445619266531</v>
          </cell>
          <cell r="E101">
            <v>7.8410997654221193</v>
          </cell>
          <cell r="AB101">
            <v>-70.670666020666886</v>
          </cell>
        </row>
        <row r="102">
          <cell r="B102">
            <v>732</v>
          </cell>
          <cell r="C102">
            <v>5849</v>
          </cell>
          <cell r="D102">
            <v>6.5957805139613113</v>
          </cell>
          <cell r="E102">
            <v>8.6740259854430253</v>
          </cell>
          <cell r="AB102">
            <v>85.24804818398934</v>
          </cell>
        </row>
        <row r="103">
          <cell r="B103">
            <v>800</v>
          </cell>
          <cell r="C103">
            <v>4957</v>
          </cell>
          <cell r="D103">
            <v>6.6846117276679271</v>
          </cell>
          <cell r="E103">
            <v>8.5085559980205741</v>
          </cell>
          <cell r="AB103">
            <v>-356.78064092024943</v>
          </cell>
        </row>
        <row r="104">
          <cell r="B104">
            <v>704</v>
          </cell>
          <cell r="C104">
            <v>4048</v>
          </cell>
          <cell r="D104">
            <v>6.5567783561580422</v>
          </cell>
          <cell r="E104">
            <v>8.3059782109673019</v>
          </cell>
          <cell r="AB104">
            <v>1320.6329603325275</v>
          </cell>
        </row>
        <row r="105">
          <cell r="B105">
            <v>601</v>
          </cell>
          <cell r="C105">
            <v>3787</v>
          </cell>
          <cell r="D105">
            <v>6.3985949345352076</v>
          </cell>
          <cell r="E105">
            <v>8.2393294279017955</v>
          </cell>
          <cell r="AB105">
            <v>-23.474623808368051</v>
          </cell>
        </row>
        <row r="106">
          <cell r="B106">
            <v>715</v>
          </cell>
          <cell r="C106">
            <v>3205</v>
          </cell>
          <cell r="D106">
            <v>6.5722825426940075</v>
          </cell>
          <cell r="E106">
            <v>8.0724673693547704</v>
          </cell>
          <cell r="AB106">
            <v>813.23609439055645</v>
          </cell>
        </row>
        <row r="107">
          <cell r="B107">
            <v>615</v>
          </cell>
          <cell r="C107">
            <v>5356</v>
          </cell>
          <cell r="D107">
            <v>6.4216222678065176</v>
          </cell>
          <cell r="E107">
            <v>8.5859727068110629</v>
          </cell>
          <cell r="AB107">
            <v>112.23848514924339</v>
          </cell>
        </row>
        <row r="108">
          <cell r="B108">
            <v>688</v>
          </cell>
          <cell r="C108">
            <v>4214</v>
          </cell>
          <cell r="D108">
            <v>6.5337888379333435</v>
          </cell>
          <cell r="E108">
            <v>8.3461675943641342</v>
          </cell>
          <cell r="AB108">
            <v>-550.76390560944355</v>
          </cell>
        </row>
        <row r="109">
          <cell r="B109">
            <v>594</v>
          </cell>
          <cell r="C109">
            <v>4626</v>
          </cell>
          <cell r="D109">
            <v>6.3868793193626452</v>
          </cell>
          <cell r="E109">
            <v>8.4394478427913846</v>
          </cell>
          <cell r="AB109">
            <v>-249.68261981409978</v>
          </cell>
        </row>
        <row r="110">
          <cell r="B110">
            <v>652</v>
          </cell>
          <cell r="C110">
            <v>4857</v>
          </cell>
          <cell r="D110">
            <v>6.4800445619266531</v>
          </cell>
          <cell r="E110">
            <v>8.4881762423457445</v>
          </cell>
          <cell r="AB110">
            <v>1784.3914937051836</v>
          </cell>
        </row>
        <row r="111">
          <cell r="B111">
            <v>645</v>
          </cell>
          <cell r="C111">
            <v>3514</v>
          </cell>
          <cell r="D111">
            <v>6.4692503167957724</v>
          </cell>
          <cell r="E111">
            <v>8.1645102687470423</v>
          </cell>
          <cell r="AB111">
            <v>394.47517025921388</v>
          </cell>
        </row>
        <row r="112">
          <cell r="B112">
            <v>643</v>
          </cell>
          <cell r="C112">
            <v>5361</v>
          </cell>
          <cell r="D112">
            <v>6.4661447242376191</v>
          </cell>
          <cell r="E112">
            <v>8.5869058038275377</v>
          </cell>
          <cell r="AB112">
            <v>-152.60611553612944</v>
          </cell>
        </row>
        <row r="113">
          <cell r="B113">
            <v>696</v>
          </cell>
          <cell r="C113">
            <v>4292</v>
          </cell>
          <cell r="D113">
            <v>6.5453496603344199</v>
          </cell>
          <cell r="E113">
            <v>8.3645081037505893</v>
          </cell>
          <cell r="AB113">
            <v>1593.7453259907961</v>
          </cell>
        </row>
        <row r="114">
          <cell r="B114">
            <v>673</v>
          </cell>
          <cell r="C114">
            <v>2741</v>
          </cell>
          <cell r="D114">
            <v>6.5117453296447279</v>
          </cell>
          <cell r="E114">
            <v>7.9160780963027859</v>
          </cell>
          <cell r="AB114">
            <v>-2673.4722330496816</v>
          </cell>
        </row>
        <row r="115">
          <cell r="B115">
            <v>564</v>
          </cell>
          <cell r="C115">
            <v>3605</v>
          </cell>
          <cell r="D115">
            <v>6.3350542514980592</v>
          </cell>
          <cell r="E115">
            <v>8.1900770497190489</v>
          </cell>
          <cell r="AB115">
            <v>-1829.5463465689654</v>
          </cell>
        </row>
        <row r="116">
          <cell r="B116">
            <v>730</v>
          </cell>
          <cell r="C116">
            <v>3773</v>
          </cell>
          <cell r="D116">
            <v>6.5930445341424369</v>
          </cell>
          <cell r="E116">
            <v>8.235625719964311</v>
          </cell>
          <cell r="AB116">
            <v>-208.68501057278672</v>
          </cell>
        </row>
        <row r="117">
          <cell r="B117">
            <v>634</v>
          </cell>
          <cell r="C117">
            <v>4590</v>
          </cell>
          <cell r="D117">
            <v>6.4520489544372257</v>
          </cell>
          <cell r="E117">
            <v>8.4316353030545912</v>
          </cell>
          <cell r="AB117">
            <v>1100.64491412596</v>
          </cell>
        </row>
        <row r="118">
          <cell r="B118">
            <v>705</v>
          </cell>
          <cell r="C118">
            <v>3844</v>
          </cell>
          <cell r="D118">
            <v>6.5581978028122689</v>
          </cell>
          <cell r="E118">
            <v>8.2542687700901833</v>
          </cell>
          <cell r="AB118">
            <v>-1513.7878131963089</v>
          </cell>
        </row>
        <row r="119">
          <cell r="B119">
            <v>621</v>
          </cell>
          <cell r="C119">
            <v>4534</v>
          </cell>
          <cell r="D119">
            <v>6.4313310819334788</v>
          </cell>
          <cell r="E119">
            <v>8.4193598310674744</v>
          </cell>
          <cell r="AB119">
            <v>4427.6042712282888</v>
          </cell>
        </row>
        <row r="120">
          <cell r="B120">
            <v>693</v>
          </cell>
          <cell r="C120">
            <v>2975</v>
          </cell>
          <cell r="D120">
            <v>6.5410299991899032</v>
          </cell>
          <cell r="E120">
            <v>7.9979993179797297</v>
          </cell>
          <cell r="AB120">
            <v>1222.5923174348554</v>
          </cell>
        </row>
        <row r="121">
          <cell r="B121">
            <v>690</v>
          </cell>
          <cell r="C121">
            <v>2689</v>
          </cell>
          <cell r="D121">
            <v>6.5366915975913047</v>
          </cell>
          <cell r="E121">
            <v>7.8969246562688644</v>
          </cell>
          <cell r="AB121">
            <v>110.53015770900492</v>
          </cell>
        </row>
        <row r="122">
          <cell r="B122">
            <v>588</v>
          </cell>
          <cell r="C122">
            <v>2426</v>
          </cell>
          <cell r="D122">
            <v>6.3767269478986268</v>
          </cell>
          <cell r="E122">
            <v>7.7939990895039957</v>
          </cell>
          <cell r="AB122">
            <v>-267.64197691642812</v>
          </cell>
        </row>
        <row r="123">
          <cell r="B123">
            <v>583</v>
          </cell>
          <cell r="C123">
            <v>2953</v>
          </cell>
          <cell r="D123">
            <v>6.3681871863504922</v>
          </cell>
          <cell r="E123">
            <v>7.9905768817439231</v>
          </cell>
          <cell r="AB123">
            <v>-1319.59894326007</v>
          </cell>
        </row>
        <row r="124">
          <cell r="B124">
            <v>702</v>
          </cell>
          <cell r="C124">
            <v>5012</v>
          </cell>
          <cell r="D124">
            <v>6.5539334040258108</v>
          </cell>
          <cell r="E124">
            <v>8.5195903160159592</v>
          </cell>
          <cell r="AB124">
            <v>1666.5923174348554</v>
          </cell>
        </row>
        <row r="125">
          <cell r="B125">
            <v>739</v>
          </cell>
          <cell r="C125">
            <v>4299</v>
          </cell>
          <cell r="D125">
            <v>6.6052979209482015</v>
          </cell>
          <cell r="E125">
            <v>8.3661377164962811</v>
          </cell>
          <cell r="AB125">
            <v>502.75488902554207</v>
          </cell>
        </row>
        <row r="126">
          <cell r="B126">
            <v>624</v>
          </cell>
          <cell r="C126">
            <v>4216</v>
          </cell>
          <cell r="D126">
            <v>6.4361503683694279</v>
          </cell>
          <cell r="E126">
            <v>8.3466420902211986</v>
          </cell>
          <cell r="AB126">
            <v>-22.474623808368051</v>
          </cell>
        </row>
        <row r="127">
          <cell r="B127">
            <v>644</v>
          </cell>
          <cell r="C127">
            <v>3979</v>
          </cell>
          <cell r="D127">
            <v>6.4676987261043539</v>
          </cell>
          <cell r="E127">
            <v>8.2887858104269281</v>
          </cell>
          <cell r="AB127">
            <v>128.27912804691505</v>
          </cell>
        </row>
        <row r="128">
          <cell r="B128">
            <v>718</v>
          </cell>
          <cell r="C128">
            <v>4468</v>
          </cell>
          <cell r="D128">
            <v>6.576469569048224</v>
          </cell>
          <cell r="E128">
            <v>8.4046961601890917</v>
          </cell>
          <cell r="AB128">
            <v>-909.44832546281577</v>
          </cell>
        </row>
        <row r="129">
          <cell r="B129">
            <v>637</v>
          </cell>
          <cell r="C129">
            <v>3337</v>
          </cell>
          <cell r="D129">
            <v>6.4567696555721632</v>
          </cell>
          <cell r="E129">
            <v>8.1128274787513739</v>
          </cell>
          <cell r="AB129">
            <v>1641.3125986685268</v>
          </cell>
        </row>
        <row r="130">
          <cell r="B130">
            <v>950</v>
          </cell>
          <cell r="C130">
            <v>4174</v>
          </cell>
          <cell r="D130">
            <v>6.8564619845945867</v>
          </cell>
          <cell r="E130">
            <v>8.3366300876371469</v>
          </cell>
          <cell r="AB130">
            <v>207.48712405264678</v>
          </cell>
        </row>
        <row r="131">
          <cell r="B131">
            <v>797</v>
          </cell>
          <cell r="C131">
            <v>4334</v>
          </cell>
          <cell r="D131">
            <v>6.6808546787902152</v>
          </cell>
          <cell r="E131">
            <v>8.3742461820963037</v>
          </cell>
          <cell r="AB131">
            <v>995.26239273610872</v>
          </cell>
        </row>
        <row r="132">
          <cell r="B132">
            <v>874</v>
          </cell>
          <cell r="C132">
            <v>3629</v>
          </cell>
          <cell r="D132">
            <v>6.7730803756555353</v>
          </cell>
          <cell r="E132">
            <v>8.1967124072130702</v>
          </cell>
          <cell r="AB132">
            <v>994.40105673993003</v>
          </cell>
        </row>
        <row r="133">
          <cell r="B133">
            <v>853</v>
          </cell>
          <cell r="C133">
            <v>3815</v>
          </cell>
          <cell r="D133">
            <v>6.7487595474916793</v>
          </cell>
          <cell r="E133">
            <v>8.2466959437185565</v>
          </cell>
          <cell r="AB133">
            <v>-320.61567857087584</v>
          </cell>
        </row>
        <row r="134">
          <cell r="B134">
            <v>863</v>
          </cell>
          <cell r="C134">
            <v>2266</v>
          </cell>
          <cell r="D134">
            <v>6.7604146910834277</v>
          </cell>
          <cell r="E134">
            <v>7.7257714415879519</v>
          </cell>
          <cell r="AB134">
            <v>1534.3795399117507</v>
          </cell>
        </row>
        <row r="135">
          <cell r="B135">
            <v>904</v>
          </cell>
          <cell r="C135">
            <v>4758</v>
          </cell>
          <cell r="D135">
            <v>6.8068293603921761</v>
          </cell>
          <cell r="E135">
            <v>8.467582690862903</v>
          </cell>
          <cell r="AB135">
            <v>253.50625012213914</v>
          </cell>
        </row>
        <row r="136">
          <cell r="B136">
            <v>960</v>
          </cell>
          <cell r="C136">
            <v>5538</v>
          </cell>
          <cell r="D136">
            <v>6.866933284461882</v>
          </cell>
          <cell r="E136">
            <v>8.6193887037309072</v>
          </cell>
          <cell r="AB136">
            <v>-1205.5487373276519</v>
          </cell>
        </row>
        <row r="137">
          <cell r="B137">
            <v>838</v>
          </cell>
          <cell r="C137">
            <v>3219</v>
          </cell>
          <cell r="D137">
            <v>6.7310181004820828</v>
          </cell>
          <cell r="E137">
            <v>8.0768260312988076</v>
          </cell>
          <cell r="AB137">
            <v>94.19066997551181</v>
          </cell>
        </row>
        <row r="138">
          <cell r="B138">
            <v>824</v>
          </cell>
          <cell r="C138">
            <v>4255</v>
          </cell>
          <cell r="D138">
            <v>6.7141705299094721</v>
          </cell>
          <cell r="E138">
            <v>8.355850041007475</v>
          </cell>
          <cell r="AB138">
            <v>-401.41246408251754</v>
          </cell>
        </row>
        <row r="139">
          <cell r="B139">
            <v>885</v>
          </cell>
          <cell r="C139">
            <v>4407</v>
          </cell>
          <cell r="D139">
            <v>6.7855876450079293</v>
          </cell>
          <cell r="E139">
            <v>8.3909494648419862</v>
          </cell>
          <cell r="AB139">
            <v>799.35802308357188</v>
          </cell>
        </row>
        <row r="140">
          <cell r="B140">
            <v>838</v>
          </cell>
          <cell r="C140">
            <v>3417</v>
          </cell>
          <cell r="D140">
            <v>6.7310181004820828</v>
          </cell>
          <cell r="E140">
            <v>8.136518252115291</v>
          </cell>
          <cell r="AB140">
            <v>-230.47223304968156</v>
          </cell>
        </row>
        <row r="141">
          <cell r="B141">
            <v>855</v>
          </cell>
          <cell r="C141">
            <v>3740</v>
          </cell>
          <cell r="D141">
            <v>6.7511014689367599</v>
          </cell>
          <cell r="E141">
            <v>8.2268408904085781</v>
          </cell>
          <cell r="AB141">
            <v>795.32694322064617</v>
          </cell>
        </row>
        <row r="142">
          <cell r="B142">
            <v>864</v>
          </cell>
          <cell r="C142">
            <v>4176</v>
          </cell>
          <cell r="D142">
            <v>6.7615727688040552</v>
          </cell>
          <cell r="E142">
            <v>8.3371091295624744</v>
          </cell>
          <cell r="AB142">
            <v>-1051.5009221539203</v>
          </cell>
        </row>
        <row r="143">
          <cell r="B143">
            <v>794</v>
          </cell>
          <cell r="C143">
            <v>3507</v>
          </cell>
          <cell r="D143">
            <v>6.6770834612471361</v>
          </cell>
          <cell r="E143">
            <v>8.1625162501401789</v>
          </cell>
          <cell r="AB143">
            <v>-1325.5080944299802</v>
          </cell>
        </row>
        <row r="144">
          <cell r="B144">
            <v>812</v>
          </cell>
          <cell r="C144">
            <v>3245</v>
          </cell>
          <cell r="D144">
            <v>6.6995003401616779</v>
          </cell>
          <cell r="E144">
            <v>8.0848706291381909</v>
          </cell>
          <cell r="AB144">
            <v>-1180.7519518160107</v>
          </cell>
        </row>
        <row r="145">
          <cell r="B145">
            <v>679</v>
          </cell>
          <cell r="C145">
            <v>4216</v>
          </cell>
          <cell r="D145">
            <v>6.5206211275586963</v>
          </cell>
          <cell r="E145">
            <v>8.3466420902211986</v>
          </cell>
          <cell r="AB145">
            <v>-633.76390560944355</v>
          </cell>
        </row>
        <row r="146">
          <cell r="B146">
            <v>730</v>
          </cell>
          <cell r="C146">
            <v>5531</v>
          </cell>
          <cell r="D146">
            <v>6.5930445341424369</v>
          </cell>
          <cell r="E146">
            <v>8.6181239099946776</v>
          </cell>
          <cell r="AB146">
            <v>949.52059467425852</v>
          </cell>
        </row>
        <row r="147">
          <cell r="B147">
            <v>732</v>
          </cell>
          <cell r="C147">
            <v>4876</v>
          </cell>
          <cell r="D147">
            <v>6.5957805139613113</v>
          </cell>
          <cell r="E147">
            <v>8.4920804906011629</v>
          </cell>
          <cell r="AB147">
            <v>88.609052745661756</v>
          </cell>
        </row>
        <row r="148">
          <cell r="B148">
            <v>727</v>
          </cell>
          <cell r="C148">
            <v>4233</v>
          </cell>
          <cell r="D148">
            <v>6.5889264775335192</v>
          </cell>
          <cell r="E148">
            <v>8.3506662405209244</v>
          </cell>
          <cell r="AB148">
            <v>465.33411549670609</v>
          </cell>
        </row>
        <row r="149">
          <cell r="B149">
            <v>696</v>
          </cell>
          <cell r="C149">
            <v>4991</v>
          </cell>
          <cell r="D149">
            <v>6.5453496603344199</v>
          </cell>
          <cell r="E149">
            <v>8.5153915694696085</v>
          </cell>
          <cell r="AB149">
            <v>148.38193067043767</v>
          </cell>
        </row>
        <row r="150">
          <cell r="B150">
            <v>703</v>
          </cell>
          <cell r="C150">
            <v>4302</v>
          </cell>
          <cell r="D150">
            <v>6.5553568918106651</v>
          </cell>
          <cell r="E150">
            <v>8.3668353098276746</v>
          </cell>
          <cell r="AB150">
            <v>341.55884681324369</v>
          </cell>
        </row>
        <row r="151">
          <cell r="B151">
            <v>596</v>
          </cell>
          <cell r="C151">
            <v>3771</v>
          </cell>
          <cell r="D151">
            <v>6.39024066706535</v>
          </cell>
          <cell r="E151">
            <v>8.2350954972583565</v>
          </cell>
          <cell r="AB151">
            <v>-465.63480464036866</v>
          </cell>
        </row>
        <row r="152">
          <cell r="B152">
            <v>652</v>
          </cell>
          <cell r="C152">
            <v>3923</v>
          </cell>
          <cell r="D152">
            <v>6.4800445619266531</v>
          </cell>
          <cell r="E152">
            <v>8.2746119462095518</v>
          </cell>
          <cell r="AB152">
            <v>-879.886497171472</v>
          </cell>
        </row>
        <row r="153">
          <cell r="B153">
            <v>683</v>
          </cell>
          <cell r="C153">
            <v>3907</v>
          </cell>
          <cell r="D153">
            <v>6.5264948595707901</v>
          </cell>
          <cell r="E153">
            <v>8.2705250950550706</v>
          </cell>
          <cell r="AB153">
            <v>-108.25228325051648</v>
          </cell>
        </row>
        <row r="154">
          <cell r="B154">
            <v>735</v>
          </cell>
          <cell r="C154">
            <v>2617</v>
          </cell>
          <cell r="D154">
            <v>6.5998704992128365</v>
          </cell>
          <cell r="E154">
            <v>7.8697839025301457</v>
          </cell>
          <cell r="AB154">
            <v>-1121.0681948316505</v>
          </cell>
        </row>
        <row r="155">
          <cell r="B155">
            <v>661</v>
          </cell>
          <cell r="C155">
            <v>4500</v>
          </cell>
          <cell r="D155">
            <v>6.4937538398516859</v>
          </cell>
          <cell r="E155">
            <v>8.4118326757584114</v>
          </cell>
          <cell r="AB155">
            <v>-851.11840076406952</v>
          </cell>
        </row>
        <row r="156">
          <cell r="B156">
            <v>747</v>
          </cell>
          <cell r="C156">
            <v>4941</v>
          </cell>
          <cell r="D156">
            <v>6.6160651851328174</v>
          </cell>
          <cell r="E156">
            <v>8.5053230188457505</v>
          </cell>
          <cell r="AB156">
            <v>-2440.0944931772028</v>
          </cell>
        </row>
        <row r="157">
          <cell r="B157">
            <v>743</v>
          </cell>
          <cell r="C157">
            <v>5075</v>
          </cell>
          <cell r="D157">
            <v>6.6106960447177592</v>
          </cell>
          <cell r="E157">
            <v>8.5320818039099873</v>
          </cell>
          <cell r="AB157">
            <v>-111.99647207105409</v>
          </cell>
        </row>
        <row r="158">
          <cell r="B158">
            <v>673</v>
          </cell>
          <cell r="C158">
            <v>4537</v>
          </cell>
          <cell r="D158">
            <v>6.5117453296447279</v>
          </cell>
          <cell r="E158">
            <v>8.4200212796639633</v>
          </cell>
          <cell r="AB158">
            <v>444.13741041539379</v>
          </cell>
        </row>
        <row r="159">
          <cell r="B159">
            <v>718</v>
          </cell>
          <cell r="C159">
            <v>4794</v>
          </cell>
          <cell r="D159">
            <v>6.576469569048224</v>
          </cell>
          <cell r="E159">
            <v>8.4751204149943291</v>
          </cell>
          <cell r="AB159">
            <v>-1387.1542621443677</v>
          </cell>
        </row>
        <row r="160">
          <cell r="B160">
            <v>621</v>
          </cell>
          <cell r="C160">
            <v>4186</v>
          </cell>
          <cell r="D160">
            <v>6.4313310819334788</v>
          </cell>
          <cell r="E160">
            <v>8.3395009030059448</v>
          </cell>
          <cell r="AB160">
            <v>-295.1877327659804</v>
          </cell>
        </row>
        <row r="161">
          <cell r="B161">
            <v>713</v>
          </cell>
          <cell r="C161">
            <v>3521</v>
          </cell>
          <cell r="D161">
            <v>6.5694814204142959</v>
          </cell>
          <cell r="E161">
            <v>8.1665003191550518</v>
          </cell>
          <cell r="AB161">
            <v>-387.04189648609827</v>
          </cell>
        </row>
        <row r="162">
          <cell r="B162">
            <v>698</v>
          </cell>
          <cell r="C162">
            <v>2349</v>
          </cell>
          <cell r="D162">
            <v>6.5482191027623724</v>
          </cell>
          <cell r="E162">
            <v>7.7617449846589128</v>
          </cell>
          <cell r="AB162">
            <v>-1189.1542621443677</v>
          </cell>
        </row>
        <row r="163">
          <cell r="B163">
            <v>679</v>
          </cell>
          <cell r="C163">
            <v>3978</v>
          </cell>
          <cell r="D163">
            <v>6.5206211275586963</v>
          </cell>
          <cell r="E163">
            <v>8.288534459413917</v>
          </cell>
          <cell r="AB163">
            <v>-934.11361924669654</v>
          </cell>
        </row>
        <row r="164">
          <cell r="B164">
            <v>656</v>
          </cell>
          <cell r="C164">
            <v>4049</v>
          </cell>
          <cell r="D164">
            <v>6.4861607889440887</v>
          </cell>
          <cell r="E164">
            <v>8.3062252160321606</v>
          </cell>
          <cell r="AB164">
            <v>-534.09210241851724</v>
          </cell>
        </row>
        <row r="165">
          <cell r="B165">
            <v>672</v>
          </cell>
          <cell r="C165">
            <v>4421</v>
          </cell>
          <cell r="D165">
            <v>6.5102583405231496</v>
          </cell>
          <cell r="E165">
            <v>8.3941211938262423</v>
          </cell>
          <cell r="AB165">
            <v>-923.25945552657686</v>
          </cell>
        </row>
        <row r="166">
          <cell r="B166">
            <v>735</v>
          </cell>
          <cell r="C166">
            <v>4092</v>
          </cell>
          <cell r="D166">
            <v>6.5998704992128365</v>
          </cell>
          <cell r="E166">
            <v>8.3167891270715177</v>
          </cell>
          <cell r="AB166">
            <v>-1257.2164218702183</v>
          </cell>
        </row>
        <row r="167">
          <cell r="B167">
            <v>772</v>
          </cell>
          <cell r="C167">
            <v>4751</v>
          </cell>
          <cell r="D167">
            <v>6.6489845500247764</v>
          </cell>
          <cell r="E167">
            <v>8.4661104011869206</v>
          </cell>
          <cell r="AB167">
            <v>245.46560722446748</v>
          </cell>
        </row>
        <row r="168">
          <cell r="B168">
            <v>763</v>
          </cell>
          <cell r="C168">
            <v>5753</v>
          </cell>
          <cell r="D168">
            <v>6.6372580312844569</v>
          </cell>
          <cell r="E168">
            <v>8.657476736863293</v>
          </cell>
          <cell r="AB168">
            <v>1356.5875359174825</v>
          </cell>
        </row>
        <row r="169">
          <cell r="B169">
            <v>698</v>
          </cell>
          <cell r="C169">
            <v>4219</v>
          </cell>
          <cell r="D169">
            <v>6.5482191027623724</v>
          </cell>
          <cell r="E169">
            <v>8.3473534121243382</v>
          </cell>
          <cell r="AB169">
            <v>693.59231743485543</v>
          </cell>
        </row>
        <row r="170">
          <cell r="B170">
            <v>585</v>
          </cell>
          <cell r="C170">
            <v>2724</v>
          </cell>
          <cell r="D170">
            <v>6.3716118472318568</v>
          </cell>
          <cell r="E170">
            <v>7.9098566672694028</v>
          </cell>
          <cell r="AB170">
            <v>70.580363641422991</v>
          </cell>
        </row>
        <row r="171">
          <cell r="B171">
            <v>820</v>
          </cell>
          <cell r="C171">
            <v>4466</v>
          </cell>
          <cell r="D171">
            <v>6.7093043402582984</v>
          </cell>
          <cell r="E171">
            <v>8.4042484324001023</v>
          </cell>
          <cell r="AB171">
            <v>952.50625012213914</v>
          </cell>
        </row>
        <row r="172">
          <cell r="B172">
            <v>795</v>
          </cell>
          <cell r="C172">
            <v>3194</v>
          </cell>
          <cell r="D172">
            <v>6.678342114654332</v>
          </cell>
          <cell r="E172">
            <v>8.0690293287749579</v>
          </cell>
          <cell r="AB172">
            <v>235.52298543294501</v>
          </cell>
        </row>
        <row r="173">
          <cell r="B173">
            <v>805</v>
          </cell>
          <cell r="C173">
            <v>4379</v>
          </cell>
          <cell r="D173">
            <v>6.6908422774185636</v>
          </cell>
          <cell r="E173">
            <v>8.384575666801398</v>
          </cell>
          <cell r="AB173">
            <v>132.26717425348215</v>
          </cell>
        </row>
        <row r="174">
          <cell r="B174">
            <v>935</v>
          </cell>
          <cell r="C174">
            <v>5653</v>
          </cell>
          <cell r="D174">
            <v>6.8405465292886873</v>
          </cell>
          <cell r="E174">
            <v>8.6399416566752905</v>
          </cell>
          <cell r="AB174">
            <v>60.401056739930027</v>
          </cell>
        </row>
        <row r="175">
          <cell r="B175">
            <v>911</v>
          </cell>
          <cell r="C175">
            <v>3438</v>
          </cell>
          <cell r="D175">
            <v>6.8145428972599582</v>
          </cell>
          <cell r="E175">
            <v>8.1426451859427953</v>
          </cell>
          <cell r="AB175">
            <v>-79.524829740786117</v>
          </cell>
        </row>
        <row r="176">
          <cell r="B176">
            <v>904</v>
          </cell>
          <cell r="C176">
            <v>4511</v>
          </cell>
          <cell r="D176">
            <v>6.8068293603921761</v>
          </cell>
          <cell r="E176">
            <v>8.4142741374083965</v>
          </cell>
          <cell r="AB176">
            <v>-1577.4005102890842</v>
          </cell>
        </row>
        <row r="177">
          <cell r="B177">
            <v>920</v>
          </cell>
          <cell r="C177">
            <v>4444</v>
          </cell>
          <cell r="D177">
            <v>6.8243736700430864</v>
          </cell>
          <cell r="E177">
            <v>8.3993101507595203</v>
          </cell>
          <cell r="AB177">
            <v>601.42257356810933</v>
          </cell>
        </row>
        <row r="178">
          <cell r="B178">
            <v>841</v>
          </cell>
          <cell r="C178">
            <v>4198</v>
          </cell>
          <cell r="D178">
            <v>6.7345916599729483</v>
          </cell>
          <cell r="E178">
            <v>8.3423635003805785</v>
          </cell>
          <cell r="AB178">
            <v>698.62817881515366</v>
          </cell>
        </row>
        <row r="179">
          <cell r="B179">
            <v>839</v>
          </cell>
          <cell r="C179">
            <v>4045</v>
          </cell>
          <cell r="D179">
            <v>6.7322107064672059</v>
          </cell>
          <cell r="E179">
            <v>8.3052368294925927</v>
          </cell>
          <cell r="AB179">
            <v>848.61861578040771</v>
          </cell>
        </row>
        <row r="180">
          <cell r="B180">
            <v>879</v>
          </cell>
          <cell r="C180">
            <v>3786</v>
          </cell>
          <cell r="D180">
            <v>6.7787848976851768</v>
          </cell>
          <cell r="E180">
            <v>8.2390653317692681</v>
          </cell>
          <cell r="AB180">
            <v>590.45126267234809</v>
          </cell>
        </row>
        <row r="181">
          <cell r="B181">
            <v>1010</v>
          </cell>
          <cell r="C181">
            <v>5883</v>
          </cell>
          <cell r="D181">
            <v>6.9177056098353047</v>
          </cell>
          <cell r="E181">
            <v>8.6798221148644554</v>
          </cell>
          <cell r="AB181">
            <v>667.55884681324369</v>
          </cell>
        </row>
        <row r="182">
          <cell r="B182">
            <v>677</v>
          </cell>
          <cell r="C182">
            <v>3232</v>
          </cell>
          <cell r="D182">
            <v>6.517671272912275</v>
          </cell>
          <cell r="E182">
            <v>8.0808564196409858</v>
          </cell>
          <cell r="AB182">
            <v>447.32694322064617</v>
          </cell>
        </row>
        <row r="183">
          <cell r="B183">
            <v>606</v>
          </cell>
          <cell r="C183">
            <v>2856</v>
          </cell>
          <cell r="D183">
            <v>6.4068799860693142</v>
          </cell>
          <cell r="E183">
            <v>7.9571773234594749</v>
          </cell>
          <cell r="AB183">
            <v>-585.45310698018875</v>
          </cell>
        </row>
        <row r="184">
          <cell r="B184">
            <v>681</v>
          </cell>
          <cell r="C184">
            <v>4053</v>
          </cell>
          <cell r="D184">
            <v>6.523562306149512</v>
          </cell>
          <cell r="E184">
            <v>8.3072126266283082</v>
          </cell>
          <cell r="AB184">
            <v>-1697.4889683604879</v>
          </cell>
        </row>
        <row r="185">
          <cell r="B185">
            <v>677</v>
          </cell>
          <cell r="C185">
            <v>3449</v>
          </cell>
          <cell r="D185">
            <v>6.517671272912275</v>
          </cell>
          <cell r="E185">
            <v>8.1458396129368413</v>
          </cell>
          <cell r="AB185">
            <v>7.465607224467476</v>
          </cell>
        </row>
        <row r="186">
          <cell r="B186">
            <v>640</v>
          </cell>
          <cell r="C186">
            <v>4073</v>
          </cell>
          <cell r="D186">
            <v>6.4614681763537174</v>
          </cell>
          <cell r="E186">
            <v>8.3121351076484125</v>
          </cell>
          <cell r="AB186">
            <v>170.41061977467643</v>
          </cell>
        </row>
        <row r="187">
          <cell r="B187">
            <v>628</v>
          </cell>
          <cell r="C187">
            <v>5003</v>
          </cell>
          <cell r="D187">
            <v>6.4425401664681985</v>
          </cell>
          <cell r="E187">
            <v>8.5177930114882052</v>
          </cell>
          <cell r="AB187">
            <v>478.44887191366161</v>
          </cell>
        </row>
        <row r="188">
          <cell r="B188">
            <v>610</v>
          </cell>
          <cell r="C188">
            <v>2858</v>
          </cell>
          <cell r="D188">
            <v>6.4134589571673573</v>
          </cell>
          <cell r="E188">
            <v>7.9578773584898128</v>
          </cell>
          <cell r="AB188">
            <v>-102.4005102890842</v>
          </cell>
        </row>
        <row r="189">
          <cell r="B189">
            <v>721</v>
          </cell>
          <cell r="C189">
            <v>4991</v>
          </cell>
          <cell r="D189">
            <v>6.5806391372849493</v>
          </cell>
          <cell r="E189">
            <v>8.5153915694696085</v>
          </cell>
          <cell r="AB189">
            <v>408.68794778231859</v>
          </cell>
        </row>
        <row r="190">
          <cell r="B190">
            <v>696</v>
          </cell>
          <cell r="C190">
            <v>4160</v>
          </cell>
          <cell r="D190">
            <v>6.5453496603344199</v>
          </cell>
          <cell r="E190">
            <v>8.3332703532553083</v>
          </cell>
          <cell r="AB190">
            <v>1446.6664309541393</v>
          </cell>
        </row>
        <row r="191">
          <cell r="B191">
            <v>633</v>
          </cell>
          <cell r="C191">
            <v>3535</v>
          </cell>
          <cell r="D191">
            <v>6.4504704221441758</v>
          </cell>
          <cell r="E191">
            <v>8.1704685783306736</v>
          </cell>
          <cell r="AB191">
            <v>172.51103163951211</v>
          </cell>
        </row>
        <row r="192">
          <cell r="B192">
            <v>744</v>
          </cell>
          <cell r="C192">
            <v>4579</v>
          </cell>
          <cell r="D192">
            <v>6.6120410348330916</v>
          </cell>
          <cell r="E192">
            <v>8.429235912657095</v>
          </cell>
          <cell r="AB192">
            <v>-870.75912409207012</v>
          </cell>
        </row>
        <row r="193">
          <cell r="B193">
            <v>670</v>
          </cell>
          <cell r="C193">
            <v>4092</v>
          </cell>
          <cell r="D193">
            <v>6.5072777123850116</v>
          </cell>
          <cell r="E193">
            <v>8.3167891270715177</v>
          </cell>
          <cell r="AB193">
            <v>-68.197295800726351</v>
          </cell>
        </row>
        <row r="194">
          <cell r="B194">
            <v>709</v>
          </cell>
          <cell r="C194">
            <v>4589</v>
          </cell>
          <cell r="D194">
            <v>6.5638555265321274</v>
          </cell>
          <cell r="E194">
            <v>8.4314174143948328</v>
          </cell>
          <cell r="AB194">
            <v>-1240.2570647678904</v>
          </cell>
        </row>
        <row r="195">
          <cell r="B195">
            <v>702</v>
          </cell>
          <cell r="C195">
            <v>3486</v>
          </cell>
          <cell r="D195">
            <v>6.5539334040258108</v>
          </cell>
          <cell r="E195">
            <v>8.1565102260799662</v>
          </cell>
          <cell r="AB195">
            <v>-95.23315718102458</v>
          </cell>
        </row>
        <row r="196">
          <cell r="B196">
            <v>665</v>
          </cell>
          <cell r="C196">
            <v>4483</v>
          </cell>
          <cell r="D196">
            <v>6.4997870406558542</v>
          </cell>
          <cell r="E196">
            <v>8.4080477441554393</v>
          </cell>
          <cell r="AB196">
            <v>659.07764144822977</v>
          </cell>
        </row>
        <row r="197">
          <cell r="B197">
            <v>722</v>
          </cell>
          <cell r="C197">
            <v>4599</v>
          </cell>
          <cell r="D197">
            <v>6.5820251388928259</v>
          </cell>
          <cell r="E197">
            <v>8.4335941675399244</v>
          </cell>
          <cell r="AB197">
            <v>-1459.9797367602478</v>
          </cell>
        </row>
        <row r="198">
          <cell r="B198">
            <v>722</v>
          </cell>
          <cell r="C198">
            <v>3711</v>
          </cell>
          <cell r="D198">
            <v>6.5820251388928259</v>
          </cell>
          <cell r="E198">
            <v>8.2190566610605984</v>
          </cell>
          <cell r="AB198">
            <v>-358.99647207105409</v>
          </cell>
        </row>
        <row r="199">
          <cell r="B199">
            <v>735</v>
          </cell>
          <cell r="C199">
            <v>4476</v>
          </cell>
          <cell r="D199">
            <v>6.5998704992128365</v>
          </cell>
          <cell r="E199">
            <v>8.4064850694318167</v>
          </cell>
          <cell r="AB199">
            <v>-489.95821993206846</v>
          </cell>
        </row>
        <row r="200">
          <cell r="B200">
            <v>753</v>
          </cell>
          <cell r="C200">
            <v>4884</v>
          </cell>
          <cell r="D200">
            <v>6.6240652277998935</v>
          </cell>
          <cell r="E200">
            <v>8.4937198352305945</v>
          </cell>
          <cell r="AB200">
            <v>-420.14708986830738</v>
          </cell>
        </row>
        <row r="201">
          <cell r="B201">
            <v>703</v>
          </cell>
          <cell r="C201">
            <v>4157</v>
          </cell>
          <cell r="D201">
            <v>6.5553568918106651</v>
          </cell>
          <cell r="E201">
            <v>8.3325489392526375</v>
          </cell>
          <cell r="AB201">
            <v>-565.15187138568126</v>
          </cell>
        </row>
        <row r="202">
          <cell r="B202">
            <v>759</v>
          </cell>
          <cell r="C202">
            <v>5352</v>
          </cell>
          <cell r="D202">
            <v>6.6320017773956303</v>
          </cell>
          <cell r="E202">
            <v>8.5852256018080642</v>
          </cell>
          <cell r="AB202">
            <v>-984.0562410382181</v>
          </cell>
        </row>
        <row r="203">
          <cell r="B203">
            <v>706</v>
          </cell>
          <cell r="C203">
            <v>4252</v>
          </cell>
          <cell r="D203">
            <v>6.5596152374932419</v>
          </cell>
          <cell r="E203">
            <v>8.3551447394618386</v>
          </cell>
          <cell r="AB203">
            <v>589.25694834972273</v>
          </cell>
        </row>
        <row r="204">
          <cell r="B204">
            <v>725</v>
          </cell>
          <cell r="C204">
            <v>4056</v>
          </cell>
          <cell r="D204">
            <v>6.5861716548546747</v>
          </cell>
          <cell r="E204">
            <v>8.3079525452710197</v>
          </cell>
          <cell r="AB204">
            <v>-730.5391742929055</v>
          </cell>
        </row>
        <row r="205">
          <cell r="B205">
            <v>657</v>
          </cell>
          <cell r="C205">
            <v>4070</v>
          </cell>
          <cell r="D205">
            <v>6.4876840184846101</v>
          </cell>
          <cell r="E205">
            <v>8.3113982784366414</v>
          </cell>
          <cell r="AB205">
            <v>-822.70891815965206</v>
          </cell>
        </row>
        <row r="206">
          <cell r="B206">
            <v>686</v>
          </cell>
          <cell r="C206">
            <v>3425</v>
          </cell>
          <cell r="D206">
            <v>6.5308776277258849</v>
          </cell>
          <cell r="E206">
            <v>8.1388567506963252</v>
          </cell>
          <cell r="AB206">
            <v>74.470388741840452</v>
          </cell>
        </row>
        <row r="207">
          <cell r="B207">
            <v>738</v>
          </cell>
          <cell r="C207">
            <v>3625</v>
          </cell>
          <cell r="D207">
            <v>6.6039438246004725</v>
          </cell>
          <cell r="E207">
            <v>8.1956095672887752</v>
          </cell>
          <cell r="AB207">
            <v>-513.5391742929055</v>
          </cell>
        </row>
        <row r="208">
          <cell r="B208">
            <v>687</v>
          </cell>
          <cell r="C208">
            <v>4126</v>
          </cell>
          <cell r="D208">
            <v>6.5323342922223491</v>
          </cell>
          <cell r="E208">
            <v>8.325063693631197</v>
          </cell>
          <cell r="AB208">
            <v>258.37236763569126</v>
          </cell>
        </row>
        <row r="209">
          <cell r="B209">
            <v>808</v>
          </cell>
          <cell r="C209">
            <v>3638</v>
          </cell>
          <cell r="D209">
            <v>6.694562058521095</v>
          </cell>
          <cell r="E209">
            <v>8.1991893590780673</v>
          </cell>
          <cell r="AB209">
            <v>1236.3436785314525</v>
          </cell>
        </row>
        <row r="210">
          <cell r="B210">
            <v>855</v>
          </cell>
          <cell r="C210">
            <v>3521</v>
          </cell>
          <cell r="D210">
            <v>6.7511014689367599</v>
          </cell>
          <cell r="E210">
            <v>8.1665003191550518</v>
          </cell>
          <cell r="AB210">
            <v>-836.69935512490611</v>
          </cell>
        </row>
        <row r="211">
          <cell r="B211">
            <v>935</v>
          </cell>
          <cell r="C211">
            <v>4418</v>
          </cell>
          <cell r="D211">
            <v>6.8405465292886873</v>
          </cell>
          <cell r="E211">
            <v>8.3934423839800623</v>
          </cell>
          <cell r="AB211">
            <v>852.56601908930315</v>
          </cell>
        </row>
        <row r="212">
          <cell r="B212">
            <v>789</v>
          </cell>
          <cell r="C212">
            <v>5374</v>
          </cell>
          <cell r="D212">
            <v>6.6707663208458738</v>
          </cell>
          <cell r="E212">
            <v>8.5893277891754369</v>
          </cell>
          <cell r="AB212">
            <v>121.50625012213914</v>
          </cell>
        </row>
        <row r="213">
          <cell r="B213">
            <v>877</v>
          </cell>
          <cell r="C213">
            <v>4911</v>
          </cell>
          <cell r="D213">
            <v>6.776506992372183</v>
          </cell>
          <cell r="E213">
            <v>8.4992328660392449</v>
          </cell>
          <cell r="AB213">
            <v>-251.64436767511461</v>
          </cell>
        </row>
        <row r="214">
          <cell r="B214">
            <v>911</v>
          </cell>
          <cell r="C214">
            <v>5178</v>
          </cell>
          <cell r="D214">
            <v>6.8145428972599582</v>
          </cell>
          <cell r="E214">
            <v>8.5521741603114823</v>
          </cell>
          <cell r="AB214">
            <v>348.62100653909511</v>
          </cell>
        </row>
        <row r="215">
          <cell r="B215">
            <v>839</v>
          </cell>
          <cell r="C215">
            <v>3685</v>
          </cell>
          <cell r="D215">
            <v>6.7322107064672059</v>
          </cell>
          <cell r="E215">
            <v>8.2120258046234369</v>
          </cell>
          <cell r="AB215">
            <v>157.44409039628817</v>
          </cell>
        </row>
        <row r="216">
          <cell r="B216">
            <v>894</v>
          </cell>
          <cell r="C216">
            <v>4896</v>
          </cell>
          <cell r="D216">
            <v>6.7957057751735137</v>
          </cell>
          <cell r="E216">
            <v>8.4961738241921623</v>
          </cell>
          <cell r="AB216">
            <v>498.53732998506439</v>
          </cell>
        </row>
        <row r="217">
          <cell r="B217">
            <v>920</v>
          </cell>
          <cell r="C217">
            <v>5410</v>
          </cell>
          <cell r="D217">
            <v>6.8243736700430864</v>
          </cell>
          <cell r="E217">
            <v>8.596004371840527</v>
          </cell>
          <cell r="AB217">
            <v>-576.47940532574148</v>
          </cell>
        </row>
        <row r="218">
          <cell r="B218">
            <v>910</v>
          </cell>
          <cell r="C218">
            <v>4902</v>
          </cell>
          <cell r="D218">
            <v>6.8134445995108956</v>
          </cell>
          <cell r="E218">
            <v>8.4973985640880585</v>
          </cell>
          <cell r="AB218">
            <v>568.43213660285528</v>
          </cell>
        </row>
        <row r="219">
          <cell r="B219">
            <v>865</v>
          </cell>
          <cell r="C219">
            <v>4749</v>
          </cell>
          <cell r="D219">
            <v>6.7627295069318789</v>
          </cell>
          <cell r="E219">
            <v>8.4656893485491214</v>
          </cell>
          <cell r="AB219">
            <v>456.56840984799055</v>
          </cell>
        </row>
        <row r="220">
          <cell r="B220">
            <v>874</v>
          </cell>
          <cell r="C220">
            <v>4304</v>
          </cell>
          <cell r="D220">
            <v>6.7730803756555353</v>
          </cell>
          <cell r="E220">
            <v>8.3673001018416198</v>
          </cell>
          <cell r="AB220">
            <v>-431.43159015200945</v>
          </cell>
        </row>
        <row r="221">
          <cell r="B221">
            <v>863</v>
          </cell>
          <cell r="C221">
            <v>4503</v>
          </cell>
          <cell r="D221">
            <v>6.7604146910834277</v>
          </cell>
          <cell r="E221">
            <v>8.4124991203015718</v>
          </cell>
          <cell r="AB221">
            <v>281.5994897109158</v>
          </cell>
        </row>
        <row r="222">
          <cell r="B222">
            <v>883</v>
          </cell>
          <cell r="C222">
            <v>5219</v>
          </cell>
          <cell r="D222">
            <v>6.7833252006039597</v>
          </cell>
          <cell r="E222">
            <v>8.5600610916434139</v>
          </cell>
          <cell r="AB222">
            <v>617.64252336727441</v>
          </cell>
        </row>
        <row r="223">
          <cell r="B223">
            <v>905</v>
          </cell>
          <cell r="C223">
            <v>4218</v>
          </cell>
          <cell r="D223">
            <v>6.8079349436999257</v>
          </cell>
          <cell r="E223">
            <v>8.3471163610387205</v>
          </cell>
          <cell r="AB223">
            <v>90.522985432945006</v>
          </cell>
        </row>
        <row r="224">
          <cell r="B224">
            <v>650</v>
          </cell>
          <cell r="C224">
            <v>5052</v>
          </cell>
          <cell r="D224">
            <v>6.4769723628896827</v>
          </cell>
          <cell r="E224">
            <v>8.527539483470381</v>
          </cell>
          <cell r="AB224">
            <v>1061.6568679193933</v>
          </cell>
        </row>
        <row r="225">
          <cell r="B225">
            <v>628</v>
          </cell>
          <cell r="C225">
            <v>3387</v>
          </cell>
          <cell r="D225">
            <v>6.4425401664681985</v>
          </cell>
          <cell r="E225">
            <v>8.1276998528177717</v>
          </cell>
          <cell r="AB225">
            <v>173.53015770900492</v>
          </cell>
        </row>
        <row r="226">
          <cell r="B226">
            <v>741</v>
          </cell>
          <cell r="C226">
            <v>4371</v>
          </cell>
          <cell r="D226">
            <v>6.6080006252960866</v>
          </cell>
          <cell r="E226">
            <v>8.3827470948633138</v>
          </cell>
          <cell r="AB226">
            <v>-98.424417875950894</v>
          </cell>
        </row>
        <row r="227">
          <cell r="B227">
            <v>719</v>
          </cell>
          <cell r="C227">
            <v>4016</v>
          </cell>
          <cell r="D227">
            <v>6.577861357721047</v>
          </cell>
          <cell r="E227">
            <v>8.2980416613715651</v>
          </cell>
          <cell r="AB227">
            <v>187.41301053336292</v>
          </cell>
        </row>
        <row r="228">
          <cell r="B228">
            <v>695</v>
          </cell>
          <cell r="C228">
            <v>4153</v>
          </cell>
          <cell r="D228">
            <v>6.543911845564792</v>
          </cell>
          <cell r="E228">
            <v>8.3315862436307544</v>
          </cell>
          <cell r="AB228">
            <v>-573.51765746472665</v>
          </cell>
        </row>
        <row r="229">
          <cell r="B229">
            <v>676</v>
          </cell>
          <cell r="C229">
            <v>3400</v>
          </cell>
          <cell r="D229">
            <v>6.5161930760429643</v>
          </cell>
          <cell r="E229">
            <v>8.1315307106042525</v>
          </cell>
          <cell r="AB229">
            <v>-581.39333801302473</v>
          </cell>
        </row>
        <row r="230">
          <cell r="B230">
            <v>805</v>
          </cell>
          <cell r="C230">
            <v>5847</v>
          </cell>
          <cell r="D230">
            <v>6.6908422774185636</v>
          </cell>
          <cell r="E230">
            <v>8.6736839881756698</v>
          </cell>
          <cell r="AB230">
            <v>123.48473329395983</v>
          </cell>
        </row>
        <row r="231">
          <cell r="B231">
            <v>723</v>
          </cell>
          <cell r="C231">
            <v>4867</v>
          </cell>
          <cell r="D231">
            <v>6.5834092221587648</v>
          </cell>
          <cell r="E231">
            <v>8.4902330098334549</v>
          </cell>
          <cell r="AB231">
            <v>-848.22598490496421</v>
          </cell>
        </row>
        <row r="232">
          <cell r="B232">
            <v>716</v>
          </cell>
          <cell r="C232">
            <v>4442</v>
          </cell>
          <cell r="D232">
            <v>6.5736801669606457</v>
          </cell>
          <cell r="E232">
            <v>8.398860004454372</v>
          </cell>
          <cell r="AB232">
            <v>-1153.1136192466965</v>
          </cell>
        </row>
        <row r="233">
          <cell r="B233">
            <v>617</v>
          </cell>
          <cell r="C233">
            <v>3194</v>
          </cell>
          <cell r="D233">
            <v>6.4248690239053881</v>
          </cell>
          <cell r="E233">
            <v>8.0690293287749579</v>
          </cell>
          <cell r="AB233">
            <v>-575.92235855177023</v>
          </cell>
        </row>
        <row r="234">
          <cell r="B234">
            <v>704</v>
          </cell>
          <cell r="C234">
            <v>4199</v>
          </cell>
          <cell r="D234">
            <v>6.5567783561580422</v>
          </cell>
          <cell r="E234">
            <v>8.3426016806841936</v>
          </cell>
          <cell r="AB234">
            <v>963.72859067998979</v>
          </cell>
        </row>
        <row r="235">
          <cell r="B235">
            <v>728</v>
          </cell>
          <cell r="C235">
            <v>5250</v>
          </cell>
          <cell r="D235">
            <v>6.5903010481966859</v>
          </cell>
          <cell r="E235">
            <v>8.5659833555856686</v>
          </cell>
          <cell r="AB235">
            <v>148.93897744440801</v>
          </cell>
        </row>
        <row r="236">
          <cell r="B236">
            <v>716</v>
          </cell>
          <cell r="C236">
            <v>4337</v>
          </cell>
          <cell r="D236">
            <v>6.5736801669606457</v>
          </cell>
          <cell r="E236">
            <v>8.3749381438353669</v>
          </cell>
          <cell r="AB236">
            <v>280.02026323975224</v>
          </cell>
        </row>
        <row r="237">
          <cell r="B237">
            <v>689</v>
          </cell>
          <cell r="C237">
            <v>3746</v>
          </cell>
          <cell r="D237">
            <v>6.5352412710136587</v>
          </cell>
          <cell r="E237">
            <v>8.228443883004033</v>
          </cell>
          <cell r="AB237">
            <v>-925.15187138568126</v>
          </cell>
        </row>
        <row r="238">
          <cell r="AB238">
            <v>65.979620342080125</v>
          </cell>
        </row>
        <row r="239">
          <cell r="AB239">
            <v>476.04178006793154</v>
          </cell>
        </row>
        <row r="240">
          <cell r="AB240">
            <v>8.0178724810648418</v>
          </cell>
        </row>
        <row r="241">
          <cell r="AB241">
            <v>34.910288340170155</v>
          </cell>
        </row>
        <row r="242">
          <cell r="AB242">
            <v>-446.06819483165054</v>
          </cell>
        </row>
        <row r="243">
          <cell r="AB243">
            <v>-203.09449317720282</v>
          </cell>
        </row>
        <row r="244">
          <cell r="AB244">
            <v>432.95332199652785</v>
          </cell>
        </row>
        <row r="245">
          <cell r="AB245">
            <v>-655.9940813123676</v>
          </cell>
        </row>
        <row r="246">
          <cell r="AB246">
            <v>1197.3962752225571</v>
          </cell>
        </row>
        <row r="247">
          <cell r="AB247">
            <v>-379.6563214685475</v>
          </cell>
        </row>
        <row r="248">
          <cell r="AB248">
            <v>152.61383426303473</v>
          </cell>
        </row>
        <row r="249">
          <cell r="AB249">
            <v>-114.43876242806982</v>
          </cell>
        </row>
        <row r="250">
          <cell r="AB250">
            <v>118.50385936345265</v>
          </cell>
        </row>
        <row r="251">
          <cell r="AB251">
            <v>-558.54156505159244</v>
          </cell>
        </row>
        <row r="252">
          <cell r="AB252">
            <v>1372.7668428189754</v>
          </cell>
        </row>
        <row r="253">
          <cell r="AB253">
            <v>720.57080060667613</v>
          </cell>
        </row>
        <row r="254">
          <cell r="AB254">
            <v>323.55406529587071</v>
          </cell>
        </row>
        <row r="255">
          <cell r="AB255">
            <v>-528.68261981409978</v>
          </cell>
        </row>
        <row r="256">
          <cell r="AB256">
            <v>128.52537619163195</v>
          </cell>
        </row>
        <row r="257">
          <cell r="AB257">
            <v>1083.5827544001095</v>
          </cell>
        </row>
        <row r="258">
          <cell r="AB258">
            <v>218.55406529587071</v>
          </cell>
        </row>
        <row r="259">
          <cell r="AB259">
            <v>-264.51048518866673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FDE8-A806-4946-AFA7-04EC64FEFEF4}">
  <dimension ref="A1:AH259"/>
  <sheetViews>
    <sheetView tabSelected="1" topLeftCell="A171" zoomScale="80" zoomScaleNormal="80" workbookViewId="0">
      <selection activeCell="A16" sqref="A16"/>
    </sheetView>
  </sheetViews>
  <sheetFormatPr defaultRowHeight="15" x14ac:dyDescent="0.25"/>
  <cols>
    <col min="26" max="26" width="12.28515625" customWidth="1"/>
  </cols>
  <sheetData>
    <row r="1" spans="1:34" x14ac:dyDescent="0.25">
      <c r="D1" t="s">
        <v>0</v>
      </c>
      <c r="Z1" t="s">
        <v>1</v>
      </c>
    </row>
    <row r="2" spans="1:34" ht="15.75" thickBot="1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>
        <f>+SLOPE(C3:C237,B3:B237)</f>
        <v>3.9976092413134277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34" x14ac:dyDescent="0.25">
      <c r="A3">
        <v>2018</v>
      </c>
      <c r="B3" s="1">
        <v>625</v>
      </c>
      <c r="C3" s="2">
        <v>3400</v>
      </c>
      <c r="D3" s="3">
        <f>+LN(B3)</f>
        <v>6.4377516497364011</v>
      </c>
      <c r="E3" s="3">
        <f>+LN(C3)</f>
        <v>8.1315307106042525</v>
      </c>
      <c r="G3" t="s">
        <v>14</v>
      </c>
      <c r="H3">
        <f>+INTERCEPT(C3:C237,B3:B237)</f>
        <v>1256.1577179237152</v>
      </c>
      <c r="I3">
        <v>700</v>
      </c>
      <c r="J3" s="4">
        <f>+I3*H2+H3</f>
        <v>4054.4841868431145</v>
      </c>
      <c r="K3" s="4">
        <f>+J3-(M3*N3)</f>
        <v>2313.4997049517315</v>
      </c>
      <c r="L3" s="4">
        <f>+J3+(M3*N3)</f>
        <v>5795.4686687344974</v>
      </c>
      <c r="M3">
        <v>1.96</v>
      </c>
      <c r="N3" s="4">
        <f>+AA7</f>
        <v>888.25738872009322</v>
      </c>
      <c r="Z3" s="5" t="s">
        <v>15</v>
      </c>
      <c r="AA3" s="5"/>
    </row>
    <row r="4" spans="1:34" x14ac:dyDescent="0.25">
      <c r="A4">
        <v>2018</v>
      </c>
      <c r="B4" s="6">
        <v>670</v>
      </c>
      <c r="C4" s="2">
        <v>4998</v>
      </c>
      <c r="D4" s="3">
        <f t="shared" ref="D4:E67" si="0">+LN(B4)</f>
        <v>6.5072777123850116</v>
      </c>
      <c r="E4" s="3">
        <f t="shared" si="0"/>
        <v>8.5167931113948985</v>
      </c>
      <c r="G4" t="s">
        <v>16</v>
      </c>
      <c r="H4" s="3">
        <f>+STEYX(C3:C237,B3:B237)</f>
        <v>888.25738872009288</v>
      </c>
      <c r="Z4" t="s">
        <v>17</v>
      </c>
      <c r="AA4">
        <v>0.38575950685636667</v>
      </c>
    </row>
    <row r="5" spans="1:34" x14ac:dyDescent="0.25">
      <c r="A5">
        <v>2018</v>
      </c>
      <c r="B5" s="6">
        <v>688</v>
      </c>
      <c r="C5" s="2">
        <v>3528</v>
      </c>
      <c r="D5" s="3">
        <f t="shared" si="0"/>
        <v>6.5337888379333435</v>
      </c>
      <c r="E5" s="3">
        <f t="shared" si="0"/>
        <v>8.1684864171266813</v>
      </c>
      <c r="Z5" t="s">
        <v>18</v>
      </c>
      <c r="AA5">
        <v>0.14881039713006722</v>
      </c>
    </row>
    <row r="6" spans="1:34" x14ac:dyDescent="0.25">
      <c r="A6">
        <v>2018</v>
      </c>
      <c r="B6" s="6">
        <v>614</v>
      </c>
      <c r="C6" s="2">
        <v>4061</v>
      </c>
      <c r="D6" s="3">
        <f t="shared" si="0"/>
        <v>6.4199949281471422</v>
      </c>
      <c r="E6" s="3">
        <f t="shared" si="0"/>
        <v>8.3091845276862983</v>
      </c>
      <c r="G6" t="s">
        <v>7</v>
      </c>
      <c r="H6">
        <f>+SLOPE(E3:E237,D3:D237)</f>
        <v>0.78373931225923688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Z6" t="s">
        <v>19</v>
      </c>
      <c r="AA6">
        <v>0.14515722286882285</v>
      </c>
    </row>
    <row r="7" spans="1:34" x14ac:dyDescent="0.25">
      <c r="A7">
        <v>2018</v>
      </c>
      <c r="B7" s="6">
        <v>658</v>
      </c>
      <c r="C7" s="2">
        <v>3761</v>
      </c>
      <c r="D7" s="3">
        <f t="shared" si="0"/>
        <v>6.4892049313253173</v>
      </c>
      <c r="E7" s="3">
        <f t="shared" si="0"/>
        <v>8.2324401584703359</v>
      </c>
      <c r="G7" t="s">
        <v>14</v>
      </c>
      <c r="H7">
        <f>+INTERCEPT(E3:E237,D3:D237)</f>
        <v>3.148932120855723</v>
      </c>
      <c r="I7">
        <v>700</v>
      </c>
      <c r="J7" s="4">
        <f>+I7*H6+H7</f>
        <v>551.76645070232155</v>
      </c>
      <c r="K7" s="4" t="e">
        <f>+J7-(M7*N7)</f>
        <v>#VALUE!</v>
      </c>
      <c r="L7" s="4" t="e">
        <f>+J7+(M7*N7)</f>
        <v>#VALUE!</v>
      </c>
      <c r="M7">
        <v>1.96</v>
      </c>
      <c r="N7" s="4" t="str">
        <f>+AA11</f>
        <v>df</v>
      </c>
      <c r="Z7" t="s">
        <v>20</v>
      </c>
      <c r="AA7">
        <v>888.25738872009322</v>
      </c>
    </row>
    <row r="8" spans="1:34" ht="15.75" thickBot="1" x14ac:dyDescent="0.3">
      <c r="A8">
        <v>2018</v>
      </c>
      <c r="B8" s="6">
        <v>621</v>
      </c>
      <c r="C8" s="2">
        <v>3753</v>
      </c>
      <c r="D8" s="3">
        <f t="shared" si="0"/>
        <v>6.4313310819334788</v>
      </c>
      <c r="E8" s="3">
        <f t="shared" si="0"/>
        <v>8.2303107991350206</v>
      </c>
      <c r="G8" t="s">
        <v>16</v>
      </c>
      <c r="H8" s="3">
        <f>+STEYX(E3:E237,D3:D237)</f>
        <v>0.23121433024235438</v>
      </c>
      <c r="Z8" s="7" t="s">
        <v>21</v>
      </c>
      <c r="AA8" s="7">
        <v>235</v>
      </c>
    </row>
    <row r="9" spans="1:34" x14ac:dyDescent="0.25">
      <c r="A9">
        <v>2018</v>
      </c>
      <c r="B9" s="6">
        <v>604</v>
      </c>
      <c r="C9" s="2">
        <v>2868</v>
      </c>
      <c r="D9" s="3">
        <f t="shared" si="0"/>
        <v>6.4035741979348151</v>
      </c>
      <c r="E9" s="3">
        <f t="shared" si="0"/>
        <v>7.9613702017195109</v>
      </c>
    </row>
    <row r="10" spans="1:34" ht="15.75" thickBot="1" x14ac:dyDescent="0.3">
      <c r="A10">
        <v>2018</v>
      </c>
      <c r="B10" s="6">
        <v>694</v>
      </c>
      <c r="C10" s="2">
        <v>4816</v>
      </c>
      <c r="D10" s="3">
        <f t="shared" si="0"/>
        <v>6.5424719605068047</v>
      </c>
      <c r="E10" s="3">
        <f t="shared" si="0"/>
        <v>8.479698986988657</v>
      </c>
      <c r="Z10" t="s">
        <v>22</v>
      </c>
    </row>
    <row r="11" spans="1:34" x14ac:dyDescent="0.25">
      <c r="A11">
        <v>2018</v>
      </c>
      <c r="B11" s="6">
        <v>667</v>
      </c>
      <c r="C11" s="2">
        <v>4516</v>
      </c>
      <c r="D11" s="3">
        <f t="shared" si="0"/>
        <v>6.5027900459156234</v>
      </c>
      <c r="E11" s="3">
        <f t="shared" si="0"/>
        <v>8.4153819252695534</v>
      </c>
      <c r="Z11" s="8"/>
      <c r="AA11" s="8" t="s">
        <v>23</v>
      </c>
      <c r="AB11" s="8" t="s">
        <v>24</v>
      </c>
      <c r="AC11" s="8" t="s">
        <v>25</v>
      </c>
      <c r="AD11" s="8" t="s">
        <v>26</v>
      </c>
      <c r="AE11" s="8" t="s">
        <v>27</v>
      </c>
    </row>
    <row r="12" spans="1:34" x14ac:dyDescent="0.25">
      <c r="A12">
        <v>2018</v>
      </c>
      <c r="B12" s="6">
        <v>706</v>
      </c>
      <c r="C12" s="2">
        <v>2227</v>
      </c>
      <c r="D12" s="3">
        <f t="shared" si="0"/>
        <v>6.5596152374932419</v>
      </c>
      <c r="E12" s="3">
        <f t="shared" si="0"/>
        <v>7.7084106672573673</v>
      </c>
      <c r="Z12" t="s">
        <v>28</v>
      </c>
      <c r="AA12">
        <v>1</v>
      </c>
      <c r="AB12">
        <v>32139605.673786074</v>
      </c>
      <c r="AC12">
        <v>32139605.673786074</v>
      </c>
      <c r="AD12">
        <v>40.734546585625871</v>
      </c>
      <c r="AE12">
        <v>9.3227916710532946E-10</v>
      </c>
    </row>
    <row r="13" spans="1:34" x14ac:dyDescent="0.25">
      <c r="A13">
        <v>2018</v>
      </c>
      <c r="B13" s="6">
        <v>587</v>
      </c>
      <c r="C13" s="2">
        <v>3862</v>
      </c>
      <c r="D13" s="3">
        <f t="shared" si="0"/>
        <v>6.3750248198280968</v>
      </c>
      <c r="E13" s="3">
        <f t="shared" si="0"/>
        <v>8.2589404629884591</v>
      </c>
      <c r="Z13" t="s">
        <v>29</v>
      </c>
      <c r="AA13">
        <v>233</v>
      </c>
      <c r="AB13">
        <v>183837276.94749045</v>
      </c>
      <c r="AC13">
        <v>789001.18861583888</v>
      </c>
    </row>
    <row r="14" spans="1:34" ht="15.75" thickBot="1" x14ac:dyDescent="0.3">
      <c r="A14">
        <v>2018</v>
      </c>
      <c r="B14" s="6">
        <v>657</v>
      </c>
      <c r="C14" s="2">
        <v>4747</v>
      </c>
      <c r="D14" s="3">
        <f t="shared" si="0"/>
        <v>6.4876840184846101</v>
      </c>
      <c r="E14" s="3">
        <f t="shared" si="0"/>
        <v>8.4652681185513181</v>
      </c>
      <c r="Z14" s="7" t="s">
        <v>30</v>
      </c>
      <c r="AA14" s="7">
        <v>234</v>
      </c>
      <c r="AB14" s="7">
        <v>215976882.62127653</v>
      </c>
      <c r="AC14" s="7"/>
      <c r="AD14" s="7"/>
      <c r="AE14" s="7"/>
    </row>
    <row r="15" spans="1:34" ht="15.75" thickBot="1" x14ac:dyDescent="0.3">
      <c r="A15">
        <v>2018</v>
      </c>
      <c r="B15" s="6">
        <v>725</v>
      </c>
      <c r="C15" s="2">
        <v>4998</v>
      </c>
      <c r="D15" s="3">
        <f t="shared" si="0"/>
        <v>6.5861716548546747</v>
      </c>
      <c r="E15" s="3">
        <f t="shared" si="0"/>
        <v>8.5167931113948985</v>
      </c>
    </row>
    <row r="16" spans="1:34" x14ac:dyDescent="0.25">
      <c r="A16">
        <v>2018</v>
      </c>
      <c r="B16" s="6">
        <v>583</v>
      </c>
      <c r="C16" s="2">
        <v>3402</v>
      </c>
      <c r="D16" s="3">
        <f t="shared" si="0"/>
        <v>6.3681871863504922</v>
      </c>
      <c r="E16" s="3">
        <f t="shared" si="0"/>
        <v>8.1321187729558062</v>
      </c>
      <c r="Z16" s="8"/>
      <c r="AA16" s="8" t="s">
        <v>31</v>
      </c>
      <c r="AB16" s="8" t="s">
        <v>20</v>
      </c>
      <c r="AC16" s="8" t="s">
        <v>32</v>
      </c>
      <c r="AD16" s="8" t="s">
        <v>33</v>
      </c>
      <c r="AE16" s="8" t="s">
        <v>34</v>
      </c>
      <c r="AF16" s="8" t="s">
        <v>35</v>
      </c>
      <c r="AG16" s="8" t="s">
        <v>36</v>
      </c>
      <c r="AH16" s="8" t="s">
        <v>37</v>
      </c>
    </row>
    <row r="17" spans="1:34" x14ac:dyDescent="0.25">
      <c r="A17">
        <v>2018</v>
      </c>
      <c r="B17" s="6">
        <v>615</v>
      </c>
      <c r="C17" s="2">
        <v>3815</v>
      </c>
      <c r="D17" s="3">
        <f t="shared" si="0"/>
        <v>6.4216222678065176</v>
      </c>
      <c r="E17" s="3">
        <f t="shared" si="0"/>
        <v>8.2466959437185565</v>
      </c>
      <c r="Z17" t="s">
        <v>38</v>
      </c>
      <c r="AA17">
        <v>1256.1577179237142</v>
      </c>
      <c r="AB17">
        <v>447.5469596064035</v>
      </c>
      <c r="AC17">
        <v>2.8067618178625229</v>
      </c>
      <c r="AD17">
        <v>5.4277714166071035E-3</v>
      </c>
      <c r="AE17">
        <v>374.40177267972331</v>
      </c>
      <c r="AF17">
        <v>2137.9136631677052</v>
      </c>
      <c r="AG17">
        <v>374.40177267972331</v>
      </c>
      <c r="AH17">
        <v>2137.9136631677052</v>
      </c>
    </row>
    <row r="18" spans="1:34" ht="15.75" thickBot="1" x14ac:dyDescent="0.3">
      <c r="A18">
        <v>2018</v>
      </c>
      <c r="B18" s="6">
        <v>651</v>
      </c>
      <c r="C18" s="2">
        <v>3285</v>
      </c>
      <c r="D18" s="3">
        <f t="shared" si="0"/>
        <v>6.4785096422085688</v>
      </c>
      <c r="E18" s="3">
        <f t="shared" si="0"/>
        <v>8.0971219309187106</v>
      </c>
      <c r="Z18" s="7" t="s">
        <v>39</v>
      </c>
      <c r="AA18" s="7">
        <v>3.997609241313429</v>
      </c>
      <c r="AB18" s="7">
        <v>0.62635261815933974</v>
      </c>
      <c r="AC18" s="7">
        <v>6.3823621477965391</v>
      </c>
      <c r="AD18" s="7">
        <v>9.3227916710525749E-10</v>
      </c>
      <c r="AE18" s="7">
        <v>2.7635708169057418</v>
      </c>
      <c r="AF18" s="7">
        <v>5.2316476657211162</v>
      </c>
      <c r="AG18" s="7">
        <v>2.7635708169057418</v>
      </c>
      <c r="AH18" s="7">
        <v>5.2316476657211162</v>
      </c>
    </row>
    <row r="19" spans="1:34" x14ac:dyDescent="0.25">
      <c r="A19">
        <v>2018</v>
      </c>
      <c r="B19" s="6">
        <v>574</v>
      </c>
      <c r="C19" s="2">
        <v>2843</v>
      </c>
      <c r="D19" s="3">
        <f t="shared" si="0"/>
        <v>6.3526293963195668</v>
      </c>
      <c r="E19" s="3">
        <f t="shared" si="0"/>
        <v>7.9526151116510002</v>
      </c>
    </row>
    <row r="20" spans="1:34" x14ac:dyDescent="0.25">
      <c r="A20">
        <v>2018</v>
      </c>
      <c r="B20" s="6">
        <v>681</v>
      </c>
      <c r="C20" s="2">
        <v>4868</v>
      </c>
      <c r="D20" s="3">
        <f t="shared" si="0"/>
        <v>6.523562306149512</v>
      </c>
      <c r="E20" s="3">
        <f t="shared" si="0"/>
        <v>8.4904384541074176</v>
      </c>
    </row>
    <row r="21" spans="1:34" x14ac:dyDescent="0.25">
      <c r="A21">
        <v>2018</v>
      </c>
      <c r="B21" s="6">
        <v>577</v>
      </c>
      <c r="C21" s="2">
        <v>2877</v>
      </c>
      <c r="D21" s="3">
        <f t="shared" si="0"/>
        <v>6.3578422665080998</v>
      </c>
      <c r="E21" s="3">
        <f t="shared" si="0"/>
        <v>7.9645033635515476</v>
      </c>
    </row>
    <row r="22" spans="1:34" x14ac:dyDescent="0.25">
      <c r="A22">
        <v>2018</v>
      </c>
      <c r="B22" s="6">
        <v>738</v>
      </c>
      <c r="C22" s="2">
        <v>5768</v>
      </c>
      <c r="D22" s="3">
        <f t="shared" si="0"/>
        <v>6.6039438246004725</v>
      </c>
      <c r="E22" s="3">
        <f t="shared" si="0"/>
        <v>8.6600806789647855</v>
      </c>
      <c r="Z22" t="s">
        <v>40</v>
      </c>
    </row>
    <row r="23" spans="1:34" ht="15.75" thickBot="1" x14ac:dyDescent="0.3">
      <c r="A23">
        <v>2018</v>
      </c>
      <c r="B23" s="6">
        <v>762</v>
      </c>
      <c r="C23" s="2">
        <v>4909</v>
      </c>
      <c r="D23" s="3">
        <f t="shared" si="0"/>
        <v>6.6359465556866466</v>
      </c>
      <c r="E23" s="3">
        <f t="shared" si="0"/>
        <v>8.498825534058053</v>
      </c>
    </row>
    <row r="24" spans="1:34" x14ac:dyDescent="0.25">
      <c r="A24">
        <v>2018</v>
      </c>
      <c r="B24" s="6">
        <v>783</v>
      </c>
      <c r="C24" s="2">
        <v>4328</v>
      </c>
      <c r="D24" s="3">
        <f t="shared" si="0"/>
        <v>6.6631326959908028</v>
      </c>
      <c r="E24" s="3">
        <f t="shared" si="0"/>
        <v>8.3728608205263182</v>
      </c>
      <c r="Z24" s="8" t="s">
        <v>41</v>
      </c>
      <c r="AA24" s="8" t="s">
        <v>42</v>
      </c>
      <c r="AB24" s="8" t="s">
        <v>43</v>
      </c>
    </row>
    <row r="25" spans="1:34" x14ac:dyDescent="0.25">
      <c r="A25">
        <v>2018</v>
      </c>
      <c r="B25" s="6">
        <v>813</v>
      </c>
      <c r="C25" s="2">
        <v>5669</v>
      </c>
      <c r="D25" s="3">
        <f t="shared" si="0"/>
        <v>6.7007311095478101</v>
      </c>
      <c r="E25" s="3">
        <f t="shared" si="0"/>
        <v>8.6427680143243037</v>
      </c>
      <c r="Z25">
        <v>1</v>
      </c>
      <c r="AA25">
        <v>3754.6634937446074</v>
      </c>
      <c r="AB25">
        <v>-354.66349374460742</v>
      </c>
    </row>
    <row r="26" spans="1:34" x14ac:dyDescent="0.25">
      <c r="A26">
        <v>2018</v>
      </c>
      <c r="B26" s="6">
        <v>643</v>
      </c>
      <c r="C26" s="2">
        <v>2790</v>
      </c>
      <c r="D26" s="3">
        <f t="shared" si="0"/>
        <v>6.4661447242376191</v>
      </c>
      <c r="E26" s="3">
        <f t="shared" si="0"/>
        <v>7.9337968748154113</v>
      </c>
      <c r="Z26">
        <v>2</v>
      </c>
      <c r="AA26">
        <v>3934.5559096037118</v>
      </c>
      <c r="AB26">
        <v>1063.4440903962882</v>
      </c>
    </row>
    <row r="27" spans="1:34" x14ac:dyDescent="0.25">
      <c r="A27">
        <v>2018</v>
      </c>
      <c r="B27" s="6">
        <v>698</v>
      </c>
      <c r="C27" s="2">
        <v>4589</v>
      </c>
      <c r="D27" s="3">
        <f t="shared" si="0"/>
        <v>6.5482191027623724</v>
      </c>
      <c r="E27" s="3">
        <f t="shared" si="0"/>
        <v>8.4314174143948328</v>
      </c>
      <c r="Z27">
        <v>3</v>
      </c>
      <c r="AA27">
        <v>4006.5128759473532</v>
      </c>
      <c r="AB27">
        <v>-478.51287594735322</v>
      </c>
    </row>
    <row r="28" spans="1:34" x14ac:dyDescent="0.25">
      <c r="A28">
        <v>2018</v>
      </c>
      <c r="B28" s="6">
        <v>692</v>
      </c>
      <c r="C28" s="2">
        <v>3804</v>
      </c>
      <c r="D28" s="3">
        <f t="shared" si="0"/>
        <v>6.5395859556176692</v>
      </c>
      <c r="E28" s="3">
        <f t="shared" si="0"/>
        <v>8.2438084236652802</v>
      </c>
      <c r="Z28">
        <v>4</v>
      </c>
      <c r="AA28">
        <v>3710.6897920901597</v>
      </c>
      <c r="AB28">
        <v>350.3102079098403</v>
      </c>
    </row>
    <row r="29" spans="1:34" x14ac:dyDescent="0.25">
      <c r="A29">
        <v>2018</v>
      </c>
      <c r="B29" s="6">
        <v>719</v>
      </c>
      <c r="C29" s="2">
        <v>3865</v>
      </c>
      <c r="D29" s="3">
        <f t="shared" si="0"/>
        <v>6.577861357721047</v>
      </c>
      <c r="E29" s="3">
        <f t="shared" si="0"/>
        <v>8.2597169610215229</v>
      </c>
      <c r="Z29">
        <v>5</v>
      </c>
      <c r="AA29">
        <v>3886.5845987079506</v>
      </c>
      <c r="AB29">
        <v>-125.58459870795059</v>
      </c>
    </row>
    <row r="30" spans="1:34" x14ac:dyDescent="0.25">
      <c r="A30">
        <v>2018</v>
      </c>
      <c r="B30" s="6">
        <v>618</v>
      </c>
      <c r="C30" s="2">
        <v>2482</v>
      </c>
      <c r="D30" s="3">
        <f t="shared" si="0"/>
        <v>6.4264884574576904</v>
      </c>
      <c r="E30" s="3">
        <f t="shared" si="0"/>
        <v>7.8168199657645525</v>
      </c>
      <c r="Z30">
        <v>6</v>
      </c>
      <c r="AA30">
        <v>3738.6730567793538</v>
      </c>
      <c r="AB30">
        <v>14.326943220646172</v>
      </c>
    </row>
    <row r="31" spans="1:34" ht="15.75" thickBot="1" x14ac:dyDescent="0.3">
      <c r="A31">
        <v>2018</v>
      </c>
      <c r="B31" s="9">
        <v>705</v>
      </c>
      <c r="C31" s="10">
        <v>3746</v>
      </c>
      <c r="D31" s="3">
        <f t="shared" si="0"/>
        <v>6.5581978028122689</v>
      </c>
      <c r="E31" s="3">
        <f t="shared" si="0"/>
        <v>8.228443883004033</v>
      </c>
      <c r="Z31">
        <v>7</v>
      </c>
      <c r="AA31">
        <v>3670.7136996770255</v>
      </c>
      <c r="AB31">
        <v>-802.71369967702549</v>
      </c>
    </row>
    <row r="32" spans="1:34" x14ac:dyDescent="0.25">
      <c r="A32">
        <v>2018</v>
      </c>
      <c r="B32" s="1">
        <v>668</v>
      </c>
      <c r="C32" s="2">
        <v>3565</v>
      </c>
      <c r="D32" s="3">
        <f t="shared" si="0"/>
        <v>6.5042881735366453</v>
      </c>
      <c r="E32" s="3">
        <f t="shared" si="0"/>
        <v>8.1789193328483965</v>
      </c>
      <c r="Z32">
        <v>8</v>
      </c>
      <c r="AA32">
        <v>4030.4985313952338</v>
      </c>
      <c r="AB32">
        <v>785.50146860476616</v>
      </c>
    </row>
    <row r="33" spans="1:28" x14ac:dyDescent="0.25">
      <c r="A33">
        <v>2018</v>
      </c>
      <c r="B33" s="6">
        <v>651</v>
      </c>
      <c r="C33" s="2">
        <v>3535</v>
      </c>
      <c r="D33" s="3">
        <f t="shared" si="0"/>
        <v>6.4785096422085688</v>
      </c>
      <c r="E33" s="3">
        <f t="shared" si="0"/>
        <v>8.1704685783306736</v>
      </c>
      <c r="Z33">
        <v>9</v>
      </c>
      <c r="AA33">
        <v>3922.5630818797713</v>
      </c>
      <c r="AB33">
        <v>593.43691812022871</v>
      </c>
    </row>
    <row r="34" spans="1:28" x14ac:dyDescent="0.25">
      <c r="A34">
        <v>2018</v>
      </c>
      <c r="B34" s="6">
        <v>618</v>
      </c>
      <c r="C34" s="2">
        <v>4148</v>
      </c>
      <c r="D34" s="3">
        <f t="shared" si="0"/>
        <v>6.4264884574576904</v>
      </c>
      <c r="E34" s="3">
        <f t="shared" si="0"/>
        <v>8.3303815693494183</v>
      </c>
      <c r="Z34">
        <v>10</v>
      </c>
      <c r="AA34">
        <v>4078.4698422909951</v>
      </c>
      <c r="AB34">
        <v>-1851.4698422909951</v>
      </c>
    </row>
    <row r="35" spans="1:28" x14ac:dyDescent="0.25">
      <c r="A35">
        <v>2018</v>
      </c>
      <c r="B35" s="6">
        <v>684</v>
      </c>
      <c r="C35" s="2">
        <v>3698</v>
      </c>
      <c r="D35" s="3">
        <f t="shared" si="0"/>
        <v>6.5279579176225502</v>
      </c>
      <c r="E35" s="3">
        <f t="shared" si="0"/>
        <v>8.2155474119470693</v>
      </c>
      <c r="Z35">
        <v>11</v>
      </c>
      <c r="AA35">
        <v>3602.7543425746971</v>
      </c>
      <c r="AB35">
        <v>259.24565742530285</v>
      </c>
    </row>
    <row r="36" spans="1:28" x14ac:dyDescent="0.25">
      <c r="A36">
        <v>2018</v>
      </c>
      <c r="B36" s="6">
        <v>599</v>
      </c>
      <c r="C36" s="2">
        <v>4003</v>
      </c>
      <c r="D36" s="3">
        <f t="shared" si="0"/>
        <v>6.3952615981154493</v>
      </c>
      <c r="E36" s="3">
        <f t="shared" si="0"/>
        <v>8.2947993589925737</v>
      </c>
      <c r="Z36">
        <v>12</v>
      </c>
      <c r="AA36">
        <v>3882.5869894666371</v>
      </c>
      <c r="AB36">
        <v>864.41301053336292</v>
      </c>
    </row>
    <row r="37" spans="1:28" x14ac:dyDescent="0.25">
      <c r="A37">
        <v>2018</v>
      </c>
      <c r="B37" s="6">
        <v>700</v>
      </c>
      <c r="C37" s="2">
        <v>5028</v>
      </c>
      <c r="D37" s="3">
        <f t="shared" si="0"/>
        <v>6.5510803350434044</v>
      </c>
      <c r="E37" s="3">
        <f t="shared" si="0"/>
        <v>8.5227775697101382</v>
      </c>
      <c r="Z37">
        <v>13</v>
      </c>
      <c r="AA37">
        <v>4154.4244178759509</v>
      </c>
      <c r="AB37">
        <v>843.57558212404911</v>
      </c>
    </row>
    <row r="38" spans="1:28" x14ac:dyDescent="0.25">
      <c r="A38">
        <v>2018</v>
      </c>
      <c r="B38" s="6">
        <v>731</v>
      </c>
      <c r="C38" s="2">
        <v>4324</v>
      </c>
      <c r="D38" s="3">
        <f t="shared" si="0"/>
        <v>6.5944134597497781</v>
      </c>
      <c r="E38" s="3">
        <f t="shared" si="0"/>
        <v>8.371936178759098</v>
      </c>
      <c r="Z38">
        <v>14</v>
      </c>
      <c r="AA38">
        <v>3586.7639056094436</v>
      </c>
      <c r="AB38">
        <v>-184.76390560944355</v>
      </c>
    </row>
    <row r="39" spans="1:28" x14ac:dyDescent="0.25">
      <c r="A39">
        <v>2018</v>
      </c>
      <c r="B39" s="6">
        <v>678</v>
      </c>
      <c r="C39" s="2">
        <v>3827</v>
      </c>
      <c r="D39" s="3">
        <f t="shared" si="0"/>
        <v>6.5191472879403953</v>
      </c>
      <c r="E39" s="3">
        <f t="shared" si="0"/>
        <v>8.2498364854257016</v>
      </c>
      <c r="Z39">
        <v>15</v>
      </c>
      <c r="AA39">
        <v>3714.6874013314732</v>
      </c>
      <c r="AB39">
        <v>100.31259866852679</v>
      </c>
    </row>
    <row r="40" spans="1:28" x14ac:dyDescent="0.25">
      <c r="A40">
        <v>2018</v>
      </c>
      <c r="B40" s="6">
        <v>609</v>
      </c>
      <c r="C40" s="2">
        <v>2486</v>
      </c>
      <c r="D40" s="3">
        <f t="shared" si="0"/>
        <v>6.4118182677098972</v>
      </c>
      <c r="E40" s="3">
        <f t="shared" si="0"/>
        <v>7.818430272070656</v>
      </c>
      <c r="Z40">
        <v>16</v>
      </c>
      <c r="AA40">
        <v>3858.6013340187565</v>
      </c>
      <c r="AB40">
        <v>-573.60133401875646</v>
      </c>
    </row>
    <row r="41" spans="1:28" x14ac:dyDescent="0.25">
      <c r="A41">
        <v>2018</v>
      </c>
      <c r="B41" s="6">
        <v>653</v>
      </c>
      <c r="C41" s="2">
        <v>6288</v>
      </c>
      <c r="D41" s="3">
        <f t="shared" si="0"/>
        <v>6.481577129276431</v>
      </c>
      <c r="E41" s="3">
        <f t="shared" si="0"/>
        <v>8.7463983341090419</v>
      </c>
      <c r="Z41">
        <v>17</v>
      </c>
      <c r="AA41">
        <v>3550.7854224376224</v>
      </c>
      <c r="AB41">
        <v>-707.7854224376224</v>
      </c>
    </row>
    <row r="42" spans="1:28" x14ac:dyDescent="0.25">
      <c r="A42">
        <v>2018</v>
      </c>
      <c r="B42" s="6">
        <v>731</v>
      </c>
      <c r="C42" s="2">
        <v>5256</v>
      </c>
      <c r="D42" s="3">
        <f t="shared" si="0"/>
        <v>6.5944134597497781</v>
      </c>
      <c r="E42" s="3">
        <f t="shared" si="0"/>
        <v>8.5671255601644472</v>
      </c>
      <c r="Z42">
        <v>18</v>
      </c>
      <c r="AA42">
        <v>3978.5296112581595</v>
      </c>
      <c r="AB42">
        <v>889.47038874184045</v>
      </c>
    </row>
    <row r="43" spans="1:28" x14ac:dyDescent="0.25">
      <c r="A43">
        <v>2018</v>
      </c>
      <c r="B43" s="6">
        <v>620</v>
      </c>
      <c r="C43" s="2">
        <v>3345</v>
      </c>
      <c r="D43" s="3">
        <f t="shared" si="0"/>
        <v>6.4297194780391376</v>
      </c>
      <c r="E43" s="3">
        <f t="shared" si="0"/>
        <v>8.1152219725623294</v>
      </c>
      <c r="Z43">
        <v>19</v>
      </c>
      <c r="AA43">
        <v>3562.7782501615629</v>
      </c>
      <c r="AB43">
        <v>-685.77825016156294</v>
      </c>
    </row>
    <row r="44" spans="1:28" x14ac:dyDescent="0.25">
      <c r="A44">
        <v>2018</v>
      </c>
      <c r="B44" s="6">
        <v>771</v>
      </c>
      <c r="C44" s="2">
        <v>2208</v>
      </c>
      <c r="D44" s="3">
        <f t="shared" si="0"/>
        <v>6.6476883735633292</v>
      </c>
      <c r="E44" s="3">
        <f t="shared" si="0"/>
        <v>7.6998424073969858</v>
      </c>
      <c r="Z44">
        <v>20</v>
      </c>
      <c r="AA44">
        <v>4206.3933380130247</v>
      </c>
      <c r="AB44">
        <v>1561.6066619869753</v>
      </c>
    </row>
    <row r="45" spans="1:28" x14ac:dyDescent="0.25">
      <c r="A45">
        <v>2018</v>
      </c>
      <c r="B45" s="6">
        <v>600</v>
      </c>
      <c r="C45" s="2">
        <v>4025</v>
      </c>
      <c r="D45" s="3">
        <f t="shared" si="0"/>
        <v>6.3969296552161463</v>
      </c>
      <c r="E45" s="3">
        <f t="shared" si="0"/>
        <v>8.3002801898526641</v>
      </c>
      <c r="Z45">
        <v>21</v>
      </c>
      <c r="AA45">
        <v>4302.3359598045472</v>
      </c>
      <c r="AB45">
        <v>606.6640401954528</v>
      </c>
    </row>
    <row r="46" spans="1:28" x14ac:dyDescent="0.25">
      <c r="A46">
        <v>2018</v>
      </c>
      <c r="B46" s="6">
        <v>574</v>
      </c>
      <c r="C46" s="2">
        <v>3169</v>
      </c>
      <c r="D46" s="3">
        <f t="shared" si="0"/>
        <v>6.3526293963195668</v>
      </c>
      <c r="E46" s="3">
        <f t="shared" si="0"/>
        <v>8.0611713596909205</v>
      </c>
      <c r="Z46">
        <v>22</v>
      </c>
      <c r="AA46">
        <v>4386.2857538721291</v>
      </c>
      <c r="AB46">
        <v>-58.285753872129135</v>
      </c>
    </row>
    <row r="47" spans="1:28" x14ac:dyDescent="0.25">
      <c r="A47">
        <v>2018</v>
      </c>
      <c r="B47" s="6">
        <v>701</v>
      </c>
      <c r="C47" s="2">
        <v>3699</v>
      </c>
      <c r="D47" s="3">
        <f t="shared" si="0"/>
        <v>6.5525078870345901</v>
      </c>
      <c r="E47" s="3">
        <f t="shared" si="0"/>
        <v>8.2158177918324533</v>
      </c>
      <c r="Z47">
        <v>23</v>
      </c>
      <c r="AA47">
        <v>4506.2140311115327</v>
      </c>
      <c r="AB47">
        <v>1162.7859688884673</v>
      </c>
    </row>
    <row r="48" spans="1:28" x14ac:dyDescent="0.25">
      <c r="A48">
        <v>2018</v>
      </c>
      <c r="B48" s="6">
        <v>617</v>
      </c>
      <c r="C48" s="2">
        <v>2649</v>
      </c>
      <c r="D48" s="3">
        <f t="shared" si="0"/>
        <v>6.4248690239053881</v>
      </c>
      <c r="E48" s="3">
        <f t="shared" si="0"/>
        <v>7.8819374892720697</v>
      </c>
      <c r="Z48">
        <v>24</v>
      </c>
      <c r="AA48">
        <v>3826.6204600882493</v>
      </c>
      <c r="AB48">
        <v>-1036.6204600882493</v>
      </c>
    </row>
    <row r="49" spans="1:28" x14ac:dyDescent="0.25">
      <c r="A49">
        <v>2018</v>
      </c>
      <c r="B49" s="6">
        <v>619</v>
      </c>
      <c r="C49" s="2">
        <v>2188</v>
      </c>
      <c r="D49" s="3">
        <f t="shared" si="0"/>
        <v>6.4281052726845962</v>
      </c>
      <c r="E49" s="3">
        <f t="shared" si="0"/>
        <v>7.6907431635418719</v>
      </c>
      <c r="Z49">
        <v>25</v>
      </c>
      <c r="AA49">
        <v>4046.4889683604879</v>
      </c>
      <c r="AB49">
        <v>542.51103163951211</v>
      </c>
    </row>
    <row r="50" spans="1:28" x14ac:dyDescent="0.25">
      <c r="A50">
        <v>2018</v>
      </c>
      <c r="B50" s="6">
        <v>706</v>
      </c>
      <c r="C50" s="2">
        <v>4642</v>
      </c>
      <c r="D50" s="3">
        <f t="shared" si="0"/>
        <v>6.5596152374932419</v>
      </c>
      <c r="E50" s="3">
        <f t="shared" si="0"/>
        <v>8.4429005868343818</v>
      </c>
      <c r="Z50">
        <v>26</v>
      </c>
      <c r="AA50">
        <v>4022.5033129126073</v>
      </c>
      <c r="AB50">
        <v>-218.50331291260727</v>
      </c>
    </row>
    <row r="51" spans="1:28" x14ac:dyDescent="0.25">
      <c r="A51">
        <v>2018</v>
      </c>
      <c r="B51" s="6">
        <v>685</v>
      </c>
      <c r="C51" s="2">
        <v>3995</v>
      </c>
      <c r="D51" s="3">
        <f t="shared" si="0"/>
        <v>6.5294188382622256</v>
      </c>
      <c r="E51" s="3">
        <f t="shared" si="0"/>
        <v>8.2927988582003742</v>
      </c>
      <c r="Z51">
        <v>27</v>
      </c>
      <c r="AA51">
        <v>4130.4387624280698</v>
      </c>
      <c r="AB51">
        <v>-265.43876242806982</v>
      </c>
    </row>
    <row r="52" spans="1:28" x14ac:dyDescent="0.25">
      <c r="A52">
        <v>2018</v>
      </c>
      <c r="B52" s="6">
        <v>710</v>
      </c>
      <c r="C52" s="2">
        <v>4722</v>
      </c>
      <c r="D52" s="3">
        <f t="shared" si="0"/>
        <v>6.5652649700353614</v>
      </c>
      <c r="E52" s="3">
        <f t="shared" si="0"/>
        <v>8.4599877176454576</v>
      </c>
      <c r="Z52">
        <v>28</v>
      </c>
      <c r="AA52">
        <v>3726.6802290554133</v>
      </c>
      <c r="AB52">
        <v>-1244.6802290554133</v>
      </c>
    </row>
    <row r="53" spans="1:28" x14ac:dyDescent="0.25">
      <c r="A53">
        <v>2018</v>
      </c>
      <c r="B53" s="6">
        <v>715</v>
      </c>
      <c r="C53" s="2">
        <v>4659</v>
      </c>
      <c r="D53" s="3">
        <f t="shared" si="0"/>
        <v>6.5722825426940075</v>
      </c>
      <c r="E53" s="3">
        <f t="shared" si="0"/>
        <v>8.4465561118167969</v>
      </c>
      <c r="Z53">
        <v>29</v>
      </c>
      <c r="AA53">
        <v>4074.4722330496816</v>
      </c>
      <c r="AB53">
        <v>-328.47223304968156</v>
      </c>
    </row>
    <row r="54" spans="1:28" x14ac:dyDescent="0.25">
      <c r="A54">
        <v>2018</v>
      </c>
      <c r="B54" s="6">
        <v>676</v>
      </c>
      <c r="C54" s="2">
        <v>4506</v>
      </c>
      <c r="D54" s="3">
        <f t="shared" si="0"/>
        <v>6.5161930760429643</v>
      </c>
      <c r="E54" s="3">
        <f t="shared" si="0"/>
        <v>8.4131651209921898</v>
      </c>
      <c r="Z54">
        <v>30</v>
      </c>
      <c r="AA54">
        <v>3926.5606911210848</v>
      </c>
      <c r="AB54">
        <v>-361.5606911210848</v>
      </c>
    </row>
    <row r="55" spans="1:28" x14ac:dyDescent="0.25">
      <c r="A55">
        <v>2018</v>
      </c>
      <c r="B55" s="6">
        <v>694</v>
      </c>
      <c r="C55" s="2">
        <v>4257</v>
      </c>
      <c r="D55" s="3">
        <f t="shared" si="0"/>
        <v>6.5424719605068047</v>
      </c>
      <c r="E55" s="3">
        <f t="shared" si="0"/>
        <v>8.3563199658281526</v>
      </c>
      <c r="Z55">
        <v>31</v>
      </c>
      <c r="AA55">
        <v>3858.6013340187565</v>
      </c>
      <c r="AB55">
        <v>-323.60133401875646</v>
      </c>
    </row>
    <row r="56" spans="1:28" x14ac:dyDescent="0.25">
      <c r="A56">
        <v>2018</v>
      </c>
      <c r="B56" s="6">
        <v>587</v>
      </c>
      <c r="C56" s="2">
        <v>1634</v>
      </c>
      <c r="D56" s="3">
        <f t="shared" si="0"/>
        <v>6.3750248198280968</v>
      </c>
      <c r="E56" s="3">
        <f t="shared" si="0"/>
        <v>7.3987862754199485</v>
      </c>
      <c r="Z56">
        <v>32</v>
      </c>
      <c r="AA56">
        <v>3726.6802290554133</v>
      </c>
      <c r="AB56">
        <v>421.31977094458671</v>
      </c>
    </row>
    <row r="57" spans="1:28" x14ac:dyDescent="0.25">
      <c r="A57">
        <v>2018</v>
      </c>
      <c r="B57" s="6">
        <v>752</v>
      </c>
      <c r="C57" s="2">
        <v>6082</v>
      </c>
      <c r="D57" s="3">
        <f t="shared" si="0"/>
        <v>6.62273632394984</v>
      </c>
      <c r="E57" s="3">
        <f t="shared" si="0"/>
        <v>8.7130888682373104</v>
      </c>
      <c r="Z57">
        <v>33</v>
      </c>
      <c r="AA57">
        <v>3990.5224389820996</v>
      </c>
      <c r="AB57">
        <v>-292.52243898209963</v>
      </c>
    </row>
    <row r="58" spans="1:28" x14ac:dyDescent="0.25">
      <c r="A58">
        <v>2018</v>
      </c>
      <c r="B58" s="6">
        <v>700</v>
      </c>
      <c r="C58" s="2">
        <v>4936</v>
      </c>
      <c r="D58" s="3">
        <f t="shared" si="0"/>
        <v>6.5510803350434044</v>
      </c>
      <c r="E58" s="3">
        <f t="shared" si="0"/>
        <v>8.5043105655852234</v>
      </c>
      <c r="Z58">
        <v>34</v>
      </c>
      <c r="AA58">
        <v>3650.7256534704584</v>
      </c>
      <c r="AB58">
        <v>352.27434652954162</v>
      </c>
    </row>
    <row r="59" spans="1:28" ht="15.75" thickBot="1" x14ac:dyDescent="0.3">
      <c r="A59">
        <v>2018</v>
      </c>
      <c r="B59" s="9">
        <v>719</v>
      </c>
      <c r="C59" s="11">
        <v>4830</v>
      </c>
      <c r="D59" s="3">
        <f t="shared" si="0"/>
        <v>6.577861357721047</v>
      </c>
      <c r="E59" s="3">
        <f t="shared" si="0"/>
        <v>8.482601746646619</v>
      </c>
      <c r="Z59">
        <v>35</v>
      </c>
      <c r="AA59">
        <v>4054.4841868431145</v>
      </c>
      <c r="AB59">
        <v>973.51581315688554</v>
      </c>
    </row>
    <row r="60" spans="1:28" x14ac:dyDescent="0.25">
      <c r="A60">
        <v>2018</v>
      </c>
      <c r="B60" s="1">
        <v>667</v>
      </c>
      <c r="C60" s="2">
        <v>4305</v>
      </c>
      <c r="D60" s="3">
        <f t="shared" si="0"/>
        <v>6.5027900459156234</v>
      </c>
      <c r="E60" s="3">
        <f t="shared" si="0"/>
        <v>8.367532416861831</v>
      </c>
      <c r="Z60">
        <v>36</v>
      </c>
      <c r="AA60">
        <v>4178.4100733238311</v>
      </c>
      <c r="AB60">
        <v>145.58992667616894</v>
      </c>
    </row>
    <row r="61" spans="1:28" x14ac:dyDescent="0.25">
      <c r="A61">
        <v>2018</v>
      </c>
      <c r="B61" s="6">
        <v>743</v>
      </c>
      <c r="C61" s="2">
        <v>5427</v>
      </c>
      <c r="D61" s="3">
        <f t="shared" si="0"/>
        <v>6.6106960447177592</v>
      </c>
      <c r="E61" s="3">
        <f t="shared" si="0"/>
        <v>8.5991417740634049</v>
      </c>
      <c r="Z61">
        <v>37</v>
      </c>
      <c r="AA61">
        <v>3966.536783534219</v>
      </c>
      <c r="AB61">
        <v>-139.53678353421901</v>
      </c>
    </row>
    <row r="62" spans="1:28" x14ac:dyDescent="0.25">
      <c r="A62">
        <v>2018</v>
      </c>
      <c r="B62" s="6">
        <v>625</v>
      </c>
      <c r="C62" s="2">
        <v>2662</v>
      </c>
      <c r="D62" s="3">
        <f t="shared" si="0"/>
        <v>6.4377516497364011</v>
      </c>
      <c r="E62" s="3">
        <f t="shared" si="0"/>
        <v>7.8868329989550565</v>
      </c>
      <c r="Z62">
        <v>38</v>
      </c>
      <c r="AA62">
        <v>3690.7017458835926</v>
      </c>
      <c r="AB62">
        <v>-1204.7017458835926</v>
      </c>
    </row>
    <row r="63" spans="1:28" x14ac:dyDescent="0.25">
      <c r="A63">
        <v>2018</v>
      </c>
      <c r="B63" s="6">
        <v>612</v>
      </c>
      <c r="C63" s="2">
        <v>3141</v>
      </c>
      <c r="D63" s="3">
        <f t="shared" si="0"/>
        <v>6.4167322825123261</v>
      </c>
      <c r="E63" s="3">
        <f t="shared" si="0"/>
        <v>8.052296499538647</v>
      </c>
      <c r="Z63">
        <v>39</v>
      </c>
      <c r="AA63">
        <v>3866.5965525013835</v>
      </c>
      <c r="AB63">
        <v>2421.4034474986165</v>
      </c>
    </row>
    <row r="64" spans="1:28" x14ac:dyDescent="0.25">
      <c r="A64">
        <v>2018</v>
      </c>
      <c r="B64" s="6">
        <v>632</v>
      </c>
      <c r="C64" s="2">
        <v>2635</v>
      </c>
      <c r="D64" s="3">
        <f t="shared" si="0"/>
        <v>6.4488893941468577</v>
      </c>
      <c r="E64" s="3">
        <f t="shared" si="0"/>
        <v>7.8766384609754629</v>
      </c>
      <c r="Z64">
        <v>40</v>
      </c>
      <c r="AA64">
        <v>4178.4100733238311</v>
      </c>
      <c r="AB64">
        <v>1077.5899266761689</v>
      </c>
    </row>
    <row r="65" spans="1:28" x14ac:dyDescent="0.25">
      <c r="A65">
        <v>2018</v>
      </c>
      <c r="B65" s="6">
        <v>579</v>
      </c>
      <c r="C65" s="2">
        <v>2856</v>
      </c>
      <c r="D65" s="3">
        <f t="shared" si="0"/>
        <v>6.3613024775729956</v>
      </c>
      <c r="E65" s="3">
        <f t="shared" si="0"/>
        <v>7.9571773234594749</v>
      </c>
      <c r="Z65">
        <v>41</v>
      </c>
      <c r="AA65">
        <v>3734.6754475380403</v>
      </c>
      <c r="AB65">
        <v>-389.67544753804032</v>
      </c>
    </row>
    <row r="66" spans="1:28" x14ac:dyDescent="0.25">
      <c r="A66">
        <v>2018</v>
      </c>
      <c r="B66" s="6">
        <v>742</v>
      </c>
      <c r="C66" s="2">
        <v>5496</v>
      </c>
      <c r="D66" s="3">
        <f t="shared" si="0"/>
        <v>6.6093492431673804</v>
      </c>
      <c r="E66" s="3">
        <f t="shared" si="0"/>
        <v>8.6117758339021862</v>
      </c>
      <c r="Z66">
        <v>42</v>
      </c>
      <c r="AA66">
        <v>4338.3144429763679</v>
      </c>
      <c r="AB66">
        <v>-2130.3144429763679</v>
      </c>
    </row>
    <row r="67" spans="1:28" x14ac:dyDescent="0.25">
      <c r="A67">
        <v>2018</v>
      </c>
      <c r="B67" s="6">
        <v>702</v>
      </c>
      <c r="C67" s="2">
        <v>5497</v>
      </c>
      <c r="D67" s="3">
        <f t="shared" si="0"/>
        <v>6.5539334040258108</v>
      </c>
      <c r="E67" s="3">
        <f t="shared" si="0"/>
        <v>8.6119577678606607</v>
      </c>
      <c r="Z67">
        <v>43</v>
      </c>
      <c r="AA67">
        <v>3654.7232627117714</v>
      </c>
      <c r="AB67">
        <v>370.27673728822856</v>
      </c>
    </row>
    <row r="68" spans="1:28" x14ac:dyDescent="0.25">
      <c r="A68">
        <v>2018</v>
      </c>
      <c r="B68" s="6">
        <v>646</v>
      </c>
      <c r="C68" s="2">
        <v>2233</v>
      </c>
      <c r="D68" s="3">
        <f t="shared" ref="D68:E131" si="1">+LN(B68)</f>
        <v>6.4707995037826018</v>
      </c>
      <c r="E68" s="3">
        <f t="shared" si="1"/>
        <v>7.7111012518401578</v>
      </c>
      <c r="Z68">
        <v>44</v>
      </c>
      <c r="AA68">
        <v>3550.7854224376224</v>
      </c>
      <c r="AB68">
        <v>-381.7854224376224</v>
      </c>
    </row>
    <row r="69" spans="1:28" x14ac:dyDescent="0.25">
      <c r="A69">
        <v>2018</v>
      </c>
      <c r="B69" s="6">
        <v>702</v>
      </c>
      <c r="C69" s="2">
        <v>3651</v>
      </c>
      <c r="D69" s="3">
        <f t="shared" si="1"/>
        <v>6.5539334040258108</v>
      </c>
      <c r="E69" s="3">
        <f t="shared" si="1"/>
        <v>8.2027563816556377</v>
      </c>
      <c r="Z69">
        <v>45</v>
      </c>
      <c r="AA69">
        <v>4058.481796084428</v>
      </c>
      <c r="AB69">
        <v>-359.48179608442797</v>
      </c>
    </row>
    <row r="70" spans="1:28" x14ac:dyDescent="0.25">
      <c r="A70">
        <v>2018</v>
      </c>
      <c r="B70" s="6">
        <v>621</v>
      </c>
      <c r="C70" s="2">
        <v>3084</v>
      </c>
      <c r="D70" s="3">
        <f t="shared" si="1"/>
        <v>6.4313310819334788</v>
      </c>
      <c r="E70" s="3">
        <f t="shared" si="1"/>
        <v>8.0339827346832209</v>
      </c>
      <c r="Z70">
        <v>46</v>
      </c>
      <c r="AA70">
        <v>3722.6826198140998</v>
      </c>
      <c r="AB70">
        <v>-1073.6826198140998</v>
      </c>
    </row>
    <row r="71" spans="1:28" x14ac:dyDescent="0.25">
      <c r="A71">
        <v>2018</v>
      </c>
      <c r="B71" s="6">
        <v>593</v>
      </c>
      <c r="C71" s="2">
        <v>3441</v>
      </c>
      <c r="D71" s="3">
        <f t="shared" si="1"/>
        <v>6.3851943989977258</v>
      </c>
      <c r="E71" s="3">
        <f t="shared" si="1"/>
        <v>8.1435174057974802</v>
      </c>
      <c r="Z71">
        <v>47</v>
      </c>
      <c r="AA71">
        <v>3730.6778382967268</v>
      </c>
      <c r="AB71">
        <v>-1542.6778382967268</v>
      </c>
    </row>
    <row r="72" spans="1:28" x14ac:dyDescent="0.25">
      <c r="A72">
        <v>2018</v>
      </c>
      <c r="B72" s="6">
        <v>590</v>
      </c>
      <c r="C72" s="2">
        <v>3557</v>
      </c>
      <c r="D72" s="3">
        <f t="shared" si="1"/>
        <v>6.3801225368997647</v>
      </c>
      <c r="E72" s="3">
        <f t="shared" si="1"/>
        <v>8.1766727719484553</v>
      </c>
      <c r="Z72">
        <v>48</v>
      </c>
      <c r="AA72">
        <v>4078.4698422909951</v>
      </c>
      <c r="AB72">
        <v>563.53015770900492</v>
      </c>
    </row>
    <row r="73" spans="1:28" x14ac:dyDescent="0.25">
      <c r="A73">
        <v>2018</v>
      </c>
      <c r="B73" s="6">
        <v>729</v>
      </c>
      <c r="C73" s="2">
        <v>5453</v>
      </c>
      <c r="D73" s="3">
        <f t="shared" si="1"/>
        <v>6.5916737320086582</v>
      </c>
      <c r="E73" s="3">
        <f t="shared" si="1"/>
        <v>8.6039211949260608</v>
      </c>
      <c r="Z73">
        <v>49</v>
      </c>
      <c r="AA73">
        <v>3994.5200482234131</v>
      </c>
      <c r="AB73">
        <v>0.47995177658685861</v>
      </c>
    </row>
    <row r="74" spans="1:28" x14ac:dyDescent="0.25">
      <c r="A74">
        <v>2018</v>
      </c>
      <c r="B74" s="6">
        <v>589</v>
      </c>
      <c r="C74" s="2">
        <v>2707</v>
      </c>
      <c r="D74" s="3">
        <f t="shared" si="1"/>
        <v>6.3784261836515865</v>
      </c>
      <c r="E74" s="3">
        <f t="shared" si="1"/>
        <v>7.9035962896143008</v>
      </c>
      <c r="Z74">
        <v>50</v>
      </c>
      <c r="AA74">
        <v>4094.4602792562487</v>
      </c>
      <c r="AB74">
        <v>627.53972074375133</v>
      </c>
    </row>
    <row r="75" spans="1:28" x14ac:dyDescent="0.25">
      <c r="A75">
        <v>2018</v>
      </c>
      <c r="B75" s="6">
        <v>654</v>
      </c>
      <c r="C75" s="2">
        <v>3962</v>
      </c>
      <c r="D75" s="3">
        <f t="shared" si="1"/>
        <v>6.4831073514571989</v>
      </c>
      <c r="E75" s="3">
        <f t="shared" si="1"/>
        <v>8.2845042272584966</v>
      </c>
      <c r="Z75">
        <v>51</v>
      </c>
      <c r="AA75">
        <v>4114.4483254628158</v>
      </c>
      <c r="AB75">
        <v>544.55167453718423</v>
      </c>
    </row>
    <row r="76" spans="1:28" x14ac:dyDescent="0.25">
      <c r="A76">
        <v>2018</v>
      </c>
      <c r="B76" s="6">
        <v>616</v>
      </c>
      <c r="C76" s="2">
        <v>3952</v>
      </c>
      <c r="D76" s="3">
        <f t="shared" si="1"/>
        <v>6.4232469635335194</v>
      </c>
      <c r="E76" s="3">
        <f t="shared" si="1"/>
        <v>8.2819770588677581</v>
      </c>
      <c r="Z76">
        <v>52</v>
      </c>
      <c r="AA76">
        <v>3958.5415650515924</v>
      </c>
      <c r="AB76">
        <v>547.45843494840756</v>
      </c>
    </row>
    <row r="77" spans="1:28" x14ac:dyDescent="0.25">
      <c r="A77">
        <v>2018</v>
      </c>
      <c r="B77" s="6">
        <v>609</v>
      </c>
      <c r="C77" s="2">
        <v>3937</v>
      </c>
      <c r="D77" s="3">
        <f t="shared" si="1"/>
        <v>6.4118182677098972</v>
      </c>
      <c r="E77" s="3">
        <f t="shared" si="1"/>
        <v>8.2781742909437384</v>
      </c>
      <c r="Z77">
        <v>53</v>
      </c>
      <c r="AA77">
        <v>4030.4985313952338</v>
      </c>
      <c r="AB77">
        <v>226.50146860476616</v>
      </c>
    </row>
    <row r="78" spans="1:28" x14ac:dyDescent="0.25">
      <c r="A78">
        <v>2018</v>
      </c>
      <c r="B78" s="6">
        <v>695</v>
      </c>
      <c r="C78" s="2">
        <v>3664</v>
      </c>
      <c r="D78" s="3">
        <f t="shared" si="1"/>
        <v>6.543911845564792</v>
      </c>
      <c r="E78" s="3">
        <f t="shared" si="1"/>
        <v>8.2063107257940207</v>
      </c>
      <c r="Z78">
        <v>54</v>
      </c>
      <c r="AA78">
        <v>3602.7543425746971</v>
      </c>
      <c r="AB78">
        <v>-1968.7543425746971</v>
      </c>
    </row>
    <row r="79" spans="1:28" x14ac:dyDescent="0.25">
      <c r="A79">
        <v>2018</v>
      </c>
      <c r="B79" s="6">
        <v>622</v>
      </c>
      <c r="C79" s="2">
        <v>3672</v>
      </c>
      <c r="D79" s="3">
        <f t="shared" si="1"/>
        <v>6.4329400927391793</v>
      </c>
      <c r="E79" s="3">
        <f t="shared" si="1"/>
        <v>8.2084917517403806</v>
      </c>
      <c r="Z79">
        <v>55</v>
      </c>
      <c r="AA79">
        <v>4262.359867391413</v>
      </c>
      <c r="AB79">
        <v>1819.640132608587</v>
      </c>
    </row>
    <row r="80" spans="1:28" x14ac:dyDescent="0.25">
      <c r="A80">
        <v>2018</v>
      </c>
      <c r="B80" s="6">
        <v>588</v>
      </c>
      <c r="C80" s="2">
        <v>3692</v>
      </c>
      <c r="D80" s="3">
        <f t="shared" si="1"/>
        <v>6.3767269478986268</v>
      </c>
      <c r="E80" s="3">
        <f t="shared" si="1"/>
        <v>8.2139235956227434</v>
      </c>
      <c r="Z80">
        <v>56</v>
      </c>
      <c r="AA80">
        <v>4054.4841868431145</v>
      </c>
      <c r="AB80">
        <v>881.51581315688554</v>
      </c>
    </row>
    <row r="81" spans="1:28" x14ac:dyDescent="0.25">
      <c r="A81">
        <v>2018</v>
      </c>
      <c r="B81" s="6">
        <v>576</v>
      </c>
      <c r="C81" s="2">
        <v>3202</v>
      </c>
      <c r="D81" s="3">
        <f t="shared" si="1"/>
        <v>6.3561076606958915</v>
      </c>
      <c r="E81" s="3">
        <f t="shared" si="1"/>
        <v>8.0715308935566608</v>
      </c>
      <c r="Z81">
        <v>57</v>
      </c>
      <c r="AA81">
        <v>4130.4387624280698</v>
      </c>
      <c r="AB81">
        <v>699.56123757193018</v>
      </c>
    </row>
    <row r="82" spans="1:28" x14ac:dyDescent="0.25">
      <c r="A82">
        <v>2018</v>
      </c>
      <c r="B82" s="6">
        <v>749</v>
      </c>
      <c r="C82" s="2">
        <v>5571</v>
      </c>
      <c r="D82" s="3">
        <f t="shared" si="1"/>
        <v>6.6187389835172192</v>
      </c>
      <c r="E82" s="3">
        <f t="shared" si="1"/>
        <v>8.6253298500208153</v>
      </c>
      <c r="Z82">
        <v>58</v>
      </c>
      <c r="AA82">
        <v>3922.5630818797713</v>
      </c>
      <c r="AB82">
        <v>382.43691812022871</v>
      </c>
    </row>
    <row r="83" spans="1:28" x14ac:dyDescent="0.25">
      <c r="A83">
        <v>2018</v>
      </c>
      <c r="B83" s="6">
        <v>704</v>
      </c>
      <c r="C83" s="2">
        <v>4047</v>
      </c>
      <c r="D83" s="3">
        <f t="shared" si="1"/>
        <v>6.5567783561580422</v>
      </c>
      <c r="E83" s="3">
        <f t="shared" si="1"/>
        <v>8.3057311448758657</v>
      </c>
      <c r="Z83">
        <v>59</v>
      </c>
      <c r="AA83">
        <v>4226.3813842195923</v>
      </c>
      <c r="AB83">
        <v>1200.6186157804077</v>
      </c>
    </row>
    <row r="84" spans="1:28" x14ac:dyDescent="0.25">
      <c r="A84">
        <v>2018</v>
      </c>
      <c r="B84" s="6">
        <v>583</v>
      </c>
      <c r="C84" s="2">
        <v>4400</v>
      </c>
      <c r="D84" s="3">
        <f t="shared" si="1"/>
        <v>6.3681871863504922</v>
      </c>
      <c r="E84" s="3">
        <f t="shared" si="1"/>
        <v>8.3893598199063533</v>
      </c>
      <c r="Z84">
        <v>60</v>
      </c>
      <c r="AA84">
        <v>3754.6634937446074</v>
      </c>
      <c r="AB84">
        <v>-1092.6634937446074</v>
      </c>
    </row>
    <row r="85" spans="1:28" x14ac:dyDescent="0.25">
      <c r="A85">
        <v>2018</v>
      </c>
      <c r="B85" s="6">
        <v>584</v>
      </c>
      <c r="C85" s="2">
        <v>3703</v>
      </c>
      <c r="D85" s="3">
        <f t="shared" si="1"/>
        <v>6.3699009828282271</v>
      </c>
      <c r="E85" s="3">
        <f t="shared" si="1"/>
        <v>8.2168985809136128</v>
      </c>
      <c r="Z85">
        <v>61</v>
      </c>
      <c r="AA85">
        <v>3702.6945736075327</v>
      </c>
      <c r="AB85">
        <v>-561.69457360753267</v>
      </c>
    </row>
    <row r="86" spans="1:28" x14ac:dyDescent="0.25">
      <c r="A86">
        <v>2018</v>
      </c>
      <c r="B86" s="6">
        <v>583</v>
      </c>
      <c r="C86" s="2">
        <v>3036</v>
      </c>
      <c r="D86" s="3">
        <f t="shared" si="1"/>
        <v>6.3681871863504922</v>
      </c>
      <c r="E86" s="3">
        <f t="shared" si="1"/>
        <v>8.0182961385155203</v>
      </c>
      <c r="Z86">
        <v>62</v>
      </c>
      <c r="AA86">
        <v>3782.6467584338016</v>
      </c>
      <c r="AB86">
        <v>-1147.6467584338016</v>
      </c>
    </row>
    <row r="87" spans="1:28" x14ac:dyDescent="0.25">
      <c r="A87">
        <v>2018</v>
      </c>
      <c r="B87" s="6">
        <v>617</v>
      </c>
      <c r="C87" s="2">
        <v>3473</v>
      </c>
      <c r="D87" s="3">
        <f t="shared" si="1"/>
        <v>6.4248690239053881</v>
      </c>
      <c r="E87" s="3">
        <f t="shared" si="1"/>
        <v>8.1527740527440749</v>
      </c>
      <c r="Z87">
        <v>63</v>
      </c>
      <c r="AA87">
        <v>3570.7734686441895</v>
      </c>
      <c r="AB87">
        <v>-714.77346864418951</v>
      </c>
    </row>
    <row r="88" spans="1:28" ht="15.75" thickBot="1" x14ac:dyDescent="0.3">
      <c r="A88">
        <v>2018</v>
      </c>
      <c r="B88" s="9">
        <v>648</v>
      </c>
      <c r="C88" s="11">
        <v>5631</v>
      </c>
      <c r="D88" s="3">
        <f t="shared" si="1"/>
        <v>6.4738906963522744</v>
      </c>
      <c r="E88" s="3">
        <f t="shared" si="1"/>
        <v>8.6360423252546177</v>
      </c>
      <c r="Z88">
        <v>64</v>
      </c>
      <c r="AA88">
        <v>4222.3837749782779</v>
      </c>
      <c r="AB88">
        <v>1273.6162250217221</v>
      </c>
    </row>
    <row r="89" spans="1:28" x14ac:dyDescent="0.25">
      <c r="A89">
        <v>2018</v>
      </c>
      <c r="B89" s="1">
        <v>683</v>
      </c>
      <c r="C89" s="12">
        <v>4381</v>
      </c>
      <c r="D89" s="3">
        <f t="shared" si="1"/>
        <v>6.5264948595707901</v>
      </c>
      <c r="E89" s="3">
        <f t="shared" si="1"/>
        <v>8.3850322878138979</v>
      </c>
      <c r="Z89">
        <v>65</v>
      </c>
      <c r="AA89">
        <v>4062.4794053257415</v>
      </c>
      <c r="AB89">
        <v>1434.5205946742585</v>
      </c>
    </row>
    <row r="90" spans="1:28" x14ac:dyDescent="0.25">
      <c r="A90">
        <v>2018</v>
      </c>
      <c r="B90" s="6">
        <v>649</v>
      </c>
      <c r="C90" s="12">
        <v>3698</v>
      </c>
      <c r="D90" s="3">
        <f t="shared" si="1"/>
        <v>6.4754327167040904</v>
      </c>
      <c r="E90" s="3">
        <f t="shared" si="1"/>
        <v>8.2155474119470693</v>
      </c>
      <c r="Z90">
        <v>66</v>
      </c>
      <c r="AA90">
        <v>3838.6132878121894</v>
      </c>
      <c r="AB90">
        <v>-1605.6132878121894</v>
      </c>
    </row>
    <row r="91" spans="1:28" x14ac:dyDescent="0.25">
      <c r="A91">
        <v>2018</v>
      </c>
      <c r="B91" s="6">
        <v>796</v>
      </c>
      <c r="C91" s="12">
        <v>6032</v>
      </c>
      <c r="D91" s="3">
        <f t="shared" si="1"/>
        <v>6.6795991858443831</v>
      </c>
      <c r="E91" s="3">
        <f t="shared" si="1"/>
        <v>8.7048339096877925</v>
      </c>
      <c r="Z91">
        <v>67</v>
      </c>
      <c r="AA91">
        <v>4062.4794053257415</v>
      </c>
      <c r="AB91">
        <v>-411.47940532574148</v>
      </c>
    </row>
    <row r="92" spans="1:28" x14ac:dyDescent="0.25">
      <c r="A92">
        <v>2018</v>
      </c>
      <c r="B92" s="6">
        <v>705</v>
      </c>
      <c r="C92" s="12">
        <v>1401</v>
      </c>
      <c r="D92" s="3">
        <f t="shared" si="1"/>
        <v>6.5581978028122689</v>
      </c>
      <c r="E92" s="3">
        <f t="shared" si="1"/>
        <v>7.2449415463370066</v>
      </c>
      <c r="Z92">
        <v>68</v>
      </c>
      <c r="AA92">
        <v>3738.6730567793538</v>
      </c>
      <c r="AB92">
        <v>-654.67305677935383</v>
      </c>
    </row>
    <row r="93" spans="1:28" x14ac:dyDescent="0.25">
      <c r="A93">
        <v>2018</v>
      </c>
      <c r="B93" s="6">
        <v>674</v>
      </c>
      <c r="C93" s="12">
        <v>2121</v>
      </c>
      <c r="D93" s="3">
        <f t="shared" si="1"/>
        <v>6.513230110912307</v>
      </c>
      <c r="E93" s="3">
        <f t="shared" si="1"/>
        <v>7.6596429545646822</v>
      </c>
      <c r="Z93">
        <v>69</v>
      </c>
      <c r="AA93">
        <v>3626.7399980225778</v>
      </c>
      <c r="AB93">
        <v>-185.73999802257777</v>
      </c>
    </row>
    <row r="94" spans="1:28" x14ac:dyDescent="0.25">
      <c r="A94">
        <v>2018</v>
      </c>
      <c r="B94" s="6">
        <v>616</v>
      </c>
      <c r="C94" s="12">
        <v>3510</v>
      </c>
      <c r="D94" s="3">
        <f t="shared" si="1"/>
        <v>6.4232469635335194</v>
      </c>
      <c r="E94" s="3">
        <f t="shared" si="1"/>
        <v>8.1633713164599122</v>
      </c>
      <c r="Z94">
        <v>70</v>
      </c>
      <c r="AA94">
        <v>3614.7471702986372</v>
      </c>
      <c r="AB94">
        <v>-57.747170298637229</v>
      </c>
    </row>
    <row r="95" spans="1:28" x14ac:dyDescent="0.25">
      <c r="A95">
        <v>2018</v>
      </c>
      <c r="B95" s="6">
        <v>754</v>
      </c>
      <c r="C95" s="12">
        <v>5371</v>
      </c>
      <c r="D95" s="3">
        <f t="shared" si="1"/>
        <v>6.6253923680079563</v>
      </c>
      <c r="E95" s="3">
        <f t="shared" si="1"/>
        <v>8.58876938990546</v>
      </c>
      <c r="Z95">
        <v>71</v>
      </c>
      <c r="AA95">
        <v>4170.414854841204</v>
      </c>
      <c r="AB95">
        <v>1282.585145158796</v>
      </c>
    </row>
    <row r="96" spans="1:28" x14ac:dyDescent="0.25">
      <c r="A96">
        <v>2018</v>
      </c>
      <c r="B96" s="6">
        <v>573</v>
      </c>
      <c r="C96" s="2">
        <v>2033</v>
      </c>
      <c r="D96" s="3">
        <f t="shared" si="1"/>
        <v>6.3508857167147399</v>
      </c>
      <c r="E96" s="3">
        <f t="shared" si="1"/>
        <v>7.6172678136283469</v>
      </c>
      <c r="Z96">
        <v>72</v>
      </c>
      <c r="AA96">
        <v>3610.7495610573237</v>
      </c>
      <c r="AB96">
        <v>-903.74956105732372</v>
      </c>
    </row>
    <row r="97" spans="1:28" x14ac:dyDescent="0.25">
      <c r="A97">
        <v>2018</v>
      </c>
      <c r="B97" s="6">
        <v>737</v>
      </c>
      <c r="C97" s="13">
        <v>8630</v>
      </c>
      <c r="D97" s="3">
        <f t="shared" si="1"/>
        <v>6.6025878921893364</v>
      </c>
      <c r="E97" s="3">
        <f t="shared" si="1"/>
        <v>9.0629997840774728</v>
      </c>
      <c r="Z97">
        <v>73</v>
      </c>
      <c r="AA97">
        <v>3870.594161742697</v>
      </c>
      <c r="AB97">
        <v>91.405838257303003</v>
      </c>
    </row>
    <row r="98" spans="1:28" x14ac:dyDescent="0.25">
      <c r="A98">
        <v>2018</v>
      </c>
      <c r="B98" s="6">
        <v>732</v>
      </c>
      <c r="C98" s="13">
        <v>5405</v>
      </c>
      <c r="D98" s="3">
        <f t="shared" si="1"/>
        <v>6.5957805139613113</v>
      </c>
      <c r="E98" s="3">
        <f t="shared" si="1"/>
        <v>8.5950797300733086</v>
      </c>
      <c r="Z98">
        <v>74</v>
      </c>
      <c r="AA98">
        <v>3718.6850105727867</v>
      </c>
      <c r="AB98">
        <v>233.31498942721328</v>
      </c>
    </row>
    <row r="99" spans="1:28" x14ac:dyDescent="0.25">
      <c r="A99">
        <v>2018</v>
      </c>
      <c r="B99" s="6">
        <v>706</v>
      </c>
      <c r="C99" s="13">
        <v>4189</v>
      </c>
      <c r="D99" s="3">
        <f t="shared" si="1"/>
        <v>6.5596152374932419</v>
      </c>
      <c r="E99" s="3">
        <f t="shared" si="1"/>
        <v>8.3402173209470352</v>
      </c>
      <c r="Z99">
        <v>75</v>
      </c>
      <c r="AA99">
        <v>3690.7017458835926</v>
      </c>
      <c r="AB99">
        <v>246.29825411640741</v>
      </c>
    </row>
    <row r="100" spans="1:28" x14ac:dyDescent="0.25">
      <c r="A100">
        <v>2018</v>
      </c>
      <c r="B100" s="6">
        <v>634</v>
      </c>
      <c r="C100" s="13">
        <v>3523</v>
      </c>
      <c r="D100" s="3">
        <f t="shared" si="1"/>
        <v>6.4520489544372257</v>
      </c>
      <c r="E100" s="3">
        <f t="shared" si="1"/>
        <v>8.1670681783412373</v>
      </c>
      <c r="Z100">
        <v>76</v>
      </c>
      <c r="AA100">
        <v>4034.4961406365474</v>
      </c>
      <c r="AB100">
        <v>-370.49614063654735</v>
      </c>
    </row>
    <row r="101" spans="1:28" x14ac:dyDescent="0.25">
      <c r="A101">
        <v>2018</v>
      </c>
      <c r="B101" s="6">
        <v>652</v>
      </c>
      <c r="C101" s="13">
        <v>2543</v>
      </c>
      <c r="D101" s="3">
        <f t="shared" si="1"/>
        <v>6.4800445619266531</v>
      </c>
      <c r="E101" s="3">
        <f t="shared" si="1"/>
        <v>7.8410997654221193</v>
      </c>
      <c r="Z101">
        <v>77</v>
      </c>
      <c r="AA101">
        <v>3742.6706660206669</v>
      </c>
      <c r="AB101">
        <v>-70.670666020666886</v>
      </c>
    </row>
    <row r="102" spans="1:28" x14ac:dyDescent="0.25">
      <c r="A102">
        <v>2018</v>
      </c>
      <c r="B102" s="6">
        <v>732</v>
      </c>
      <c r="C102" s="13">
        <v>5849</v>
      </c>
      <c r="D102" s="3">
        <f t="shared" si="1"/>
        <v>6.5957805139613113</v>
      </c>
      <c r="E102" s="3">
        <f t="shared" si="1"/>
        <v>8.6740259854430253</v>
      </c>
      <c r="Z102">
        <v>78</v>
      </c>
      <c r="AA102">
        <v>3606.7519518160107</v>
      </c>
      <c r="AB102">
        <v>85.24804818398934</v>
      </c>
    </row>
    <row r="103" spans="1:28" x14ac:dyDescent="0.25">
      <c r="A103">
        <v>2018</v>
      </c>
      <c r="B103" s="6">
        <v>800</v>
      </c>
      <c r="C103" s="13">
        <v>4957</v>
      </c>
      <c r="D103" s="3">
        <f t="shared" si="1"/>
        <v>6.6846117276679271</v>
      </c>
      <c r="E103" s="3">
        <f t="shared" si="1"/>
        <v>8.5085559980205741</v>
      </c>
      <c r="Z103">
        <v>79</v>
      </c>
      <c r="AA103">
        <v>3558.7806409202494</v>
      </c>
      <c r="AB103">
        <v>-356.78064092024943</v>
      </c>
    </row>
    <row r="104" spans="1:28" x14ac:dyDescent="0.25">
      <c r="A104">
        <v>2018</v>
      </c>
      <c r="B104" s="6">
        <v>704</v>
      </c>
      <c r="C104" s="13">
        <v>4048</v>
      </c>
      <c r="D104" s="3">
        <f t="shared" si="1"/>
        <v>6.5567783561580422</v>
      </c>
      <c r="E104" s="3">
        <f t="shared" si="1"/>
        <v>8.3059782109673019</v>
      </c>
      <c r="Z104">
        <v>80</v>
      </c>
      <c r="AA104">
        <v>4250.3670396674725</v>
      </c>
      <c r="AB104">
        <v>1320.6329603325275</v>
      </c>
    </row>
    <row r="105" spans="1:28" x14ac:dyDescent="0.25">
      <c r="A105">
        <v>2018</v>
      </c>
      <c r="B105" s="6">
        <v>601</v>
      </c>
      <c r="C105" s="13">
        <v>3787</v>
      </c>
      <c r="D105" s="3">
        <f t="shared" si="1"/>
        <v>6.3985949345352076</v>
      </c>
      <c r="E105" s="3">
        <f t="shared" si="1"/>
        <v>8.2393294279017955</v>
      </c>
      <c r="Z105">
        <v>81</v>
      </c>
      <c r="AA105">
        <v>4070.4746238083681</v>
      </c>
      <c r="AB105">
        <v>-23.474623808368051</v>
      </c>
    </row>
    <row r="106" spans="1:28" x14ac:dyDescent="0.25">
      <c r="A106">
        <v>2018</v>
      </c>
      <c r="B106" s="6">
        <v>715</v>
      </c>
      <c r="C106" s="13">
        <v>3205</v>
      </c>
      <c r="D106" s="3">
        <f t="shared" si="1"/>
        <v>6.5722825426940075</v>
      </c>
      <c r="E106" s="3">
        <f t="shared" si="1"/>
        <v>8.0724673693547704</v>
      </c>
      <c r="Z106">
        <v>82</v>
      </c>
      <c r="AA106">
        <v>3586.7639056094436</v>
      </c>
      <c r="AB106">
        <v>813.23609439055645</v>
      </c>
    </row>
    <row r="107" spans="1:28" x14ac:dyDescent="0.25">
      <c r="A107">
        <v>2018</v>
      </c>
      <c r="B107" s="6">
        <v>615</v>
      </c>
      <c r="C107" s="13">
        <v>5356</v>
      </c>
      <c r="D107" s="3">
        <f t="shared" si="1"/>
        <v>6.4216222678065176</v>
      </c>
      <c r="E107" s="3">
        <f t="shared" si="1"/>
        <v>8.5859727068110629</v>
      </c>
      <c r="Z107">
        <v>83</v>
      </c>
      <c r="AA107">
        <v>3590.7615148507566</v>
      </c>
      <c r="AB107">
        <v>112.23848514924339</v>
      </c>
    </row>
    <row r="108" spans="1:28" x14ac:dyDescent="0.25">
      <c r="A108">
        <v>2018</v>
      </c>
      <c r="B108" s="6">
        <v>688</v>
      </c>
      <c r="C108" s="13">
        <v>4214</v>
      </c>
      <c r="D108" s="3">
        <f t="shared" si="1"/>
        <v>6.5337888379333435</v>
      </c>
      <c r="E108" s="3">
        <f t="shared" si="1"/>
        <v>8.3461675943641342</v>
      </c>
      <c r="Z108">
        <v>84</v>
      </c>
      <c r="AA108">
        <v>3586.7639056094436</v>
      </c>
      <c r="AB108">
        <v>-550.76390560944355</v>
      </c>
    </row>
    <row r="109" spans="1:28" x14ac:dyDescent="0.25">
      <c r="A109">
        <v>2018</v>
      </c>
      <c r="B109" s="6">
        <v>594</v>
      </c>
      <c r="C109" s="13">
        <v>4626</v>
      </c>
      <c r="D109" s="3">
        <f t="shared" si="1"/>
        <v>6.3868793193626452</v>
      </c>
      <c r="E109" s="3">
        <f t="shared" si="1"/>
        <v>8.4394478427913846</v>
      </c>
      <c r="Z109">
        <v>85</v>
      </c>
      <c r="AA109">
        <v>3722.6826198140998</v>
      </c>
      <c r="AB109">
        <v>-249.68261981409978</v>
      </c>
    </row>
    <row r="110" spans="1:28" x14ac:dyDescent="0.25">
      <c r="A110">
        <v>2018</v>
      </c>
      <c r="B110" s="6">
        <v>652</v>
      </c>
      <c r="C110" s="13">
        <v>4857</v>
      </c>
      <c r="D110" s="3">
        <f t="shared" si="1"/>
        <v>6.4800445619266531</v>
      </c>
      <c r="E110" s="3">
        <f t="shared" si="1"/>
        <v>8.4881762423457445</v>
      </c>
      <c r="Z110">
        <v>86</v>
      </c>
      <c r="AA110">
        <v>3846.6085062948164</v>
      </c>
      <c r="AB110">
        <v>1784.3914937051836</v>
      </c>
    </row>
    <row r="111" spans="1:28" x14ac:dyDescent="0.25">
      <c r="A111">
        <v>2018</v>
      </c>
      <c r="B111" s="6">
        <v>645</v>
      </c>
      <c r="C111" s="13">
        <v>3514</v>
      </c>
      <c r="D111" s="3">
        <f t="shared" si="1"/>
        <v>6.4692503167957724</v>
      </c>
      <c r="E111" s="3">
        <f t="shared" si="1"/>
        <v>8.1645102687470423</v>
      </c>
      <c r="Z111">
        <v>87</v>
      </c>
      <c r="AA111">
        <v>3986.5248297407861</v>
      </c>
      <c r="AB111">
        <v>394.47517025921388</v>
      </c>
    </row>
    <row r="112" spans="1:28" x14ac:dyDescent="0.25">
      <c r="A112">
        <v>2018</v>
      </c>
      <c r="B112" s="6">
        <v>643</v>
      </c>
      <c r="C112" s="13">
        <v>5361</v>
      </c>
      <c r="D112" s="3">
        <f t="shared" si="1"/>
        <v>6.4661447242376191</v>
      </c>
      <c r="E112" s="3">
        <f t="shared" si="1"/>
        <v>8.5869058038275377</v>
      </c>
      <c r="Z112">
        <v>88</v>
      </c>
      <c r="AA112">
        <v>3850.6061155361294</v>
      </c>
      <c r="AB112">
        <v>-152.60611553612944</v>
      </c>
    </row>
    <row r="113" spans="1:28" x14ac:dyDescent="0.25">
      <c r="A113">
        <v>2018</v>
      </c>
      <c r="B113" s="6">
        <v>696</v>
      </c>
      <c r="C113" s="13">
        <v>4292</v>
      </c>
      <c r="D113" s="3">
        <f t="shared" si="1"/>
        <v>6.5453496603344199</v>
      </c>
      <c r="E113" s="3">
        <f t="shared" si="1"/>
        <v>8.3645081037505893</v>
      </c>
      <c r="Z113">
        <v>89</v>
      </c>
      <c r="AA113">
        <v>4438.2546740092039</v>
      </c>
      <c r="AB113">
        <v>1593.7453259907961</v>
      </c>
    </row>
    <row r="114" spans="1:28" x14ac:dyDescent="0.25">
      <c r="A114">
        <v>2018</v>
      </c>
      <c r="B114" s="6">
        <v>673</v>
      </c>
      <c r="C114" s="13">
        <v>2741</v>
      </c>
      <c r="D114" s="3">
        <f t="shared" si="1"/>
        <v>6.5117453296447279</v>
      </c>
      <c r="E114" s="3">
        <f t="shared" si="1"/>
        <v>7.9160780963027859</v>
      </c>
      <c r="Z114">
        <v>90</v>
      </c>
      <c r="AA114">
        <v>4074.4722330496816</v>
      </c>
      <c r="AB114">
        <v>-2673.4722330496816</v>
      </c>
    </row>
    <row r="115" spans="1:28" x14ac:dyDescent="0.25">
      <c r="A115">
        <v>2018</v>
      </c>
      <c r="B115" s="6">
        <v>564</v>
      </c>
      <c r="C115" s="13">
        <v>3605</v>
      </c>
      <c r="D115" s="3">
        <f t="shared" si="1"/>
        <v>6.3350542514980592</v>
      </c>
      <c r="E115" s="3">
        <f t="shared" si="1"/>
        <v>8.1900770497190489</v>
      </c>
      <c r="Z115">
        <v>91</v>
      </c>
      <c r="AA115">
        <v>3950.5463465689654</v>
      </c>
      <c r="AB115">
        <v>-1829.5463465689654</v>
      </c>
    </row>
    <row r="116" spans="1:28" ht="15.75" thickBot="1" x14ac:dyDescent="0.3">
      <c r="A116">
        <v>2018</v>
      </c>
      <c r="B116" s="9">
        <v>730</v>
      </c>
      <c r="C116" s="11">
        <v>3773</v>
      </c>
      <c r="D116" s="3">
        <f t="shared" si="1"/>
        <v>6.5930445341424369</v>
      </c>
      <c r="E116" s="3">
        <f t="shared" si="1"/>
        <v>8.235625719964311</v>
      </c>
      <c r="Z116">
        <v>92</v>
      </c>
      <c r="AA116">
        <v>3718.6850105727867</v>
      </c>
      <c r="AB116">
        <v>-208.68501057278672</v>
      </c>
    </row>
    <row r="117" spans="1:28" x14ac:dyDescent="0.25">
      <c r="A117">
        <v>2018</v>
      </c>
      <c r="B117" s="1">
        <v>634</v>
      </c>
      <c r="C117" s="12">
        <v>4590</v>
      </c>
      <c r="D117" s="3">
        <f t="shared" si="1"/>
        <v>6.4520489544372257</v>
      </c>
      <c r="E117" s="3">
        <f t="shared" si="1"/>
        <v>8.4316353030545912</v>
      </c>
      <c r="Z117">
        <v>93</v>
      </c>
      <c r="AA117">
        <v>4270.35508587404</v>
      </c>
      <c r="AB117">
        <v>1100.64491412596</v>
      </c>
    </row>
    <row r="118" spans="1:28" x14ac:dyDescent="0.25">
      <c r="A118">
        <v>2018</v>
      </c>
      <c r="B118" s="6">
        <v>705</v>
      </c>
      <c r="C118" s="12">
        <v>3844</v>
      </c>
      <c r="D118" s="3">
        <f t="shared" si="1"/>
        <v>6.5581978028122689</v>
      </c>
      <c r="E118" s="3">
        <f t="shared" si="1"/>
        <v>8.2542687700901833</v>
      </c>
      <c r="Z118">
        <v>94</v>
      </c>
      <c r="AA118">
        <v>3546.7878131963089</v>
      </c>
      <c r="AB118">
        <v>-1513.7878131963089</v>
      </c>
    </row>
    <row r="119" spans="1:28" x14ac:dyDescent="0.25">
      <c r="A119">
        <v>2018</v>
      </c>
      <c r="B119" s="6">
        <v>621</v>
      </c>
      <c r="C119" s="12">
        <v>4534</v>
      </c>
      <c r="D119" s="3">
        <f t="shared" si="1"/>
        <v>6.4313310819334788</v>
      </c>
      <c r="E119" s="3">
        <f t="shared" si="1"/>
        <v>8.4193598310674744</v>
      </c>
      <c r="Z119">
        <v>95</v>
      </c>
      <c r="AA119">
        <v>4202.3957287717112</v>
      </c>
      <c r="AB119">
        <v>4427.6042712282888</v>
      </c>
    </row>
    <row r="120" spans="1:28" x14ac:dyDescent="0.25">
      <c r="A120">
        <v>2018</v>
      </c>
      <c r="B120" s="6">
        <v>693</v>
      </c>
      <c r="C120" s="12">
        <v>2975</v>
      </c>
      <c r="D120" s="3">
        <f t="shared" si="1"/>
        <v>6.5410299991899032</v>
      </c>
      <c r="E120" s="3">
        <f t="shared" si="1"/>
        <v>7.9979993179797297</v>
      </c>
      <c r="Z120">
        <v>96</v>
      </c>
      <c r="AA120">
        <v>4182.4076825651446</v>
      </c>
      <c r="AB120">
        <v>1222.5923174348554</v>
      </c>
    </row>
    <row r="121" spans="1:28" x14ac:dyDescent="0.25">
      <c r="A121">
        <v>2018</v>
      </c>
      <c r="B121" s="6">
        <v>690</v>
      </c>
      <c r="C121" s="12">
        <v>2689</v>
      </c>
      <c r="D121" s="3">
        <f t="shared" si="1"/>
        <v>6.5366915975913047</v>
      </c>
      <c r="E121" s="3">
        <f t="shared" si="1"/>
        <v>7.8969246562688644</v>
      </c>
      <c r="Z121">
        <v>97</v>
      </c>
      <c r="AA121">
        <v>4078.4698422909951</v>
      </c>
      <c r="AB121">
        <v>110.53015770900492</v>
      </c>
    </row>
    <row r="122" spans="1:28" x14ac:dyDescent="0.25">
      <c r="A122">
        <v>2018</v>
      </c>
      <c r="B122" s="6">
        <v>588</v>
      </c>
      <c r="C122" s="12">
        <v>2426</v>
      </c>
      <c r="D122" s="3">
        <f t="shared" si="1"/>
        <v>6.3767269478986268</v>
      </c>
      <c r="E122" s="3">
        <f t="shared" si="1"/>
        <v>7.7939990895039957</v>
      </c>
      <c r="Z122">
        <v>98</v>
      </c>
      <c r="AA122">
        <v>3790.6419769164281</v>
      </c>
      <c r="AB122">
        <v>-267.64197691642812</v>
      </c>
    </row>
    <row r="123" spans="1:28" x14ac:dyDescent="0.25">
      <c r="A123">
        <v>2019</v>
      </c>
      <c r="B123" s="1">
        <v>583</v>
      </c>
      <c r="C123" s="14">
        <v>2953</v>
      </c>
      <c r="D123" s="3">
        <f t="shared" si="1"/>
        <v>6.3681871863504922</v>
      </c>
      <c r="E123" s="3">
        <f t="shared" si="1"/>
        <v>7.9905768817439231</v>
      </c>
      <c r="Z123">
        <v>99</v>
      </c>
      <c r="AA123">
        <v>3862.59894326007</v>
      </c>
      <c r="AB123">
        <v>-1319.59894326007</v>
      </c>
    </row>
    <row r="124" spans="1:28" x14ac:dyDescent="0.25">
      <c r="A124">
        <v>2019</v>
      </c>
      <c r="B124" s="6">
        <v>702</v>
      </c>
      <c r="C124" s="14">
        <v>5012</v>
      </c>
      <c r="D124" s="3">
        <f t="shared" si="1"/>
        <v>6.5539334040258108</v>
      </c>
      <c r="E124" s="3">
        <f t="shared" si="1"/>
        <v>8.5195903160159592</v>
      </c>
      <c r="Z124">
        <v>100</v>
      </c>
      <c r="AA124">
        <v>4182.4076825651446</v>
      </c>
      <c r="AB124">
        <v>1666.5923174348554</v>
      </c>
    </row>
    <row r="125" spans="1:28" x14ac:dyDescent="0.25">
      <c r="A125">
        <v>2019</v>
      </c>
      <c r="B125" s="6">
        <v>739</v>
      </c>
      <c r="C125" s="14">
        <v>4299</v>
      </c>
      <c r="D125" s="3">
        <f t="shared" si="1"/>
        <v>6.6052979209482015</v>
      </c>
      <c r="E125" s="3">
        <f t="shared" si="1"/>
        <v>8.3661377164962811</v>
      </c>
      <c r="Z125">
        <v>101</v>
      </c>
      <c r="AA125">
        <v>4454.2451109744579</v>
      </c>
      <c r="AB125">
        <v>502.75488902554207</v>
      </c>
    </row>
    <row r="126" spans="1:28" x14ac:dyDescent="0.25">
      <c r="A126">
        <v>2019</v>
      </c>
      <c r="B126" s="6">
        <v>624</v>
      </c>
      <c r="C126" s="14">
        <v>4216</v>
      </c>
      <c r="D126" s="3">
        <f t="shared" si="1"/>
        <v>6.4361503683694279</v>
      </c>
      <c r="E126" s="3">
        <f t="shared" si="1"/>
        <v>8.3466420902211986</v>
      </c>
      <c r="Z126">
        <v>102</v>
      </c>
      <c r="AA126">
        <v>4070.4746238083681</v>
      </c>
      <c r="AB126">
        <v>-22.474623808368051</v>
      </c>
    </row>
    <row r="127" spans="1:28" x14ac:dyDescent="0.25">
      <c r="A127">
        <v>2019</v>
      </c>
      <c r="B127" s="6">
        <v>644</v>
      </c>
      <c r="C127" s="14">
        <v>3979</v>
      </c>
      <c r="D127" s="3">
        <f t="shared" si="1"/>
        <v>6.4676987261043539</v>
      </c>
      <c r="E127" s="3">
        <f t="shared" si="1"/>
        <v>8.2887858104269281</v>
      </c>
      <c r="Z127">
        <v>103</v>
      </c>
      <c r="AA127">
        <v>3658.720871953085</v>
      </c>
      <c r="AB127">
        <v>128.27912804691505</v>
      </c>
    </row>
    <row r="128" spans="1:28" x14ac:dyDescent="0.25">
      <c r="A128">
        <v>2019</v>
      </c>
      <c r="B128" s="6">
        <v>718</v>
      </c>
      <c r="C128" s="14">
        <v>4468</v>
      </c>
      <c r="D128" s="3">
        <f t="shared" si="1"/>
        <v>6.576469569048224</v>
      </c>
      <c r="E128" s="3">
        <f t="shared" si="1"/>
        <v>8.4046961601890917</v>
      </c>
      <c r="Z128">
        <v>104</v>
      </c>
      <c r="AA128">
        <v>4114.4483254628158</v>
      </c>
      <c r="AB128">
        <v>-909.44832546281577</v>
      </c>
    </row>
    <row r="129" spans="1:28" x14ac:dyDescent="0.25">
      <c r="A129">
        <v>2019</v>
      </c>
      <c r="B129" s="6">
        <v>637</v>
      </c>
      <c r="C129" s="14">
        <v>3337</v>
      </c>
      <c r="D129" s="3">
        <f t="shared" si="1"/>
        <v>6.4567696555721632</v>
      </c>
      <c r="E129" s="3">
        <f t="shared" si="1"/>
        <v>8.1128274787513739</v>
      </c>
      <c r="Z129">
        <v>105</v>
      </c>
      <c r="AA129">
        <v>3714.6874013314732</v>
      </c>
      <c r="AB129">
        <v>1641.3125986685268</v>
      </c>
    </row>
    <row r="130" spans="1:28" x14ac:dyDescent="0.25">
      <c r="A130">
        <v>2019</v>
      </c>
      <c r="B130" s="6">
        <v>950</v>
      </c>
      <c r="C130" s="14">
        <v>4174</v>
      </c>
      <c r="D130" s="3">
        <f t="shared" si="1"/>
        <v>6.8564619845945867</v>
      </c>
      <c r="E130" s="3">
        <f t="shared" si="1"/>
        <v>8.3366300876371469</v>
      </c>
      <c r="Z130">
        <v>106</v>
      </c>
      <c r="AA130">
        <v>4006.5128759473532</v>
      </c>
      <c r="AB130">
        <v>207.48712405264678</v>
      </c>
    </row>
    <row r="131" spans="1:28" x14ac:dyDescent="0.25">
      <c r="A131">
        <v>2019</v>
      </c>
      <c r="B131" s="6">
        <v>797</v>
      </c>
      <c r="C131" s="14">
        <v>4334</v>
      </c>
      <c r="D131" s="3">
        <f t="shared" si="1"/>
        <v>6.6808546787902152</v>
      </c>
      <c r="E131" s="3">
        <f t="shared" si="1"/>
        <v>8.3742461820963037</v>
      </c>
      <c r="Z131">
        <v>107</v>
      </c>
      <c r="AA131">
        <v>3630.7376072638913</v>
      </c>
      <c r="AB131">
        <v>995.26239273610872</v>
      </c>
    </row>
    <row r="132" spans="1:28" x14ac:dyDescent="0.25">
      <c r="A132">
        <v>2019</v>
      </c>
      <c r="B132" s="6">
        <v>874</v>
      </c>
      <c r="C132" s="14">
        <v>3629</v>
      </c>
      <c r="D132" s="3">
        <f t="shared" ref="D132:E195" si="2">+LN(B132)</f>
        <v>6.7730803756555353</v>
      </c>
      <c r="E132" s="3">
        <f t="shared" si="2"/>
        <v>8.1967124072130702</v>
      </c>
      <c r="Z132">
        <v>108</v>
      </c>
      <c r="AA132">
        <v>3862.59894326007</v>
      </c>
      <c r="AB132">
        <v>994.40105673993003</v>
      </c>
    </row>
    <row r="133" spans="1:28" x14ac:dyDescent="0.25">
      <c r="A133">
        <v>2019</v>
      </c>
      <c r="B133" s="6">
        <v>853</v>
      </c>
      <c r="C133" s="14">
        <v>3815</v>
      </c>
      <c r="D133" s="3">
        <f t="shared" si="2"/>
        <v>6.7487595474916793</v>
      </c>
      <c r="E133" s="3">
        <f t="shared" si="2"/>
        <v>8.2466959437185565</v>
      </c>
      <c r="Z133">
        <v>109</v>
      </c>
      <c r="AA133">
        <v>3834.6156785708758</v>
      </c>
      <c r="AB133">
        <v>-320.61567857087584</v>
      </c>
    </row>
    <row r="134" spans="1:28" x14ac:dyDescent="0.25">
      <c r="A134">
        <v>2019</v>
      </c>
      <c r="B134" s="6">
        <v>863</v>
      </c>
      <c r="C134" s="14">
        <v>2266</v>
      </c>
      <c r="D134" s="3">
        <f t="shared" si="2"/>
        <v>6.7604146910834277</v>
      </c>
      <c r="E134" s="3">
        <f t="shared" si="2"/>
        <v>7.7257714415879519</v>
      </c>
      <c r="Z134">
        <v>110</v>
      </c>
      <c r="AA134">
        <v>3826.6204600882493</v>
      </c>
      <c r="AB134">
        <v>1534.3795399117507</v>
      </c>
    </row>
    <row r="135" spans="1:28" x14ac:dyDescent="0.25">
      <c r="A135">
        <v>2019</v>
      </c>
      <c r="B135" s="6">
        <v>904</v>
      </c>
      <c r="C135" s="14">
        <v>4758</v>
      </c>
      <c r="D135" s="3">
        <f t="shared" si="2"/>
        <v>6.8068293603921761</v>
      </c>
      <c r="E135" s="3">
        <f t="shared" si="2"/>
        <v>8.467582690862903</v>
      </c>
      <c r="Z135">
        <v>111</v>
      </c>
      <c r="AA135">
        <v>4038.4937498778609</v>
      </c>
      <c r="AB135">
        <v>253.50625012213914</v>
      </c>
    </row>
    <row r="136" spans="1:28" x14ac:dyDescent="0.25">
      <c r="A136">
        <v>2019</v>
      </c>
      <c r="B136" s="6">
        <v>960</v>
      </c>
      <c r="C136" s="14">
        <v>5538</v>
      </c>
      <c r="D136" s="3">
        <f t="shared" si="2"/>
        <v>6.866933284461882</v>
      </c>
      <c r="E136" s="3">
        <f t="shared" si="2"/>
        <v>8.6193887037309072</v>
      </c>
      <c r="Z136">
        <v>112</v>
      </c>
      <c r="AA136">
        <v>3946.5487373276519</v>
      </c>
      <c r="AB136">
        <v>-1205.5487373276519</v>
      </c>
    </row>
    <row r="137" spans="1:28" x14ac:dyDescent="0.25">
      <c r="A137">
        <v>2019</v>
      </c>
      <c r="B137" s="6">
        <v>838</v>
      </c>
      <c r="C137" s="14">
        <v>3219</v>
      </c>
      <c r="D137" s="3">
        <f t="shared" si="2"/>
        <v>6.7310181004820828</v>
      </c>
      <c r="E137" s="3">
        <f t="shared" si="2"/>
        <v>8.0768260312988076</v>
      </c>
      <c r="Z137">
        <v>113</v>
      </c>
      <c r="AA137">
        <v>3510.8093300244882</v>
      </c>
      <c r="AB137">
        <v>94.19066997551181</v>
      </c>
    </row>
    <row r="138" spans="1:28" x14ac:dyDescent="0.25">
      <c r="A138">
        <v>2019</v>
      </c>
      <c r="B138" s="6">
        <v>824</v>
      </c>
      <c r="C138" s="14">
        <v>4255</v>
      </c>
      <c r="D138" s="3">
        <f t="shared" si="2"/>
        <v>6.7141705299094721</v>
      </c>
      <c r="E138" s="3">
        <f t="shared" si="2"/>
        <v>8.355850041007475</v>
      </c>
      <c r="Z138">
        <v>114</v>
      </c>
      <c r="AA138">
        <v>4174.4124640825175</v>
      </c>
      <c r="AB138">
        <v>-401.41246408251754</v>
      </c>
    </row>
    <row r="139" spans="1:28" x14ac:dyDescent="0.25">
      <c r="A139">
        <v>2019</v>
      </c>
      <c r="B139" s="6">
        <v>885</v>
      </c>
      <c r="C139" s="14">
        <v>4407</v>
      </c>
      <c r="D139" s="3">
        <f t="shared" si="2"/>
        <v>6.7855876450079293</v>
      </c>
      <c r="E139" s="3">
        <f t="shared" si="2"/>
        <v>8.3909494648419862</v>
      </c>
      <c r="Z139">
        <v>115</v>
      </c>
      <c r="AA139">
        <v>3790.6419769164281</v>
      </c>
      <c r="AB139">
        <v>799.35802308357188</v>
      </c>
    </row>
    <row r="140" spans="1:28" x14ac:dyDescent="0.25">
      <c r="A140">
        <v>2019</v>
      </c>
      <c r="B140" s="6">
        <v>838</v>
      </c>
      <c r="C140" s="14">
        <v>3417</v>
      </c>
      <c r="D140" s="3">
        <f t="shared" si="2"/>
        <v>6.7310181004820828</v>
      </c>
      <c r="E140" s="3">
        <f t="shared" si="2"/>
        <v>8.136518252115291</v>
      </c>
      <c r="Z140">
        <v>116</v>
      </c>
      <c r="AA140">
        <v>4074.4722330496816</v>
      </c>
      <c r="AB140">
        <v>-230.47223304968156</v>
      </c>
    </row>
    <row r="141" spans="1:28" x14ac:dyDescent="0.25">
      <c r="A141">
        <v>2019</v>
      </c>
      <c r="B141" s="6">
        <v>855</v>
      </c>
      <c r="C141" s="14">
        <v>3740</v>
      </c>
      <c r="D141" s="3">
        <f t="shared" si="2"/>
        <v>6.7511014689367599</v>
      </c>
      <c r="E141" s="3">
        <f t="shared" si="2"/>
        <v>8.2268408904085781</v>
      </c>
      <c r="Z141">
        <v>117</v>
      </c>
      <c r="AA141">
        <v>3738.6730567793538</v>
      </c>
      <c r="AB141">
        <v>795.32694322064617</v>
      </c>
    </row>
    <row r="142" spans="1:28" x14ac:dyDescent="0.25">
      <c r="A142">
        <v>2019</v>
      </c>
      <c r="B142" s="6">
        <v>864</v>
      </c>
      <c r="C142" s="14">
        <v>4176</v>
      </c>
      <c r="D142" s="3">
        <f t="shared" si="2"/>
        <v>6.7615727688040552</v>
      </c>
      <c r="E142" s="3">
        <f t="shared" si="2"/>
        <v>8.3371091295624744</v>
      </c>
      <c r="Z142">
        <v>118</v>
      </c>
      <c r="AA142">
        <v>4026.5009221539203</v>
      </c>
      <c r="AB142">
        <v>-1051.5009221539203</v>
      </c>
    </row>
    <row r="143" spans="1:28" x14ac:dyDescent="0.25">
      <c r="A143">
        <v>2019</v>
      </c>
      <c r="B143" s="6">
        <v>794</v>
      </c>
      <c r="C143" s="14">
        <v>3507</v>
      </c>
      <c r="D143" s="3">
        <f t="shared" si="2"/>
        <v>6.6770834612471361</v>
      </c>
      <c r="E143" s="3">
        <f t="shared" si="2"/>
        <v>8.1625162501401789</v>
      </c>
      <c r="Z143">
        <v>119</v>
      </c>
      <c r="AA143">
        <v>4014.5080944299802</v>
      </c>
      <c r="AB143">
        <v>-1325.5080944299802</v>
      </c>
    </row>
    <row r="144" spans="1:28" x14ac:dyDescent="0.25">
      <c r="A144">
        <v>2019</v>
      </c>
      <c r="B144" s="6">
        <v>812</v>
      </c>
      <c r="C144" s="14">
        <v>3245</v>
      </c>
      <c r="D144" s="3">
        <f t="shared" si="2"/>
        <v>6.6995003401616779</v>
      </c>
      <c r="E144" s="3">
        <f t="shared" si="2"/>
        <v>8.0848706291381909</v>
      </c>
      <c r="Z144">
        <v>120</v>
      </c>
      <c r="AA144">
        <v>3606.7519518160107</v>
      </c>
      <c r="AB144">
        <v>-1180.7519518160107</v>
      </c>
    </row>
    <row r="145" spans="1:28" x14ac:dyDescent="0.25">
      <c r="A145">
        <v>2019</v>
      </c>
      <c r="B145" s="6">
        <v>679</v>
      </c>
      <c r="C145" s="14">
        <v>4216</v>
      </c>
      <c r="D145" s="3">
        <f t="shared" si="2"/>
        <v>6.5206211275586963</v>
      </c>
      <c r="E145" s="3">
        <f t="shared" si="2"/>
        <v>8.3466420902211986</v>
      </c>
      <c r="Z145">
        <v>121</v>
      </c>
      <c r="AA145">
        <v>3586.7639056094436</v>
      </c>
      <c r="AB145">
        <v>-633.76390560944355</v>
      </c>
    </row>
    <row r="146" spans="1:28" x14ac:dyDescent="0.25">
      <c r="A146">
        <v>2019</v>
      </c>
      <c r="B146" s="6">
        <v>730</v>
      </c>
      <c r="C146" s="14">
        <v>5531</v>
      </c>
      <c r="D146" s="3">
        <f t="shared" si="2"/>
        <v>6.5930445341424369</v>
      </c>
      <c r="E146" s="3">
        <f t="shared" si="2"/>
        <v>8.6181239099946776</v>
      </c>
      <c r="Z146">
        <v>122</v>
      </c>
      <c r="AA146">
        <v>4062.4794053257415</v>
      </c>
      <c r="AB146">
        <v>949.52059467425852</v>
      </c>
    </row>
    <row r="147" spans="1:28" x14ac:dyDescent="0.25">
      <c r="A147">
        <v>2019</v>
      </c>
      <c r="B147" s="6">
        <v>732</v>
      </c>
      <c r="C147" s="14">
        <v>4876</v>
      </c>
      <c r="D147" s="3">
        <f t="shared" si="2"/>
        <v>6.5957805139613113</v>
      </c>
      <c r="E147" s="3">
        <f t="shared" si="2"/>
        <v>8.4920804906011629</v>
      </c>
      <c r="Z147">
        <v>123</v>
      </c>
      <c r="AA147">
        <v>4210.3909472543382</v>
      </c>
      <c r="AB147">
        <v>88.609052745661756</v>
      </c>
    </row>
    <row r="148" spans="1:28" x14ac:dyDescent="0.25">
      <c r="A148">
        <v>2019</v>
      </c>
      <c r="B148" s="6">
        <v>727</v>
      </c>
      <c r="C148" s="14">
        <v>4233</v>
      </c>
      <c r="D148" s="3">
        <f t="shared" si="2"/>
        <v>6.5889264775335192</v>
      </c>
      <c r="E148" s="3">
        <f t="shared" si="2"/>
        <v>8.3506662405209244</v>
      </c>
      <c r="Z148">
        <v>124</v>
      </c>
      <c r="AA148">
        <v>3750.6658845032939</v>
      </c>
      <c r="AB148">
        <v>465.33411549670609</v>
      </c>
    </row>
    <row r="149" spans="1:28" x14ac:dyDescent="0.25">
      <c r="A149">
        <v>2019</v>
      </c>
      <c r="B149" s="6">
        <v>696</v>
      </c>
      <c r="C149" s="14">
        <v>4991</v>
      </c>
      <c r="D149" s="3">
        <f t="shared" si="2"/>
        <v>6.5453496603344199</v>
      </c>
      <c r="E149" s="3">
        <f t="shared" si="2"/>
        <v>8.5153915694696085</v>
      </c>
      <c r="Z149">
        <v>125</v>
      </c>
      <c r="AA149">
        <v>3830.6180693295623</v>
      </c>
      <c r="AB149">
        <v>148.38193067043767</v>
      </c>
    </row>
    <row r="150" spans="1:28" ht="15.75" thickBot="1" x14ac:dyDescent="0.3">
      <c r="A150">
        <v>2019</v>
      </c>
      <c r="B150" s="9">
        <v>703</v>
      </c>
      <c r="C150" s="15">
        <v>4302</v>
      </c>
      <c r="D150" s="3">
        <f t="shared" si="2"/>
        <v>6.5553568918106651</v>
      </c>
      <c r="E150" s="3">
        <f t="shared" si="2"/>
        <v>8.3668353098276746</v>
      </c>
      <c r="Z150">
        <v>126</v>
      </c>
      <c r="AA150">
        <v>4126.4411531867563</v>
      </c>
      <c r="AB150">
        <v>341.55884681324369</v>
      </c>
    </row>
    <row r="151" spans="1:28" x14ac:dyDescent="0.25">
      <c r="A151">
        <v>2019</v>
      </c>
      <c r="B151" s="1">
        <v>596</v>
      </c>
      <c r="C151" s="14">
        <v>3771</v>
      </c>
      <c r="D151" s="3">
        <f t="shared" si="2"/>
        <v>6.39024066706535</v>
      </c>
      <c r="E151" s="3">
        <f t="shared" si="2"/>
        <v>8.2350954972583565</v>
      </c>
      <c r="Z151">
        <v>127</v>
      </c>
      <c r="AA151">
        <v>3802.6348046403687</v>
      </c>
      <c r="AB151">
        <v>-465.63480464036866</v>
      </c>
    </row>
    <row r="152" spans="1:28" x14ac:dyDescent="0.25">
      <c r="A152">
        <v>2019</v>
      </c>
      <c r="B152" s="6">
        <v>652</v>
      </c>
      <c r="C152" s="14">
        <v>3923</v>
      </c>
      <c r="D152" s="3">
        <f t="shared" si="2"/>
        <v>6.4800445619266531</v>
      </c>
      <c r="E152" s="3">
        <f t="shared" si="2"/>
        <v>8.2746119462095518</v>
      </c>
      <c r="Z152">
        <v>128</v>
      </c>
      <c r="AA152">
        <v>5053.886497171472</v>
      </c>
      <c r="AB152">
        <v>-879.886497171472</v>
      </c>
    </row>
    <row r="153" spans="1:28" x14ac:dyDescent="0.25">
      <c r="A153">
        <v>2019</v>
      </c>
      <c r="B153" s="6">
        <v>683</v>
      </c>
      <c r="C153" s="14">
        <v>3907</v>
      </c>
      <c r="D153" s="3">
        <f t="shared" si="2"/>
        <v>6.5264948595707901</v>
      </c>
      <c r="E153" s="3">
        <f t="shared" si="2"/>
        <v>8.2705250950550706</v>
      </c>
      <c r="Z153">
        <v>129</v>
      </c>
      <c r="AA153">
        <v>4442.2522832505165</v>
      </c>
      <c r="AB153">
        <v>-108.25228325051648</v>
      </c>
    </row>
    <row r="154" spans="1:28" x14ac:dyDescent="0.25">
      <c r="A154">
        <v>2019</v>
      </c>
      <c r="B154" s="6">
        <v>735</v>
      </c>
      <c r="C154" s="14">
        <v>2617</v>
      </c>
      <c r="D154" s="3">
        <f t="shared" si="2"/>
        <v>6.5998704992128365</v>
      </c>
      <c r="E154" s="3">
        <f t="shared" si="2"/>
        <v>7.8697839025301457</v>
      </c>
      <c r="Z154">
        <v>130</v>
      </c>
      <c r="AA154">
        <v>4750.0681948316505</v>
      </c>
      <c r="AB154">
        <v>-1121.0681948316505</v>
      </c>
    </row>
    <row r="155" spans="1:28" x14ac:dyDescent="0.25">
      <c r="A155">
        <v>2019</v>
      </c>
      <c r="B155" s="6">
        <v>661</v>
      </c>
      <c r="C155" s="14">
        <v>4500</v>
      </c>
      <c r="D155" s="3">
        <f t="shared" si="2"/>
        <v>6.4937538398516859</v>
      </c>
      <c r="E155" s="3">
        <f t="shared" si="2"/>
        <v>8.4118326757584114</v>
      </c>
      <c r="Z155">
        <v>131</v>
      </c>
      <c r="AA155">
        <v>4666.1184007640695</v>
      </c>
      <c r="AB155">
        <v>-851.11840076406952</v>
      </c>
    </row>
    <row r="156" spans="1:28" x14ac:dyDescent="0.25">
      <c r="A156">
        <v>2019</v>
      </c>
      <c r="B156" s="6">
        <v>747</v>
      </c>
      <c r="C156" s="14">
        <v>4941</v>
      </c>
      <c r="D156" s="3">
        <f t="shared" si="2"/>
        <v>6.6160651851328174</v>
      </c>
      <c r="E156" s="3">
        <f t="shared" si="2"/>
        <v>8.5053230188457505</v>
      </c>
      <c r="Z156">
        <v>132</v>
      </c>
      <c r="AA156">
        <v>4706.0944931772028</v>
      </c>
      <c r="AB156">
        <v>-2440.0944931772028</v>
      </c>
    </row>
    <row r="157" spans="1:28" x14ac:dyDescent="0.25">
      <c r="A157">
        <v>2019</v>
      </c>
      <c r="B157" s="6">
        <v>743</v>
      </c>
      <c r="C157" s="14">
        <v>5075</v>
      </c>
      <c r="D157" s="3">
        <f t="shared" si="2"/>
        <v>6.6106960447177592</v>
      </c>
      <c r="E157" s="3">
        <f t="shared" si="2"/>
        <v>8.5320818039099873</v>
      </c>
      <c r="Z157">
        <v>133</v>
      </c>
      <c r="AA157">
        <v>4869.9964720710541</v>
      </c>
      <c r="AB157">
        <v>-111.99647207105409</v>
      </c>
    </row>
    <row r="158" spans="1:28" x14ac:dyDescent="0.25">
      <c r="A158">
        <v>2019</v>
      </c>
      <c r="B158" s="6">
        <v>673</v>
      </c>
      <c r="C158" s="14">
        <v>4537</v>
      </c>
      <c r="D158" s="3">
        <f t="shared" si="2"/>
        <v>6.5117453296447279</v>
      </c>
      <c r="E158" s="3">
        <f t="shared" si="2"/>
        <v>8.4200212796639633</v>
      </c>
      <c r="Z158">
        <v>134</v>
      </c>
      <c r="AA158">
        <v>5093.8625895846062</v>
      </c>
      <c r="AB158">
        <v>444.13741041539379</v>
      </c>
    </row>
    <row r="159" spans="1:28" x14ac:dyDescent="0.25">
      <c r="A159">
        <v>2019</v>
      </c>
      <c r="B159" s="6">
        <v>718</v>
      </c>
      <c r="C159" s="14">
        <v>4794</v>
      </c>
      <c r="D159" s="3">
        <f t="shared" si="2"/>
        <v>6.576469569048224</v>
      </c>
      <c r="E159" s="3">
        <f t="shared" si="2"/>
        <v>8.4751204149943291</v>
      </c>
      <c r="Z159">
        <v>135</v>
      </c>
      <c r="AA159">
        <v>4606.1542621443677</v>
      </c>
      <c r="AB159">
        <v>-1387.1542621443677</v>
      </c>
    </row>
    <row r="160" spans="1:28" x14ac:dyDescent="0.25">
      <c r="A160">
        <v>2019</v>
      </c>
      <c r="B160" s="6">
        <v>621</v>
      </c>
      <c r="C160" s="14">
        <v>4186</v>
      </c>
      <c r="D160" s="3">
        <f t="shared" si="2"/>
        <v>6.4313310819334788</v>
      </c>
      <c r="E160" s="3">
        <f t="shared" si="2"/>
        <v>8.3395009030059448</v>
      </c>
      <c r="Z160">
        <v>136</v>
      </c>
      <c r="AA160">
        <v>4550.1877327659804</v>
      </c>
      <c r="AB160">
        <v>-295.1877327659804</v>
      </c>
    </row>
    <row r="161" spans="1:28" x14ac:dyDescent="0.25">
      <c r="A161">
        <v>2019</v>
      </c>
      <c r="B161" s="6">
        <v>713</v>
      </c>
      <c r="C161" s="14">
        <v>3521</v>
      </c>
      <c r="D161" s="3">
        <f t="shared" si="2"/>
        <v>6.5694814204142959</v>
      </c>
      <c r="E161" s="3">
        <f t="shared" si="2"/>
        <v>8.1665003191550518</v>
      </c>
      <c r="Z161">
        <v>137</v>
      </c>
      <c r="AA161">
        <v>4794.0418964860983</v>
      </c>
      <c r="AB161">
        <v>-387.04189648609827</v>
      </c>
    </row>
    <row r="162" spans="1:28" x14ac:dyDescent="0.25">
      <c r="A162">
        <v>2019</v>
      </c>
      <c r="B162" s="6">
        <v>698</v>
      </c>
      <c r="C162" s="14">
        <v>2349</v>
      </c>
      <c r="D162" s="3">
        <f t="shared" si="2"/>
        <v>6.5482191027623724</v>
      </c>
      <c r="E162" s="3">
        <f t="shared" si="2"/>
        <v>7.7617449846589128</v>
      </c>
      <c r="Z162">
        <v>138</v>
      </c>
      <c r="AA162">
        <v>4606.1542621443677</v>
      </c>
      <c r="AB162">
        <v>-1189.1542621443677</v>
      </c>
    </row>
    <row r="163" spans="1:28" x14ac:dyDescent="0.25">
      <c r="A163">
        <v>2019</v>
      </c>
      <c r="B163" s="6">
        <v>679</v>
      </c>
      <c r="C163" s="14">
        <v>3978</v>
      </c>
      <c r="D163" s="3">
        <f t="shared" si="2"/>
        <v>6.5206211275586963</v>
      </c>
      <c r="E163" s="3">
        <f t="shared" si="2"/>
        <v>8.288534459413917</v>
      </c>
      <c r="Z163">
        <v>139</v>
      </c>
      <c r="AA163">
        <v>4674.1136192466965</v>
      </c>
      <c r="AB163">
        <v>-934.11361924669654</v>
      </c>
    </row>
    <row r="164" spans="1:28" x14ac:dyDescent="0.25">
      <c r="A164">
        <v>2019</v>
      </c>
      <c r="B164" s="6">
        <v>656</v>
      </c>
      <c r="C164" s="14">
        <v>4049</v>
      </c>
      <c r="D164" s="3">
        <f t="shared" si="2"/>
        <v>6.4861607889440887</v>
      </c>
      <c r="E164" s="3">
        <f t="shared" si="2"/>
        <v>8.3062252160321606</v>
      </c>
      <c r="Z164">
        <v>140</v>
      </c>
      <c r="AA164">
        <v>4710.0921024185172</v>
      </c>
      <c r="AB164">
        <v>-534.09210241851724</v>
      </c>
    </row>
    <row r="165" spans="1:28" x14ac:dyDescent="0.25">
      <c r="A165">
        <v>2019</v>
      </c>
      <c r="B165" s="6">
        <v>672</v>
      </c>
      <c r="C165" s="14">
        <v>4421</v>
      </c>
      <c r="D165" s="3">
        <f t="shared" si="2"/>
        <v>6.5102583405231496</v>
      </c>
      <c r="E165" s="3">
        <f t="shared" si="2"/>
        <v>8.3941211938262423</v>
      </c>
      <c r="Z165">
        <v>141</v>
      </c>
      <c r="AA165">
        <v>4430.2594555265769</v>
      </c>
      <c r="AB165">
        <v>-923.25945552657686</v>
      </c>
    </row>
    <row r="166" spans="1:28" x14ac:dyDescent="0.25">
      <c r="A166">
        <v>2019</v>
      </c>
      <c r="B166" s="6">
        <v>735</v>
      </c>
      <c r="C166" s="14">
        <v>4092</v>
      </c>
      <c r="D166" s="3">
        <f t="shared" si="2"/>
        <v>6.5998704992128365</v>
      </c>
      <c r="E166" s="3">
        <f t="shared" si="2"/>
        <v>8.3167891270715177</v>
      </c>
      <c r="Z166">
        <v>142</v>
      </c>
      <c r="AA166">
        <v>4502.2164218702183</v>
      </c>
      <c r="AB166">
        <v>-1257.2164218702183</v>
      </c>
    </row>
    <row r="167" spans="1:28" x14ac:dyDescent="0.25">
      <c r="A167">
        <v>2019</v>
      </c>
      <c r="B167" s="6">
        <v>772</v>
      </c>
      <c r="C167" s="14">
        <v>4751</v>
      </c>
      <c r="D167" s="3">
        <f t="shared" si="2"/>
        <v>6.6489845500247764</v>
      </c>
      <c r="E167" s="3">
        <f t="shared" si="2"/>
        <v>8.4661104011869206</v>
      </c>
      <c r="Z167">
        <v>143</v>
      </c>
      <c r="AA167">
        <v>3970.5343927755325</v>
      </c>
      <c r="AB167">
        <v>245.46560722446748</v>
      </c>
    </row>
    <row r="168" spans="1:28" x14ac:dyDescent="0.25">
      <c r="A168">
        <v>2019</v>
      </c>
      <c r="B168" s="6">
        <v>763</v>
      </c>
      <c r="C168" s="14">
        <v>5753</v>
      </c>
      <c r="D168" s="3">
        <f t="shared" si="2"/>
        <v>6.6372580312844569</v>
      </c>
      <c r="E168" s="3">
        <f t="shared" si="2"/>
        <v>8.657476736863293</v>
      </c>
      <c r="Z168">
        <v>144</v>
      </c>
      <c r="AA168">
        <v>4174.4124640825175</v>
      </c>
      <c r="AB168">
        <v>1356.5875359174825</v>
      </c>
    </row>
    <row r="169" spans="1:28" x14ac:dyDescent="0.25">
      <c r="A169">
        <v>2019</v>
      </c>
      <c r="B169" s="6">
        <v>698</v>
      </c>
      <c r="C169" s="14">
        <v>4219</v>
      </c>
      <c r="D169" s="3">
        <f t="shared" si="2"/>
        <v>6.5482191027623724</v>
      </c>
      <c r="E169" s="3">
        <f t="shared" si="2"/>
        <v>8.3473534121243382</v>
      </c>
      <c r="Z169">
        <v>145</v>
      </c>
      <c r="AA169">
        <v>4182.4076825651446</v>
      </c>
      <c r="AB169">
        <v>693.59231743485543</v>
      </c>
    </row>
    <row r="170" spans="1:28" x14ac:dyDescent="0.25">
      <c r="A170">
        <v>2019</v>
      </c>
      <c r="B170" s="6">
        <v>585</v>
      </c>
      <c r="C170" s="14">
        <v>2724</v>
      </c>
      <c r="D170" s="3">
        <f t="shared" si="2"/>
        <v>6.3716118472318568</v>
      </c>
      <c r="E170" s="3">
        <f t="shared" si="2"/>
        <v>7.9098566672694028</v>
      </c>
      <c r="Z170">
        <v>146</v>
      </c>
      <c r="AA170">
        <v>4162.419636358577</v>
      </c>
      <c r="AB170">
        <v>70.580363641422991</v>
      </c>
    </row>
    <row r="171" spans="1:28" x14ac:dyDescent="0.25">
      <c r="A171">
        <v>2019</v>
      </c>
      <c r="B171" s="6">
        <v>820</v>
      </c>
      <c r="C171" s="14">
        <v>4466</v>
      </c>
      <c r="D171" s="3">
        <f t="shared" si="2"/>
        <v>6.7093043402582984</v>
      </c>
      <c r="E171" s="3">
        <f t="shared" si="2"/>
        <v>8.4042484324001023</v>
      </c>
      <c r="Z171">
        <v>147</v>
      </c>
      <c r="AA171">
        <v>4038.4937498778609</v>
      </c>
      <c r="AB171">
        <v>952.50625012213914</v>
      </c>
    </row>
    <row r="172" spans="1:28" x14ac:dyDescent="0.25">
      <c r="A172">
        <v>2019</v>
      </c>
      <c r="B172" s="6">
        <v>795</v>
      </c>
      <c r="C172" s="14">
        <v>3194</v>
      </c>
      <c r="D172" s="3">
        <f t="shared" si="2"/>
        <v>6.678342114654332</v>
      </c>
      <c r="E172" s="3">
        <f t="shared" si="2"/>
        <v>8.0690293287749579</v>
      </c>
      <c r="Z172">
        <v>148</v>
      </c>
      <c r="AA172">
        <v>4066.477014567055</v>
      </c>
      <c r="AB172">
        <v>235.52298543294501</v>
      </c>
    </row>
    <row r="173" spans="1:28" x14ac:dyDescent="0.25">
      <c r="A173">
        <v>2019</v>
      </c>
      <c r="B173" s="6">
        <v>805</v>
      </c>
      <c r="C173" s="14">
        <v>4379</v>
      </c>
      <c r="D173" s="3">
        <f t="shared" si="2"/>
        <v>6.6908422774185636</v>
      </c>
      <c r="E173" s="3">
        <f t="shared" si="2"/>
        <v>8.384575666801398</v>
      </c>
      <c r="Z173">
        <v>149</v>
      </c>
      <c r="AA173">
        <v>3638.7328257465178</v>
      </c>
      <c r="AB173">
        <v>132.26717425348215</v>
      </c>
    </row>
    <row r="174" spans="1:28" x14ac:dyDescent="0.25">
      <c r="A174">
        <v>2019</v>
      </c>
      <c r="B174" s="6">
        <v>935</v>
      </c>
      <c r="C174" s="14">
        <v>5653</v>
      </c>
      <c r="D174" s="3">
        <f t="shared" si="2"/>
        <v>6.8405465292886873</v>
      </c>
      <c r="E174" s="3">
        <f t="shared" si="2"/>
        <v>8.6399416566752905</v>
      </c>
      <c r="Z174">
        <v>150</v>
      </c>
      <c r="AA174">
        <v>3862.59894326007</v>
      </c>
      <c r="AB174">
        <v>60.401056739930027</v>
      </c>
    </row>
    <row r="175" spans="1:28" x14ac:dyDescent="0.25">
      <c r="A175">
        <v>2019</v>
      </c>
      <c r="B175" s="6">
        <v>911</v>
      </c>
      <c r="C175" s="14">
        <v>3438</v>
      </c>
      <c r="D175" s="3">
        <f t="shared" si="2"/>
        <v>6.8145428972599582</v>
      </c>
      <c r="E175" s="3">
        <f t="shared" si="2"/>
        <v>8.1426451859427953</v>
      </c>
      <c r="Z175">
        <v>151</v>
      </c>
      <c r="AA175">
        <v>3986.5248297407861</v>
      </c>
      <c r="AB175">
        <v>-79.524829740786117</v>
      </c>
    </row>
    <row r="176" spans="1:28" ht="15.75" thickBot="1" x14ac:dyDescent="0.3">
      <c r="A176">
        <v>2019</v>
      </c>
      <c r="B176" s="9">
        <v>904</v>
      </c>
      <c r="C176" s="16">
        <v>4511</v>
      </c>
      <c r="D176" s="3">
        <f t="shared" si="2"/>
        <v>6.8068293603921761</v>
      </c>
      <c r="E176" s="3">
        <f t="shared" si="2"/>
        <v>8.4142741374083965</v>
      </c>
      <c r="Z176">
        <v>152</v>
      </c>
      <c r="AA176">
        <v>4194.4005102890842</v>
      </c>
      <c r="AB176">
        <v>-1577.4005102890842</v>
      </c>
    </row>
    <row r="177" spans="1:28" x14ac:dyDescent="0.25">
      <c r="A177">
        <v>2019</v>
      </c>
      <c r="B177" s="1">
        <v>920</v>
      </c>
      <c r="C177" s="14">
        <v>4444</v>
      </c>
      <c r="D177" s="3">
        <f t="shared" si="2"/>
        <v>6.8243736700430864</v>
      </c>
      <c r="E177" s="3">
        <f t="shared" si="2"/>
        <v>8.3993101507595203</v>
      </c>
      <c r="Z177">
        <v>153</v>
      </c>
      <c r="AA177">
        <v>3898.5774264318907</v>
      </c>
      <c r="AB177">
        <v>601.42257356810933</v>
      </c>
    </row>
    <row r="178" spans="1:28" x14ac:dyDescent="0.25">
      <c r="A178">
        <v>2019</v>
      </c>
      <c r="B178" s="6">
        <v>841</v>
      </c>
      <c r="C178" s="14">
        <v>4198</v>
      </c>
      <c r="D178" s="3">
        <f t="shared" si="2"/>
        <v>6.7345916599729483</v>
      </c>
      <c r="E178" s="3">
        <f t="shared" si="2"/>
        <v>8.3423635003805785</v>
      </c>
      <c r="Z178">
        <v>154</v>
      </c>
      <c r="AA178">
        <v>4242.3718211848463</v>
      </c>
      <c r="AB178">
        <v>698.62817881515366</v>
      </c>
    </row>
    <row r="179" spans="1:28" x14ac:dyDescent="0.25">
      <c r="A179">
        <v>2019</v>
      </c>
      <c r="B179" s="6">
        <v>839</v>
      </c>
      <c r="C179" s="14">
        <v>4045</v>
      </c>
      <c r="D179" s="3">
        <f t="shared" si="2"/>
        <v>6.7322107064672059</v>
      </c>
      <c r="E179" s="3">
        <f t="shared" si="2"/>
        <v>8.3052368294925927</v>
      </c>
      <c r="Z179">
        <v>155</v>
      </c>
      <c r="AA179">
        <v>4226.3813842195923</v>
      </c>
      <c r="AB179">
        <v>848.61861578040771</v>
      </c>
    </row>
    <row r="180" spans="1:28" x14ac:dyDescent="0.25">
      <c r="A180">
        <v>2019</v>
      </c>
      <c r="B180" s="6">
        <v>879</v>
      </c>
      <c r="C180" s="14">
        <v>3786</v>
      </c>
      <c r="D180" s="3">
        <f t="shared" si="2"/>
        <v>6.7787848976851768</v>
      </c>
      <c r="E180" s="3">
        <f t="shared" si="2"/>
        <v>8.2390653317692681</v>
      </c>
      <c r="Z180">
        <v>156</v>
      </c>
      <c r="AA180">
        <v>3946.5487373276519</v>
      </c>
      <c r="AB180">
        <v>590.45126267234809</v>
      </c>
    </row>
    <row r="181" spans="1:28" x14ac:dyDescent="0.25">
      <c r="A181">
        <v>2019</v>
      </c>
      <c r="B181" s="6">
        <v>1010</v>
      </c>
      <c r="C181" s="14">
        <v>5883</v>
      </c>
      <c r="D181" s="3">
        <f t="shared" si="2"/>
        <v>6.9177056098353047</v>
      </c>
      <c r="E181" s="3">
        <f t="shared" si="2"/>
        <v>8.6798221148644554</v>
      </c>
      <c r="Z181">
        <v>157</v>
      </c>
      <c r="AA181">
        <v>4126.4411531867563</v>
      </c>
      <c r="AB181">
        <v>667.55884681324369</v>
      </c>
    </row>
    <row r="182" spans="1:28" x14ac:dyDescent="0.25">
      <c r="A182">
        <v>2019</v>
      </c>
      <c r="B182" s="6">
        <v>677</v>
      </c>
      <c r="C182" s="14">
        <v>3232</v>
      </c>
      <c r="D182" s="3">
        <f t="shared" si="2"/>
        <v>6.517671272912275</v>
      </c>
      <c r="E182" s="3">
        <f t="shared" si="2"/>
        <v>8.0808564196409858</v>
      </c>
      <c r="Z182">
        <v>158</v>
      </c>
      <c r="AA182">
        <v>3738.6730567793538</v>
      </c>
      <c r="AB182">
        <v>447.32694322064617</v>
      </c>
    </row>
    <row r="183" spans="1:28" x14ac:dyDescent="0.25">
      <c r="A183">
        <v>2019</v>
      </c>
      <c r="B183" s="6">
        <v>606</v>
      </c>
      <c r="C183" s="14">
        <v>2856</v>
      </c>
      <c r="D183" s="3">
        <f t="shared" si="2"/>
        <v>6.4068799860693142</v>
      </c>
      <c r="E183" s="3">
        <f t="shared" si="2"/>
        <v>7.9571773234594749</v>
      </c>
      <c r="Z183">
        <v>159</v>
      </c>
      <c r="AA183">
        <v>4106.4531069801887</v>
      </c>
      <c r="AB183">
        <v>-585.45310698018875</v>
      </c>
    </row>
    <row r="184" spans="1:28" x14ac:dyDescent="0.25">
      <c r="A184">
        <v>2019</v>
      </c>
      <c r="B184" s="6">
        <v>681</v>
      </c>
      <c r="C184" s="14">
        <v>4053</v>
      </c>
      <c r="D184" s="3">
        <f t="shared" si="2"/>
        <v>6.523562306149512</v>
      </c>
      <c r="E184" s="3">
        <f t="shared" si="2"/>
        <v>8.3072126266283082</v>
      </c>
      <c r="Z184">
        <v>160</v>
      </c>
      <c r="AA184">
        <v>4046.4889683604879</v>
      </c>
      <c r="AB184">
        <v>-1697.4889683604879</v>
      </c>
    </row>
    <row r="185" spans="1:28" x14ac:dyDescent="0.25">
      <c r="A185">
        <v>2019</v>
      </c>
      <c r="B185" s="6">
        <v>677</v>
      </c>
      <c r="C185" s="14">
        <v>3449</v>
      </c>
      <c r="D185" s="3">
        <f t="shared" si="2"/>
        <v>6.517671272912275</v>
      </c>
      <c r="E185" s="3">
        <f t="shared" si="2"/>
        <v>8.1458396129368413</v>
      </c>
      <c r="Z185">
        <v>161</v>
      </c>
      <c r="AA185">
        <v>3970.5343927755325</v>
      </c>
      <c r="AB185">
        <v>7.465607224467476</v>
      </c>
    </row>
    <row r="186" spans="1:28" x14ac:dyDescent="0.25">
      <c r="A186">
        <v>2019</v>
      </c>
      <c r="B186" s="6">
        <v>640</v>
      </c>
      <c r="C186" s="14">
        <v>4073</v>
      </c>
      <c r="D186" s="3">
        <f t="shared" si="2"/>
        <v>6.4614681763537174</v>
      </c>
      <c r="E186" s="3">
        <f t="shared" si="2"/>
        <v>8.3121351076484125</v>
      </c>
      <c r="Z186">
        <v>162</v>
      </c>
      <c r="AA186">
        <v>3878.5893802253236</v>
      </c>
      <c r="AB186">
        <v>170.41061977467643</v>
      </c>
    </row>
    <row r="187" spans="1:28" x14ac:dyDescent="0.25">
      <c r="A187">
        <v>2019</v>
      </c>
      <c r="B187" s="6">
        <v>628</v>
      </c>
      <c r="C187" s="14">
        <v>5003</v>
      </c>
      <c r="D187" s="3">
        <f t="shared" si="2"/>
        <v>6.4425401664681985</v>
      </c>
      <c r="E187" s="3">
        <f t="shared" si="2"/>
        <v>8.5177930114882052</v>
      </c>
      <c r="Z187">
        <v>163</v>
      </c>
      <c r="AA187">
        <v>3942.5511280863384</v>
      </c>
      <c r="AB187">
        <v>478.44887191366161</v>
      </c>
    </row>
    <row r="188" spans="1:28" x14ac:dyDescent="0.25">
      <c r="A188">
        <v>2019</v>
      </c>
      <c r="B188" s="6">
        <v>610</v>
      </c>
      <c r="C188" s="14">
        <v>2858</v>
      </c>
      <c r="D188" s="3">
        <f t="shared" si="2"/>
        <v>6.4134589571673573</v>
      </c>
      <c r="E188" s="3">
        <f t="shared" si="2"/>
        <v>7.9578773584898128</v>
      </c>
      <c r="Z188">
        <v>164</v>
      </c>
      <c r="AA188">
        <v>4194.4005102890842</v>
      </c>
      <c r="AB188">
        <v>-102.4005102890842</v>
      </c>
    </row>
    <row r="189" spans="1:28" x14ac:dyDescent="0.25">
      <c r="A189">
        <v>2019</v>
      </c>
      <c r="B189" s="6">
        <v>721</v>
      </c>
      <c r="C189" s="14">
        <v>4991</v>
      </c>
      <c r="D189" s="3">
        <f t="shared" si="2"/>
        <v>6.5806391372849493</v>
      </c>
      <c r="E189" s="3">
        <f t="shared" si="2"/>
        <v>8.5153915694696085</v>
      </c>
      <c r="Z189">
        <v>165</v>
      </c>
      <c r="AA189">
        <v>4342.3120522176814</v>
      </c>
      <c r="AB189">
        <v>408.68794778231859</v>
      </c>
    </row>
    <row r="190" spans="1:28" x14ac:dyDescent="0.25">
      <c r="A190">
        <v>2019</v>
      </c>
      <c r="B190" s="6">
        <v>696</v>
      </c>
      <c r="C190" s="14">
        <v>4160</v>
      </c>
      <c r="D190" s="3">
        <f t="shared" si="2"/>
        <v>6.5453496603344199</v>
      </c>
      <c r="E190" s="3">
        <f t="shared" si="2"/>
        <v>8.3332703532553083</v>
      </c>
      <c r="Z190">
        <v>166</v>
      </c>
      <c r="AA190">
        <v>4306.3335690458607</v>
      </c>
      <c r="AB190">
        <v>1446.6664309541393</v>
      </c>
    </row>
    <row r="191" spans="1:28" x14ac:dyDescent="0.25">
      <c r="A191">
        <v>2019</v>
      </c>
      <c r="B191" s="6">
        <v>633</v>
      </c>
      <c r="C191" s="14">
        <v>3535</v>
      </c>
      <c r="D191" s="3">
        <f t="shared" si="2"/>
        <v>6.4504704221441758</v>
      </c>
      <c r="E191" s="3">
        <f t="shared" si="2"/>
        <v>8.1704685783306736</v>
      </c>
      <c r="Z191">
        <v>167</v>
      </c>
      <c r="AA191">
        <v>4046.4889683604879</v>
      </c>
      <c r="AB191">
        <v>172.51103163951211</v>
      </c>
    </row>
    <row r="192" spans="1:28" x14ac:dyDescent="0.25">
      <c r="A192">
        <v>2019</v>
      </c>
      <c r="B192" s="6">
        <v>744</v>
      </c>
      <c r="C192" s="14">
        <v>4579</v>
      </c>
      <c r="D192" s="3">
        <f t="shared" si="2"/>
        <v>6.6120410348330916</v>
      </c>
      <c r="E192" s="3">
        <f t="shared" si="2"/>
        <v>8.429235912657095</v>
      </c>
      <c r="Z192">
        <v>168</v>
      </c>
      <c r="AA192">
        <v>3594.7591240920701</v>
      </c>
      <c r="AB192">
        <v>-870.75912409207012</v>
      </c>
    </row>
    <row r="193" spans="1:28" x14ac:dyDescent="0.25">
      <c r="A193">
        <v>2019</v>
      </c>
      <c r="B193" s="6">
        <v>670</v>
      </c>
      <c r="C193" s="14">
        <v>4092</v>
      </c>
      <c r="D193" s="3">
        <f t="shared" si="2"/>
        <v>6.5072777123850116</v>
      </c>
      <c r="E193" s="3">
        <f t="shared" si="2"/>
        <v>8.3167891270715177</v>
      </c>
      <c r="Z193">
        <v>169</v>
      </c>
      <c r="AA193">
        <v>4534.1972958007264</v>
      </c>
      <c r="AB193">
        <v>-68.197295800726351</v>
      </c>
    </row>
    <row r="194" spans="1:28" x14ac:dyDescent="0.25">
      <c r="A194">
        <v>2019</v>
      </c>
      <c r="B194" s="6">
        <v>709</v>
      </c>
      <c r="C194" s="14">
        <v>4589</v>
      </c>
      <c r="D194" s="3">
        <f t="shared" si="2"/>
        <v>6.5638555265321274</v>
      </c>
      <c r="E194" s="3">
        <f t="shared" si="2"/>
        <v>8.4314174143948328</v>
      </c>
      <c r="Z194">
        <v>170</v>
      </c>
      <c r="AA194">
        <v>4434.2570647678904</v>
      </c>
      <c r="AB194">
        <v>-1240.2570647678904</v>
      </c>
    </row>
    <row r="195" spans="1:28" x14ac:dyDescent="0.25">
      <c r="A195">
        <v>2019</v>
      </c>
      <c r="B195" s="6">
        <v>702</v>
      </c>
      <c r="C195" s="14">
        <v>3486</v>
      </c>
      <c r="D195" s="3">
        <f t="shared" si="2"/>
        <v>6.5539334040258108</v>
      </c>
      <c r="E195" s="3">
        <f t="shared" si="2"/>
        <v>8.1565102260799662</v>
      </c>
      <c r="Z195">
        <v>171</v>
      </c>
      <c r="AA195">
        <v>4474.2331571810246</v>
      </c>
      <c r="AB195">
        <v>-95.23315718102458</v>
      </c>
    </row>
    <row r="196" spans="1:28" x14ac:dyDescent="0.25">
      <c r="A196">
        <v>2019</v>
      </c>
      <c r="B196" s="6">
        <v>665</v>
      </c>
      <c r="C196" s="14">
        <v>4483</v>
      </c>
      <c r="D196" s="3">
        <f t="shared" ref="D196:E237" si="3">+LN(B196)</f>
        <v>6.4997870406558542</v>
      </c>
      <c r="E196" s="3">
        <f t="shared" si="3"/>
        <v>8.4080477441554393</v>
      </c>
      <c r="Z196">
        <v>172</v>
      </c>
      <c r="AA196">
        <v>4993.9223585517702</v>
      </c>
      <c r="AB196">
        <v>659.07764144822977</v>
      </c>
    </row>
    <row r="197" spans="1:28" x14ac:dyDescent="0.25">
      <c r="A197">
        <v>2019</v>
      </c>
      <c r="B197" s="6">
        <v>722</v>
      </c>
      <c r="C197" s="14">
        <v>4599</v>
      </c>
      <c r="D197" s="3">
        <f t="shared" si="3"/>
        <v>6.5820251388928259</v>
      </c>
      <c r="E197" s="3">
        <f t="shared" si="3"/>
        <v>8.4335941675399244</v>
      </c>
      <c r="Z197">
        <v>173</v>
      </c>
      <c r="AA197">
        <v>4897.9797367602478</v>
      </c>
      <c r="AB197">
        <v>-1459.9797367602478</v>
      </c>
    </row>
    <row r="198" spans="1:28" x14ac:dyDescent="0.25">
      <c r="A198">
        <v>2019</v>
      </c>
      <c r="B198" s="6">
        <v>722</v>
      </c>
      <c r="C198" s="14">
        <v>3711</v>
      </c>
      <c r="D198" s="3">
        <f t="shared" si="3"/>
        <v>6.5820251388928259</v>
      </c>
      <c r="E198" s="3">
        <f t="shared" si="3"/>
        <v>8.2190566610605984</v>
      </c>
      <c r="Z198">
        <v>174</v>
      </c>
      <c r="AA198">
        <v>4869.9964720710541</v>
      </c>
      <c r="AB198">
        <v>-358.99647207105409</v>
      </c>
    </row>
    <row r="199" spans="1:28" x14ac:dyDescent="0.25">
      <c r="A199">
        <v>2019</v>
      </c>
      <c r="B199" s="6">
        <v>735</v>
      </c>
      <c r="C199" s="14">
        <v>4476</v>
      </c>
      <c r="D199" s="3">
        <f t="shared" si="3"/>
        <v>6.5998704992128365</v>
      </c>
      <c r="E199" s="3">
        <f t="shared" si="3"/>
        <v>8.4064850694318167</v>
      </c>
      <c r="Z199">
        <v>175</v>
      </c>
      <c r="AA199">
        <v>4933.9582199320685</v>
      </c>
      <c r="AB199">
        <v>-489.95821993206846</v>
      </c>
    </row>
    <row r="200" spans="1:28" x14ac:dyDescent="0.25">
      <c r="A200">
        <v>2019</v>
      </c>
      <c r="B200" s="6">
        <v>753</v>
      </c>
      <c r="C200" s="14">
        <v>4884</v>
      </c>
      <c r="D200" s="3">
        <f t="shared" si="3"/>
        <v>6.6240652277998935</v>
      </c>
      <c r="E200" s="3">
        <f t="shared" si="3"/>
        <v>8.4937198352305945</v>
      </c>
      <c r="Z200">
        <v>176</v>
      </c>
      <c r="AA200">
        <v>4618.1470898683074</v>
      </c>
      <c r="AB200">
        <v>-420.14708986830738</v>
      </c>
    </row>
    <row r="201" spans="1:28" x14ac:dyDescent="0.25">
      <c r="A201">
        <v>2019</v>
      </c>
      <c r="B201" s="6">
        <v>703</v>
      </c>
      <c r="C201" s="14">
        <v>4157</v>
      </c>
      <c r="D201" s="3">
        <f t="shared" si="3"/>
        <v>6.5553568918106651</v>
      </c>
      <c r="E201" s="3">
        <f t="shared" si="3"/>
        <v>8.3325489392526375</v>
      </c>
      <c r="Z201">
        <v>177</v>
      </c>
      <c r="AA201">
        <v>4610.1518713856813</v>
      </c>
      <c r="AB201">
        <v>-565.15187138568126</v>
      </c>
    </row>
    <row r="202" spans="1:28" ht="15.75" thickBot="1" x14ac:dyDescent="0.3">
      <c r="A202">
        <v>2019</v>
      </c>
      <c r="B202" s="9">
        <v>759</v>
      </c>
      <c r="C202" s="16">
        <v>5352</v>
      </c>
      <c r="D202" s="3">
        <f t="shared" si="3"/>
        <v>6.6320017773956303</v>
      </c>
      <c r="E202" s="3">
        <f t="shared" si="3"/>
        <v>8.5852256018080642</v>
      </c>
      <c r="Z202">
        <v>178</v>
      </c>
      <c r="AA202">
        <v>4770.0562410382181</v>
      </c>
      <c r="AB202">
        <v>-984.0562410382181</v>
      </c>
    </row>
    <row r="203" spans="1:28" x14ac:dyDescent="0.25">
      <c r="A203">
        <v>2019</v>
      </c>
      <c r="B203" s="1">
        <v>706</v>
      </c>
      <c r="C203" s="17">
        <v>4252</v>
      </c>
      <c r="D203" s="3">
        <f t="shared" si="3"/>
        <v>6.5596152374932419</v>
      </c>
      <c r="E203" s="3">
        <f t="shared" si="3"/>
        <v>8.3551447394618386</v>
      </c>
      <c r="Z203">
        <v>179</v>
      </c>
      <c r="AA203">
        <v>5293.7430516502773</v>
      </c>
      <c r="AB203">
        <v>589.25694834972273</v>
      </c>
    </row>
    <row r="204" spans="1:28" x14ac:dyDescent="0.25">
      <c r="A204">
        <v>2019</v>
      </c>
      <c r="B204" s="6">
        <v>725</v>
      </c>
      <c r="C204" s="17">
        <v>4056</v>
      </c>
      <c r="D204" s="3">
        <f t="shared" si="3"/>
        <v>6.5861716548546747</v>
      </c>
      <c r="E204" s="3">
        <f t="shared" si="3"/>
        <v>8.3079525452710197</v>
      </c>
      <c r="Z204">
        <v>180</v>
      </c>
      <c r="AA204">
        <v>3962.5391742929055</v>
      </c>
      <c r="AB204">
        <v>-730.5391742929055</v>
      </c>
    </row>
    <row r="205" spans="1:28" x14ac:dyDescent="0.25">
      <c r="A205">
        <v>2019</v>
      </c>
      <c r="B205" s="6">
        <v>657</v>
      </c>
      <c r="C205" s="17">
        <v>4070</v>
      </c>
      <c r="D205" s="3">
        <f t="shared" si="3"/>
        <v>6.4876840184846101</v>
      </c>
      <c r="E205" s="3">
        <f t="shared" si="3"/>
        <v>8.3113982784366414</v>
      </c>
      <c r="Z205">
        <v>181</v>
      </c>
      <c r="AA205">
        <v>3678.7089181596521</v>
      </c>
      <c r="AB205">
        <v>-822.70891815965206</v>
      </c>
    </row>
    <row r="206" spans="1:28" x14ac:dyDescent="0.25">
      <c r="A206">
        <v>2019</v>
      </c>
      <c r="B206" s="6">
        <v>686</v>
      </c>
      <c r="C206" s="17">
        <v>3425</v>
      </c>
      <c r="D206" s="3">
        <f t="shared" si="3"/>
        <v>6.5308776277258849</v>
      </c>
      <c r="E206" s="3">
        <f t="shared" si="3"/>
        <v>8.1388567506963252</v>
      </c>
      <c r="Z206">
        <v>182</v>
      </c>
      <c r="AA206">
        <v>3978.5296112581595</v>
      </c>
      <c r="AB206">
        <v>74.470388741840452</v>
      </c>
    </row>
    <row r="207" spans="1:28" x14ac:dyDescent="0.25">
      <c r="A207">
        <v>2019</v>
      </c>
      <c r="B207" s="6">
        <v>738</v>
      </c>
      <c r="C207" s="17">
        <v>3625</v>
      </c>
      <c r="D207" s="3">
        <f t="shared" si="3"/>
        <v>6.6039438246004725</v>
      </c>
      <c r="E207" s="3">
        <f t="shared" si="3"/>
        <v>8.1956095672887752</v>
      </c>
      <c r="Z207">
        <v>183</v>
      </c>
      <c r="AA207">
        <v>3962.5391742929055</v>
      </c>
      <c r="AB207">
        <v>-513.5391742929055</v>
      </c>
    </row>
    <row r="208" spans="1:28" x14ac:dyDescent="0.25">
      <c r="A208">
        <v>2019</v>
      </c>
      <c r="B208" s="6">
        <v>687</v>
      </c>
      <c r="C208" s="17">
        <v>4126</v>
      </c>
      <c r="D208" s="3">
        <f t="shared" si="3"/>
        <v>6.5323342922223491</v>
      </c>
      <c r="E208" s="3">
        <f t="shared" si="3"/>
        <v>8.325063693631197</v>
      </c>
      <c r="Z208">
        <v>184</v>
      </c>
      <c r="AA208">
        <v>3814.6276323643087</v>
      </c>
      <c r="AB208">
        <v>258.37236763569126</v>
      </c>
    </row>
    <row r="209" spans="1:28" x14ac:dyDescent="0.25">
      <c r="A209">
        <v>2019</v>
      </c>
      <c r="B209" s="6">
        <v>808</v>
      </c>
      <c r="C209" s="18">
        <v>3638</v>
      </c>
      <c r="D209" s="3">
        <f t="shared" si="3"/>
        <v>6.694562058521095</v>
      </c>
      <c r="E209" s="3">
        <f t="shared" si="3"/>
        <v>8.1991893590780673</v>
      </c>
      <c r="Z209">
        <v>185</v>
      </c>
      <c r="AA209">
        <v>3766.6563214685475</v>
      </c>
      <c r="AB209">
        <v>1236.3436785314525</v>
      </c>
    </row>
    <row r="210" spans="1:28" x14ac:dyDescent="0.25">
      <c r="A210">
        <v>2019</v>
      </c>
      <c r="B210" s="6">
        <v>855</v>
      </c>
      <c r="C210" s="18">
        <v>3521</v>
      </c>
      <c r="D210" s="3">
        <f t="shared" si="3"/>
        <v>6.7511014689367599</v>
      </c>
      <c r="E210" s="3">
        <f t="shared" si="3"/>
        <v>8.1665003191550518</v>
      </c>
      <c r="Z210">
        <v>186</v>
      </c>
      <c r="AA210">
        <v>3694.6993551249061</v>
      </c>
      <c r="AB210">
        <v>-836.69935512490611</v>
      </c>
    </row>
    <row r="211" spans="1:28" x14ac:dyDescent="0.25">
      <c r="A211">
        <v>2019</v>
      </c>
      <c r="B211" s="6">
        <v>935</v>
      </c>
      <c r="C211" s="18">
        <v>4418</v>
      </c>
      <c r="D211" s="3">
        <f t="shared" si="3"/>
        <v>6.8405465292886873</v>
      </c>
      <c r="E211" s="3">
        <f t="shared" si="3"/>
        <v>8.3934423839800623</v>
      </c>
      <c r="Z211">
        <v>187</v>
      </c>
      <c r="AA211">
        <v>4138.4339809106968</v>
      </c>
      <c r="AB211">
        <v>852.56601908930315</v>
      </c>
    </row>
    <row r="212" spans="1:28" x14ac:dyDescent="0.25">
      <c r="A212">
        <v>2019</v>
      </c>
      <c r="B212" s="6">
        <v>789</v>
      </c>
      <c r="C212" s="18">
        <v>5374</v>
      </c>
      <c r="D212" s="3">
        <f t="shared" si="3"/>
        <v>6.6707663208458738</v>
      </c>
      <c r="E212" s="3">
        <f t="shared" si="3"/>
        <v>8.5893277891754369</v>
      </c>
      <c r="Z212">
        <v>188</v>
      </c>
      <c r="AA212">
        <v>4038.4937498778609</v>
      </c>
      <c r="AB212">
        <v>121.50625012213914</v>
      </c>
    </row>
    <row r="213" spans="1:28" x14ac:dyDescent="0.25">
      <c r="A213">
        <v>2019</v>
      </c>
      <c r="B213" s="6">
        <v>877</v>
      </c>
      <c r="C213" s="18">
        <v>4911</v>
      </c>
      <c r="D213" s="3">
        <f t="shared" si="3"/>
        <v>6.776506992372183</v>
      </c>
      <c r="E213" s="3">
        <f t="shared" si="3"/>
        <v>8.4992328660392449</v>
      </c>
      <c r="Z213">
        <v>189</v>
      </c>
      <c r="AA213">
        <v>3786.6443676751146</v>
      </c>
      <c r="AB213">
        <v>-251.64436767511461</v>
      </c>
    </row>
    <row r="214" spans="1:28" x14ac:dyDescent="0.25">
      <c r="A214">
        <v>2019</v>
      </c>
      <c r="B214" s="6">
        <v>911</v>
      </c>
      <c r="C214" s="18">
        <v>5178</v>
      </c>
      <c r="D214" s="3">
        <f t="shared" si="3"/>
        <v>6.8145428972599582</v>
      </c>
      <c r="E214" s="3">
        <f t="shared" si="3"/>
        <v>8.5521741603114823</v>
      </c>
      <c r="Z214">
        <v>190</v>
      </c>
      <c r="AA214">
        <v>4230.3789934609049</v>
      </c>
      <c r="AB214">
        <v>348.62100653909511</v>
      </c>
    </row>
    <row r="215" spans="1:28" x14ac:dyDescent="0.25">
      <c r="A215">
        <v>2019</v>
      </c>
      <c r="B215" s="6">
        <v>839</v>
      </c>
      <c r="C215" s="18">
        <v>3685</v>
      </c>
      <c r="D215" s="3">
        <f t="shared" si="3"/>
        <v>6.7322107064672059</v>
      </c>
      <c r="E215" s="3">
        <f t="shared" si="3"/>
        <v>8.2120258046234369</v>
      </c>
      <c r="Z215">
        <v>191</v>
      </c>
      <c r="AA215">
        <v>3934.5559096037118</v>
      </c>
      <c r="AB215">
        <v>157.44409039628817</v>
      </c>
    </row>
    <row r="216" spans="1:28" x14ac:dyDescent="0.25">
      <c r="A216">
        <v>2019</v>
      </c>
      <c r="B216" s="6">
        <v>894</v>
      </c>
      <c r="C216" s="18">
        <v>4896</v>
      </c>
      <c r="D216" s="3">
        <f t="shared" si="3"/>
        <v>6.7957057751735137</v>
      </c>
      <c r="E216" s="3">
        <f t="shared" si="3"/>
        <v>8.4961738241921623</v>
      </c>
      <c r="Z216">
        <v>192</v>
      </c>
      <c r="AA216">
        <v>4090.4626700149356</v>
      </c>
      <c r="AB216">
        <v>498.53732998506439</v>
      </c>
    </row>
    <row r="217" spans="1:28" x14ac:dyDescent="0.25">
      <c r="A217">
        <v>2019</v>
      </c>
      <c r="B217" s="6">
        <v>920</v>
      </c>
      <c r="C217" s="18">
        <v>5410</v>
      </c>
      <c r="D217" s="3">
        <f t="shared" si="3"/>
        <v>6.8243736700430864</v>
      </c>
      <c r="E217" s="3">
        <f t="shared" si="3"/>
        <v>8.596004371840527</v>
      </c>
      <c r="Z217">
        <v>193</v>
      </c>
      <c r="AA217">
        <v>4062.4794053257415</v>
      </c>
      <c r="AB217">
        <v>-576.47940532574148</v>
      </c>
    </row>
    <row r="218" spans="1:28" x14ac:dyDescent="0.25">
      <c r="A218">
        <v>2019</v>
      </c>
      <c r="B218" s="6">
        <v>910</v>
      </c>
      <c r="C218" s="18">
        <v>4902</v>
      </c>
      <c r="D218" s="3">
        <f t="shared" si="3"/>
        <v>6.8134445995108956</v>
      </c>
      <c r="E218" s="3">
        <f t="shared" si="3"/>
        <v>8.4973985640880585</v>
      </c>
      <c r="Z218">
        <v>194</v>
      </c>
      <c r="AA218">
        <v>3914.5678633971447</v>
      </c>
      <c r="AB218">
        <v>568.43213660285528</v>
      </c>
    </row>
    <row r="219" spans="1:28" x14ac:dyDescent="0.25">
      <c r="A219">
        <v>2019</v>
      </c>
      <c r="B219" s="6">
        <v>865</v>
      </c>
      <c r="C219" s="18">
        <v>4749</v>
      </c>
      <c r="D219" s="3">
        <f t="shared" si="3"/>
        <v>6.7627295069318789</v>
      </c>
      <c r="E219" s="3">
        <f t="shared" si="3"/>
        <v>8.4656893485491214</v>
      </c>
      <c r="Z219">
        <v>195</v>
      </c>
      <c r="AA219">
        <v>4142.4315901520094</v>
      </c>
      <c r="AB219">
        <v>456.56840984799055</v>
      </c>
    </row>
    <row r="220" spans="1:28" x14ac:dyDescent="0.25">
      <c r="A220">
        <v>2019</v>
      </c>
      <c r="B220" s="6">
        <v>874</v>
      </c>
      <c r="C220" s="18">
        <v>4304</v>
      </c>
      <c r="D220" s="3">
        <f t="shared" si="3"/>
        <v>6.7730803756555353</v>
      </c>
      <c r="E220" s="3">
        <f t="shared" si="3"/>
        <v>8.3673001018416198</v>
      </c>
      <c r="Z220">
        <v>196</v>
      </c>
      <c r="AA220">
        <v>4142.4315901520094</v>
      </c>
      <c r="AB220">
        <v>-431.43159015200945</v>
      </c>
    </row>
    <row r="221" spans="1:28" x14ac:dyDescent="0.25">
      <c r="A221">
        <v>2019</v>
      </c>
      <c r="B221" s="6">
        <v>863</v>
      </c>
      <c r="C221" s="18">
        <v>4503</v>
      </c>
      <c r="D221" s="3">
        <f t="shared" si="3"/>
        <v>6.7604146910834277</v>
      </c>
      <c r="E221" s="3">
        <f t="shared" si="3"/>
        <v>8.4124991203015718</v>
      </c>
      <c r="Z221">
        <v>197</v>
      </c>
      <c r="AA221">
        <v>4194.4005102890842</v>
      </c>
      <c r="AB221">
        <v>281.5994897109158</v>
      </c>
    </row>
    <row r="222" spans="1:28" x14ac:dyDescent="0.25">
      <c r="A222">
        <v>2019</v>
      </c>
      <c r="B222" s="6">
        <v>883</v>
      </c>
      <c r="C222" s="18">
        <v>5219</v>
      </c>
      <c r="D222" s="3">
        <f t="shared" si="3"/>
        <v>6.7833252006039597</v>
      </c>
      <c r="E222" s="3">
        <f t="shared" si="3"/>
        <v>8.5600610916434139</v>
      </c>
      <c r="Z222">
        <v>198</v>
      </c>
      <c r="AA222">
        <v>4266.3574766327256</v>
      </c>
      <c r="AB222">
        <v>617.64252336727441</v>
      </c>
    </row>
    <row r="223" spans="1:28" x14ac:dyDescent="0.25">
      <c r="A223">
        <v>2019</v>
      </c>
      <c r="B223" s="6">
        <v>905</v>
      </c>
      <c r="C223" s="18">
        <v>4218</v>
      </c>
      <c r="D223" s="3">
        <f t="shared" si="3"/>
        <v>6.8079349436999257</v>
      </c>
      <c r="E223" s="3">
        <f t="shared" si="3"/>
        <v>8.3471163610387205</v>
      </c>
      <c r="Z223">
        <v>199</v>
      </c>
      <c r="AA223">
        <v>4066.477014567055</v>
      </c>
      <c r="AB223">
        <v>90.522985432945006</v>
      </c>
    </row>
    <row r="224" spans="1:28" x14ac:dyDescent="0.25">
      <c r="A224">
        <v>2019</v>
      </c>
      <c r="B224" s="6">
        <v>650</v>
      </c>
      <c r="C224" s="18">
        <v>5052</v>
      </c>
      <c r="D224" s="3">
        <f t="shared" si="3"/>
        <v>6.4769723628896827</v>
      </c>
      <c r="E224" s="3">
        <f t="shared" si="3"/>
        <v>8.527539483470381</v>
      </c>
      <c r="Z224">
        <v>200</v>
      </c>
      <c r="AA224">
        <v>4290.3431320806067</v>
      </c>
      <c r="AB224">
        <v>1061.6568679193933</v>
      </c>
    </row>
    <row r="225" spans="1:28" x14ac:dyDescent="0.25">
      <c r="A225">
        <v>2019</v>
      </c>
      <c r="B225" s="6">
        <v>628</v>
      </c>
      <c r="C225" s="18">
        <v>3387</v>
      </c>
      <c r="D225" s="3">
        <f t="shared" si="3"/>
        <v>6.4425401664681985</v>
      </c>
      <c r="E225" s="3">
        <f t="shared" si="3"/>
        <v>8.1276998528177717</v>
      </c>
      <c r="Z225">
        <v>201</v>
      </c>
      <c r="AA225">
        <v>4078.4698422909951</v>
      </c>
      <c r="AB225">
        <v>173.53015770900492</v>
      </c>
    </row>
    <row r="226" spans="1:28" x14ac:dyDescent="0.25">
      <c r="A226">
        <v>2019</v>
      </c>
      <c r="B226" s="6">
        <v>741</v>
      </c>
      <c r="C226" s="18">
        <v>4371</v>
      </c>
      <c r="D226" s="3">
        <f t="shared" si="3"/>
        <v>6.6080006252960866</v>
      </c>
      <c r="E226" s="3">
        <f t="shared" si="3"/>
        <v>8.3827470948633138</v>
      </c>
      <c r="Z226">
        <v>202</v>
      </c>
      <c r="AA226">
        <v>4154.4244178759509</v>
      </c>
      <c r="AB226">
        <v>-98.424417875950894</v>
      </c>
    </row>
    <row r="227" spans="1:28" x14ac:dyDescent="0.25">
      <c r="A227">
        <v>2019</v>
      </c>
      <c r="B227" s="6">
        <v>719</v>
      </c>
      <c r="C227" s="18">
        <v>4016</v>
      </c>
      <c r="D227" s="3">
        <f t="shared" si="3"/>
        <v>6.577861357721047</v>
      </c>
      <c r="E227" s="3">
        <f t="shared" si="3"/>
        <v>8.2980416613715651</v>
      </c>
      <c r="Z227">
        <v>203</v>
      </c>
      <c r="AA227">
        <v>3882.5869894666371</v>
      </c>
      <c r="AB227">
        <v>187.41301053336292</v>
      </c>
    </row>
    <row r="228" spans="1:28" x14ac:dyDescent="0.25">
      <c r="A228">
        <v>2019</v>
      </c>
      <c r="B228" s="6">
        <v>695</v>
      </c>
      <c r="C228" s="18">
        <v>4153</v>
      </c>
      <c r="D228" s="3">
        <f t="shared" si="3"/>
        <v>6.543911845564792</v>
      </c>
      <c r="E228" s="3">
        <f t="shared" si="3"/>
        <v>8.3315862436307544</v>
      </c>
      <c r="Z228">
        <v>204</v>
      </c>
      <c r="AA228">
        <v>3998.5176574647267</v>
      </c>
      <c r="AB228">
        <v>-573.51765746472665</v>
      </c>
    </row>
    <row r="229" spans="1:28" ht="15.75" thickBot="1" x14ac:dyDescent="0.3">
      <c r="A229">
        <v>2019</v>
      </c>
      <c r="B229" s="9">
        <v>676</v>
      </c>
      <c r="C229" s="16">
        <v>3400</v>
      </c>
      <c r="D229" s="3">
        <f t="shared" si="3"/>
        <v>6.5161930760429643</v>
      </c>
      <c r="E229" s="3">
        <f t="shared" si="3"/>
        <v>8.1315307106042525</v>
      </c>
      <c r="Z229">
        <v>205</v>
      </c>
      <c r="AA229">
        <v>4206.3933380130247</v>
      </c>
      <c r="AB229">
        <v>-581.39333801302473</v>
      </c>
    </row>
    <row r="230" spans="1:28" x14ac:dyDescent="0.25">
      <c r="A230">
        <v>2019</v>
      </c>
      <c r="B230" s="1">
        <v>805</v>
      </c>
      <c r="C230" s="17">
        <v>5847</v>
      </c>
      <c r="D230" s="3">
        <f t="shared" si="3"/>
        <v>6.6908422774185636</v>
      </c>
      <c r="E230" s="3">
        <f t="shared" si="3"/>
        <v>8.6736839881756698</v>
      </c>
      <c r="Z230">
        <v>206</v>
      </c>
      <c r="AA230">
        <v>4002.5152667060402</v>
      </c>
      <c r="AB230">
        <v>123.48473329395983</v>
      </c>
    </row>
    <row r="231" spans="1:28" x14ac:dyDescent="0.25">
      <c r="A231">
        <v>2019</v>
      </c>
      <c r="B231" s="6">
        <v>723</v>
      </c>
      <c r="C231" s="17">
        <v>4867</v>
      </c>
      <c r="D231" s="3">
        <f t="shared" si="3"/>
        <v>6.5834092221587648</v>
      </c>
      <c r="E231" s="3">
        <f t="shared" si="3"/>
        <v>8.4902330098334549</v>
      </c>
      <c r="Z231">
        <v>207</v>
      </c>
      <c r="AA231">
        <v>4486.2259849049642</v>
      </c>
      <c r="AB231">
        <v>-848.22598490496421</v>
      </c>
    </row>
    <row r="232" spans="1:28" x14ac:dyDescent="0.25">
      <c r="A232">
        <v>2019</v>
      </c>
      <c r="B232" s="6">
        <v>716</v>
      </c>
      <c r="C232" s="17">
        <v>4442</v>
      </c>
      <c r="D232" s="3">
        <f t="shared" si="3"/>
        <v>6.5736801669606457</v>
      </c>
      <c r="E232" s="3">
        <f t="shared" si="3"/>
        <v>8.398860004454372</v>
      </c>
      <c r="Z232">
        <v>208</v>
      </c>
      <c r="AA232">
        <v>4674.1136192466965</v>
      </c>
      <c r="AB232">
        <v>-1153.1136192466965</v>
      </c>
    </row>
    <row r="233" spans="1:28" x14ac:dyDescent="0.25">
      <c r="A233">
        <v>2019</v>
      </c>
      <c r="B233" s="6">
        <v>617</v>
      </c>
      <c r="C233" s="17">
        <v>3194</v>
      </c>
      <c r="D233" s="3">
        <f t="shared" si="3"/>
        <v>6.4248690239053881</v>
      </c>
      <c r="E233" s="3">
        <f t="shared" si="3"/>
        <v>8.0690293287749579</v>
      </c>
      <c r="Z233">
        <v>209</v>
      </c>
      <c r="AA233">
        <v>4993.9223585517702</v>
      </c>
      <c r="AB233">
        <v>-575.92235855177023</v>
      </c>
    </row>
    <row r="234" spans="1:28" x14ac:dyDescent="0.25">
      <c r="A234">
        <v>2019</v>
      </c>
      <c r="B234" s="6">
        <v>704</v>
      </c>
      <c r="C234" s="17">
        <v>4199</v>
      </c>
      <c r="D234" s="3">
        <f t="shared" si="3"/>
        <v>6.5567783561580422</v>
      </c>
      <c r="E234" s="3">
        <f t="shared" si="3"/>
        <v>8.3426016806841936</v>
      </c>
      <c r="Z234">
        <v>210</v>
      </c>
      <c r="AA234">
        <v>4410.2714093200102</v>
      </c>
      <c r="AB234">
        <v>963.72859067998979</v>
      </c>
    </row>
    <row r="235" spans="1:28" x14ac:dyDescent="0.25">
      <c r="A235">
        <v>2019</v>
      </c>
      <c r="B235" s="6">
        <v>728</v>
      </c>
      <c r="C235" s="17">
        <v>5250</v>
      </c>
      <c r="D235" s="3">
        <f t="shared" si="3"/>
        <v>6.5903010481966859</v>
      </c>
      <c r="E235" s="3">
        <f t="shared" si="3"/>
        <v>8.5659833555856686</v>
      </c>
      <c r="Z235">
        <v>211</v>
      </c>
      <c r="AA235">
        <v>4762.061022555592</v>
      </c>
      <c r="AB235">
        <v>148.93897744440801</v>
      </c>
    </row>
    <row r="236" spans="1:28" x14ac:dyDescent="0.25">
      <c r="A236">
        <v>2019</v>
      </c>
      <c r="B236" s="6">
        <v>716</v>
      </c>
      <c r="C236" s="19">
        <v>4337</v>
      </c>
      <c r="D236" s="3">
        <f t="shared" si="3"/>
        <v>6.5736801669606457</v>
      </c>
      <c r="E236" s="3">
        <f t="shared" si="3"/>
        <v>8.3749381438353669</v>
      </c>
      <c r="Z236">
        <v>212</v>
      </c>
      <c r="AA236">
        <v>4897.9797367602478</v>
      </c>
      <c r="AB236">
        <v>280.02026323975224</v>
      </c>
    </row>
    <row r="237" spans="1:28" x14ac:dyDescent="0.25">
      <c r="A237">
        <v>2019</v>
      </c>
      <c r="B237" s="6">
        <v>689</v>
      </c>
      <c r="C237" s="20">
        <v>3746</v>
      </c>
      <c r="D237" s="3">
        <f t="shared" si="3"/>
        <v>6.5352412710136587</v>
      </c>
      <c r="E237" s="3">
        <f t="shared" si="3"/>
        <v>8.228443883004033</v>
      </c>
      <c r="Z237">
        <v>213</v>
      </c>
      <c r="AA237">
        <v>4610.1518713856813</v>
      </c>
      <c r="AB237">
        <v>-925.15187138568126</v>
      </c>
    </row>
    <row r="238" spans="1:28" x14ac:dyDescent="0.25">
      <c r="Z238">
        <v>214</v>
      </c>
      <c r="AA238">
        <v>4830.0203796579199</v>
      </c>
      <c r="AB238">
        <v>65.979620342080125</v>
      </c>
    </row>
    <row r="239" spans="1:28" x14ac:dyDescent="0.25">
      <c r="Z239">
        <v>215</v>
      </c>
      <c r="AA239">
        <v>4933.9582199320685</v>
      </c>
      <c r="AB239">
        <v>476.04178006793154</v>
      </c>
    </row>
    <row r="240" spans="1:28" x14ac:dyDescent="0.25">
      <c r="Z240">
        <v>216</v>
      </c>
      <c r="AA240">
        <v>4893.9821275189352</v>
      </c>
      <c r="AB240">
        <v>8.0178724810648418</v>
      </c>
    </row>
    <row r="241" spans="26:28" x14ac:dyDescent="0.25">
      <c r="Z241">
        <v>217</v>
      </c>
      <c r="AA241">
        <v>4714.0897116598298</v>
      </c>
      <c r="AB241">
        <v>34.910288340170155</v>
      </c>
    </row>
    <row r="242" spans="26:28" x14ac:dyDescent="0.25">
      <c r="Z242">
        <v>218</v>
      </c>
      <c r="AA242">
        <v>4750.0681948316505</v>
      </c>
      <c r="AB242">
        <v>-446.06819483165054</v>
      </c>
    </row>
    <row r="243" spans="26:28" x14ac:dyDescent="0.25">
      <c r="Z243">
        <v>219</v>
      </c>
      <c r="AA243">
        <v>4706.0944931772028</v>
      </c>
      <c r="AB243">
        <v>-203.09449317720282</v>
      </c>
    </row>
    <row r="244" spans="26:28" x14ac:dyDescent="0.25">
      <c r="Z244">
        <v>220</v>
      </c>
      <c r="AA244">
        <v>4786.0466780034722</v>
      </c>
      <c r="AB244">
        <v>432.95332199652785</v>
      </c>
    </row>
    <row r="245" spans="26:28" x14ac:dyDescent="0.25">
      <c r="Z245">
        <v>221</v>
      </c>
      <c r="AA245">
        <v>4873.9940813123676</v>
      </c>
      <c r="AB245">
        <v>-655.9940813123676</v>
      </c>
    </row>
    <row r="246" spans="26:28" x14ac:dyDescent="0.25">
      <c r="Z246">
        <v>222</v>
      </c>
      <c r="AA246">
        <v>3854.6037247774429</v>
      </c>
      <c r="AB246">
        <v>1197.3962752225571</v>
      </c>
    </row>
    <row r="247" spans="26:28" x14ac:dyDescent="0.25">
      <c r="Z247">
        <v>223</v>
      </c>
      <c r="AA247">
        <v>3766.6563214685475</v>
      </c>
      <c r="AB247">
        <v>-379.6563214685475</v>
      </c>
    </row>
    <row r="248" spans="26:28" x14ac:dyDescent="0.25">
      <c r="Z248">
        <v>224</v>
      </c>
      <c r="AA248">
        <v>4218.3861657369653</v>
      </c>
      <c r="AB248">
        <v>152.61383426303473</v>
      </c>
    </row>
    <row r="249" spans="26:28" x14ac:dyDescent="0.25">
      <c r="Z249">
        <v>225</v>
      </c>
      <c r="AA249">
        <v>4130.4387624280698</v>
      </c>
      <c r="AB249">
        <v>-114.43876242806982</v>
      </c>
    </row>
    <row r="250" spans="26:28" x14ac:dyDescent="0.25">
      <c r="Z250">
        <v>226</v>
      </c>
      <c r="AA250">
        <v>4034.4961406365474</v>
      </c>
      <c r="AB250">
        <v>118.50385936345265</v>
      </c>
    </row>
    <row r="251" spans="26:28" x14ac:dyDescent="0.25">
      <c r="Z251">
        <v>227</v>
      </c>
      <c r="AA251">
        <v>3958.5415650515924</v>
      </c>
      <c r="AB251">
        <v>-558.54156505159244</v>
      </c>
    </row>
    <row r="252" spans="26:28" x14ac:dyDescent="0.25">
      <c r="Z252">
        <v>228</v>
      </c>
      <c r="AA252">
        <v>4474.2331571810246</v>
      </c>
      <c r="AB252">
        <v>1372.7668428189754</v>
      </c>
    </row>
    <row r="253" spans="26:28" x14ac:dyDescent="0.25">
      <c r="Z253">
        <v>229</v>
      </c>
      <c r="AA253">
        <v>4146.4291993933239</v>
      </c>
      <c r="AB253">
        <v>720.57080060667613</v>
      </c>
    </row>
    <row r="254" spans="26:28" x14ac:dyDescent="0.25">
      <c r="Z254">
        <v>230</v>
      </c>
      <c r="AA254">
        <v>4118.4459347041293</v>
      </c>
      <c r="AB254">
        <v>323.55406529587071</v>
      </c>
    </row>
    <row r="255" spans="26:28" x14ac:dyDescent="0.25">
      <c r="Z255">
        <v>231</v>
      </c>
      <c r="AA255">
        <v>3722.6826198140998</v>
      </c>
      <c r="AB255">
        <v>-528.68261981409978</v>
      </c>
    </row>
    <row r="256" spans="26:28" x14ac:dyDescent="0.25">
      <c r="Z256">
        <v>232</v>
      </c>
      <c r="AA256">
        <v>4070.4746238083681</v>
      </c>
      <c r="AB256">
        <v>128.52537619163195</v>
      </c>
    </row>
    <row r="257" spans="26:28" x14ac:dyDescent="0.25">
      <c r="Z257">
        <v>233</v>
      </c>
      <c r="AA257">
        <v>4166.4172455998905</v>
      </c>
      <c r="AB257">
        <v>1083.5827544001095</v>
      </c>
    </row>
    <row r="258" spans="26:28" x14ac:dyDescent="0.25">
      <c r="Z258">
        <v>234</v>
      </c>
      <c r="AA258">
        <v>4118.4459347041293</v>
      </c>
      <c r="AB258">
        <v>218.55406529587071</v>
      </c>
    </row>
    <row r="259" spans="26:28" ht="15.75" thickBot="1" x14ac:dyDescent="0.3">
      <c r="Z259" s="7">
        <v>235</v>
      </c>
      <c r="AA259" s="7">
        <v>4010.5104851886667</v>
      </c>
      <c r="AB259" s="7">
        <v>-264.51048518866673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Harrison POH-fecundity rel'p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Parken, Chuck (DFO/MPO)</dc:creator>
  <cp:lastModifiedBy>Parken, Chuck (DFO/MPO)</cp:lastModifiedBy>
  <dcterms:created xsi:type="dcterms:W3CDTF">2026-03-17T16:58:56Z</dcterms:created>
  <dcterms:modified xsi:type="dcterms:W3CDTF">2026-03-17T17:00:18Z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2026-03-17T16:59:13Z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0478ed94-c83e-41f4-971d-f143dabf09da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