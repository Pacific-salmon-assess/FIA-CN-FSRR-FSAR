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omments3.xml" ContentType="application/vnd.openxmlformats-officedocument.spreadsheetml.comments+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Users\BAILEYCO\Documents\GitHub\FIA-CN-FSRR-FSAR\data\"/>
    </mc:Choice>
  </mc:AlternateContent>
  <xr:revisionPtr revIDLastSave="0" documentId="8_{BA033792-A59C-42C2-87DF-2BF63A57C4AA}" xr6:coauthVersionLast="47" xr6:coauthVersionMax="47" xr10:uidLastSave="{00000000-0000-0000-0000-000000000000}"/>
  <bookViews>
    <workbookView xWindow="28680" yWindow="-2115" windowWidth="29040" windowHeight="15720" activeTab="1" xr2:uid="{00000000-000D-0000-FFFF-FFFF00000000}"/>
  </bookViews>
  <sheets>
    <sheet name="Esc by age data" sheetId="5" r:id="rId1"/>
    <sheet name="Corrected Esc by age" sheetId="11" r:id="rId2"/>
    <sheet name="Esc Age for Study Design" sheetId="15" r:id="rId3"/>
    <sheet name="Scale-CWT correction factors" sheetId="10" r:id="rId4"/>
    <sheet name="Age-specific Escapement Sum" sheetId="6" r:id="rId5"/>
    <sheet name="Notes" sheetId="2" r:id="rId6"/>
    <sheet name="Sheet1" sheetId="12" r:id="rId7"/>
    <sheet name="Cdn CWTs for ERA in 2021" sheetId="14" r:id="rId8"/>
  </sheets>
  <externalReferences>
    <externalReference r:id="rId9"/>
  </externalReferences>
  <definedNames>
    <definedName name="_xlnm._FilterDatabase" localSheetId="7" hidden="1">'Cdn CWTs for ERA in 2021'!$A$7:$H$2874</definedName>
    <definedName name="tagsum">'[1]lookup tables'!$A$51:$B$383</definedName>
    <definedName name="tagsum2">'[1]lookup tables'!$E$57:$F$198</definedName>
  </definedNames>
  <calcPr calcId="191029"/>
  <pivotCaches>
    <pivotCache cacheId="0" r:id="rId10"/>
    <pivotCache cacheId="1" r:id="rId11"/>
    <pivotCache cacheId="2" r:id="rId12"/>
    <pivotCache cacheId="3" r:id="rId13"/>
    <pivotCache cacheId="4" r:id="rId14"/>
    <pivotCache cacheId="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56" i="5" l="1"/>
  <c r="K355" i="5"/>
  <c r="AA13" i="10"/>
  <c r="N20" i="6"/>
  <c r="Q17" i="6"/>
  <c r="P18" i="6"/>
  <c r="O19" i="6"/>
  <c r="T20" i="6"/>
  <c r="U20" i="6"/>
  <c r="AP20" i="6" s="1"/>
  <c r="V20" i="6"/>
  <c r="AO20" i="6" s="1"/>
  <c r="W20" i="6"/>
  <c r="AN20" i="6" s="1"/>
  <c r="V19" i="6"/>
  <c r="Y20" i="6"/>
  <c r="F20" i="6"/>
  <c r="J20" i="6"/>
  <c r="I20" i="6"/>
  <c r="H20" i="6"/>
  <c r="G20" i="6"/>
  <c r="H14" i="15"/>
  <c r="I14" i="15"/>
  <c r="J14" i="15"/>
  <c r="K14" i="15"/>
  <c r="G9" i="15"/>
  <c r="H9" i="15"/>
  <c r="I9" i="15"/>
  <c r="J9" i="15"/>
  <c r="K9" i="15"/>
  <c r="G10" i="15"/>
  <c r="H10" i="15"/>
  <c r="I10" i="15"/>
  <c r="J10" i="15"/>
  <c r="K10" i="15"/>
  <c r="G11" i="15"/>
  <c r="H11" i="15"/>
  <c r="I11" i="15"/>
  <c r="J11" i="15"/>
  <c r="K11" i="15"/>
  <c r="H12" i="15"/>
  <c r="I12" i="15"/>
  <c r="J12" i="15"/>
  <c r="K12" i="15"/>
  <c r="K80" i="11" l="1"/>
  <c r="K79" i="11"/>
  <c r="K78" i="11"/>
  <c r="K77" i="11"/>
  <c r="H80" i="11"/>
  <c r="H79" i="11"/>
  <c r="H78" i="11"/>
  <c r="H77" i="11"/>
  <c r="G80" i="11"/>
  <c r="G79" i="11"/>
  <c r="G78" i="11"/>
  <c r="G77" i="11"/>
  <c r="F80" i="11"/>
  <c r="F79" i="11"/>
  <c r="F78" i="11"/>
  <c r="F77" i="11"/>
  <c r="K63" i="10"/>
  <c r="K62" i="10"/>
  <c r="N62" i="10" s="1"/>
  <c r="K61" i="10"/>
  <c r="K60" i="10"/>
  <c r="I63" i="10"/>
  <c r="I62" i="10"/>
  <c r="I61" i="10"/>
  <c r="I60" i="10"/>
  <c r="J63" i="10"/>
  <c r="J62" i="10"/>
  <c r="J61" i="10"/>
  <c r="J60" i="10"/>
  <c r="N358" i="5"/>
  <c r="M358" i="5"/>
  <c r="L358" i="5"/>
  <c r="K358" i="5"/>
  <c r="N357" i="5"/>
  <c r="M357" i="5"/>
  <c r="L357" i="5"/>
  <c r="K357" i="5"/>
  <c r="N356" i="5"/>
  <c r="M356" i="5"/>
  <c r="L356" i="5"/>
  <c r="N355" i="5"/>
  <c r="N360" i="5" s="1"/>
  <c r="R360" i="5" s="1"/>
  <c r="M355" i="5"/>
  <c r="M360" i="5" s="1"/>
  <c r="Q360" i="5" s="1"/>
  <c r="L355" i="5"/>
  <c r="L361" i="5" s="1"/>
  <c r="N351" i="5"/>
  <c r="M351" i="5"/>
  <c r="L351" i="5"/>
  <c r="K351" i="5"/>
  <c r="N350" i="5"/>
  <c r="M350" i="5"/>
  <c r="L350" i="5"/>
  <c r="K350" i="5"/>
  <c r="N349" i="5"/>
  <c r="M349" i="5"/>
  <c r="L349" i="5"/>
  <c r="K349" i="5"/>
  <c r="N348" i="5"/>
  <c r="M348" i="5"/>
  <c r="L348" i="5"/>
  <c r="K348" i="5"/>
  <c r="N347" i="5"/>
  <c r="M347" i="5"/>
  <c r="L347" i="5"/>
  <c r="K347" i="5"/>
  <c r="N343" i="5"/>
  <c r="M343" i="5"/>
  <c r="L343" i="5"/>
  <c r="K343" i="5"/>
  <c r="N342" i="5"/>
  <c r="M342" i="5"/>
  <c r="L342" i="5"/>
  <c r="K342" i="5"/>
  <c r="N341" i="5"/>
  <c r="M341" i="5"/>
  <c r="L341" i="5"/>
  <c r="K341" i="5"/>
  <c r="N340" i="5"/>
  <c r="M340" i="5"/>
  <c r="L340" i="5"/>
  <c r="K340" i="5"/>
  <c r="N339" i="5"/>
  <c r="M339" i="5"/>
  <c r="L339" i="5"/>
  <c r="K339" i="5"/>
  <c r="F361" i="5"/>
  <c r="F353" i="5"/>
  <c r="F345" i="5"/>
  <c r="F357" i="5"/>
  <c r="P61" i="10" l="1"/>
  <c r="K360" i="5"/>
  <c r="O360" i="5" s="1"/>
  <c r="M361" i="5"/>
  <c r="M353" i="5"/>
  <c r="M344" i="5"/>
  <c r="Q344" i="5" s="1"/>
  <c r="P361" i="5"/>
  <c r="Q361" i="5"/>
  <c r="K361" i="5"/>
  <c r="O361" i="5" s="1"/>
  <c r="M345" i="5"/>
  <c r="Q345" i="5" s="1"/>
  <c r="L345" i="5"/>
  <c r="P345" i="5" s="1"/>
  <c r="K353" i="5"/>
  <c r="O353" i="5" s="1"/>
  <c r="K345" i="5"/>
  <c r="O345" i="5" s="1"/>
  <c r="N345" i="5"/>
  <c r="R345" i="5" s="1"/>
  <c r="Q353" i="5"/>
  <c r="L353" i="5"/>
  <c r="P353" i="5" s="1"/>
  <c r="K352" i="5"/>
  <c r="O352" i="5" s="1"/>
  <c r="M352" i="5"/>
  <c r="Q352" i="5" s="1"/>
  <c r="N353" i="5"/>
  <c r="R353" i="5" s="1"/>
  <c r="L352" i="5"/>
  <c r="P352" i="5" s="1"/>
  <c r="M62" i="10"/>
  <c r="P62" i="10"/>
  <c r="M61" i="10"/>
  <c r="N61" i="10"/>
  <c r="O62" i="10"/>
  <c r="O61" i="10"/>
  <c r="N361" i="5"/>
  <c r="R361" i="5" s="1"/>
  <c r="L360" i="5"/>
  <c r="P360" i="5" s="1"/>
  <c r="N352" i="5"/>
  <c r="R352" i="5" s="1"/>
  <c r="K344" i="5"/>
  <c r="O344" i="5" s="1"/>
  <c r="L344" i="5"/>
  <c r="P344" i="5" s="1"/>
  <c r="N344" i="5"/>
  <c r="R344" i="5" s="1"/>
  <c r="K326" i="5"/>
  <c r="L318" i="5"/>
  <c r="K332" i="5"/>
  <c r="N331" i="5"/>
  <c r="M331" i="5"/>
  <c r="L331" i="5"/>
  <c r="K331" i="5"/>
  <c r="K330" i="5"/>
  <c r="K325" i="5"/>
  <c r="N323" i="5"/>
  <c r="K323" i="5"/>
  <c r="L322" i="5"/>
  <c r="N318" i="5"/>
  <c r="M318" i="5"/>
  <c r="K318" i="5" l="1"/>
  <c r="K317" i="5"/>
  <c r="N315" i="5"/>
  <c r="M315" i="5"/>
  <c r="L315" i="5"/>
  <c r="K315" i="5"/>
  <c r="N314" i="5"/>
  <c r="M314" i="5"/>
  <c r="L314" i="5"/>
  <c r="K314" i="5"/>
  <c r="J56" i="10"/>
  <c r="I56" i="10"/>
  <c r="T19" i="6" l="1"/>
  <c r="AP19" i="6" s="1"/>
  <c r="U19" i="6"/>
  <c r="AO19" i="6" s="1"/>
  <c r="AN19" i="6"/>
  <c r="W19" i="6"/>
  <c r="Y19" i="6"/>
  <c r="Q16" i="6"/>
  <c r="P17" i="6"/>
  <c r="O18" i="6"/>
  <c r="N19" i="6"/>
  <c r="J19" i="6"/>
  <c r="I19" i="6"/>
  <c r="H19" i="6"/>
  <c r="G19" i="6"/>
  <c r="F19" i="6"/>
  <c r="J59" i="10"/>
  <c r="I59" i="10"/>
  <c r="J58" i="10"/>
  <c r="K58" i="10" s="1"/>
  <c r="I58" i="10"/>
  <c r="J57" i="10"/>
  <c r="I57" i="10"/>
  <c r="K13" i="15"/>
  <c r="J13" i="15"/>
  <c r="I13" i="15"/>
  <c r="H13" i="15"/>
  <c r="K72" i="11"/>
  <c r="K73" i="11"/>
  <c r="K74" i="11"/>
  <c r="K75" i="11"/>
  <c r="H72" i="11"/>
  <c r="K56" i="10" s="1"/>
  <c r="M56" i="10" s="1"/>
  <c r="H73" i="11"/>
  <c r="H74" i="11"/>
  <c r="H75" i="11"/>
  <c r="K59" i="10" s="1"/>
  <c r="G72" i="11"/>
  <c r="G73" i="11"/>
  <c r="G74" i="11"/>
  <c r="G75" i="11"/>
  <c r="F72" i="11"/>
  <c r="F73" i="11"/>
  <c r="F74" i="11"/>
  <c r="F75" i="11"/>
  <c r="F336" i="5"/>
  <c r="N334" i="5"/>
  <c r="M334" i="5"/>
  <c r="L334" i="5"/>
  <c r="K334" i="5"/>
  <c r="N333" i="5"/>
  <c r="M333" i="5"/>
  <c r="L333" i="5"/>
  <c r="K333" i="5"/>
  <c r="F332" i="5"/>
  <c r="N332" i="5" s="1"/>
  <c r="N330" i="5"/>
  <c r="M330" i="5"/>
  <c r="L330" i="5"/>
  <c r="F328" i="5"/>
  <c r="N326" i="5"/>
  <c r="M326" i="5"/>
  <c r="L326" i="5"/>
  <c r="N325" i="5"/>
  <c r="M325" i="5"/>
  <c r="L325" i="5"/>
  <c r="F324" i="5"/>
  <c r="M323" i="5"/>
  <c r="L323" i="5"/>
  <c r="N322" i="5"/>
  <c r="M322" i="5"/>
  <c r="K322" i="5"/>
  <c r="F320" i="5"/>
  <c r="N317" i="5"/>
  <c r="M317" i="5"/>
  <c r="L317" i="5"/>
  <c r="F316" i="5"/>
  <c r="K57" i="10" l="1"/>
  <c r="M324" i="5"/>
  <c r="M327" i="5" s="1"/>
  <c r="Q327" i="5" s="1"/>
  <c r="K324" i="5"/>
  <c r="K328" i="5" s="1"/>
  <c r="O328" i="5" s="1"/>
  <c r="M316" i="5"/>
  <c r="M319" i="5" s="1"/>
  <c r="Q319" i="5" s="1"/>
  <c r="N316" i="5"/>
  <c r="N320" i="5" s="1"/>
  <c r="R320" i="5" s="1"/>
  <c r="L316" i="5"/>
  <c r="K316" i="5"/>
  <c r="K320" i="5" s="1"/>
  <c r="O320" i="5" s="1"/>
  <c r="N335" i="5"/>
  <c r="R335" i="5" s="1"/>
  <c r="N336" i="5"/>
  <c r="R336" i="5" s="1"/>
  <c r="L324" i="5"/>
  <c r="L327" i="5" s="1"/>
  <c r="P327" i="5" s="1"/>
  <c r="N324" i="5"/>
  <c r="N327" i="5" s="1"/>
  <c r="R327" i="5" s="1"/>
  <c r="K336" i="5"/>
  <c r="O336" i="5" s="1"/>
  <c r="L332" i="5"/>
  <c r="L335" i="5" s="1"/>
  <c r="P335" i="5" s="1"/>
  <c r="M332" i="5"/>
  <c r="M336" i="5" s="1"/>
  <c r="Q336" i="5" s="1"/>
  <c r="K319" i="5" l="1"/>
  <c r="O319" i="5" s="1"/>
  <c r="M328" i="5"/>
  <c r="Q328" i="5" s="1"/>
  <c r="L320" i="5"/>
  <c r="P320" i="5" s="1"/>
  <c r="L319" i="5"/>
  <c r="P319" i="5" s="1"/>
  <c r="M335" i="5"/>
  <c r="Q335" i="5" s="1"/>
  <c r="L336" i="5"/>
  <c r="P336" i="5" s="1"/>
  <c r="L328" i="5"/>
  <c r="P328" i="5" s="1"/>
  <c r="N328" i="5"/>
  <c r="R328" i="5" s="1"/>
  <c r="N319" i="5"/>
  <c r="R319" i="5" s="1"/>
  <c r="M320" i="5"/>
  <c r="Q320" i="5" s="1"/>
  <c r="K335" i="5"/>
  <c r="O335" i="5" s="1"/>
  <c r="K327" i="5"/>
  <c r="O327" i="5" s="1"/>
  <c r="H42" i="11"/>
  <c r="K13" i="5"/>
  <c r="J15" i="15" l="1"/>
  <c r="K15" i="15"/>
  <c r="H15" i="15"/>
  <c r="I15" i="15"/>
  <c r="K243" i="5"/>
  <c r="K251" i="5"/>
  <c r="K122" i="5"/>
  <c r="K134" i="5"/>
  <c r="K175" i="5"/>
  <c r="L268" i="5" l="1"/>
  <c r="L276" i="5"/>
  <c r="L293" i="5"/>
  <c r="L301" i="5"/>
  <c r="L147" i="5"/>
  <c r="M147" i="5"/>
  <c r="N147" i="5"/>
  <c r="K147" i="5"/>
  <c r="L50" i="5"/>
  <c r="M50" i="5"/>
  <c r="N50" i="5"/>
  <c r="K50" i="5"/>
  <c r="L74" i="5"/>
  <c r="M74" i="5"/>
  <c r="N74" i="5"/>
  <c r="K74" i="5"/>
  <c r="N280" i="5"/>
  <c r="K188" i="5"/>
  <c r="L180" i="5" l="1"/>
  <c r="K281" i="5"/>
  <c r="L172" i="5"/>
  <c r="M172" i="5"/>
  <c r="N172" i="5"/>
  <c r="K172" i="5"/>
  <c r="L122" i="5"/>
  <c r="M122" i="5"/>
  <c r="N122" i="5"/>
  <c r="K222" i="5"/>
  <c r="L222" i="5"/>
  <c r="K306" i="5"/>
  <c r="L306" i="5"/>
  <c r="M306" i="5"/>
  <c r="N306" i="5"/>
  <c r="M301" i="5"/>
  <c r="K301" i="5"/>
  <c r="K309" i="5"/>
  <c r="K308" i="5"/>
  <c r="H68" i="11"/>
  <c r="K10" i="5"/>
  <c r="N60" i="10" l="1"/>
  <c r="P60" i="10"/>
  <c r="M60" i="10"/>
  <c r="O60" i="10"/>
  <c r="N56" i="10"/>
  <c r="P56" i="10"/>
  <c r="O56" i="10"/>
  <c r="P64" i="15"/>
  <c r="L281" i="5"/>
  <c r="M281" i="5"/>
  <c r="N281" i="5"/>
  <c r="K293" i="5"/>
  <c r="K292" i="5"/>
  <c r="L208" i="5"/>
  <c r="H62" i="11"/>
  <c r="N290" i="5"/>
  <c r="M290" i="5"/>
  <c r="L290" i="5"/>
  <c r="K290" i="5"/>
  <c r="N289" i="5"/>
  <c r="M289" i="5"/>
  <c r="L289" i="5"/>
  <c r="K289" i="5"/>
  <c r="N298" i="5"/>
  <c r="M298" i="5"/>
  <c r="L298" i="5"/>
  <c r="K298" i="5"/>
  <c r="N297" i="5"/>
  <c r="M297" i="5"/>
  <c r="L297" i="5"/>
  <c r="K297" i="5"/>
  <c r="K305" i="5"/>
  <c r="L305" i="5"/>
  <c r="M305" i="5"/>
  <c r="N305" i="5"/>
  <c r="N309" i="5"/>
  <c r="M309" i="5"/>
  <c r="L309" i="5"/>
  <c r="N308" i="5"/>
  <c r="M308" i="5"/>
  <c r="L308" i="5"/>
  <c r="N301" i="5"/>
  <c r="N300" i="5"/>
  <c r="M300" i="5"/>
  <c r="L300" i="5"/>
  <c r="K300" i="5"/>
  <c r="N293" i="5"/>
  <c r="M293" i="5"/>
  <c r="N292" i="5"/>
  <c r="M292" i="5"/>
  <c r="L292" i="5"/>
  <c r="K225" i="5"/>
  <c r="K273" i="5"/>
  <c r="L273" i="5"/>
  <c r="M273" i="5"/>
  <c r="N273" i="5"/>
  <c r="K265" i="5"/>
  <c r="L265" i="5"/>
  <c r="M265" i="5"/>
  <c r="N265" i="5"/>
  <c r="K256" i="5"/>
  <c r="L256" i="5"/>
  <c r="M256" i="5"/>
  <c r="N256" i="5"/>
  <c r="K248" i="5"/>
  <c r="L248" i="5"/>
  <c r="M248" i="5"/>
  <c r="N248" i="5"/>
  <c r="K240" i="5"/>
  <c r="L240" i="5"/>
  <c r="M240" i="5"/>
  <c r="N240" i="5"/>
  <c r="F299" i="5" l="1"/>
  <c r="F295" i="5"/>
  <c r="K299" i="5" l="1"/>
  <c r="N299" i="5"/>
  <c r="M299" i="5"/>
  <c r="L299" i="5"/>
  <c r="H67" i="11"/>
  <c r="K52" i="10"/>
  <c r="M52" i="10" s="1"/>
  <c r="K302" i="5" l="1"/>
  <c r="K303" i="5"/>
  <c r="L302" i="5"/>
  <c r="L303" i="5"/>
  <c r="M303" i="5"/>
  <c r="M302" i="5"/>
  <c r="N303" i="5"/>
  <c r="N302" i="5"/>
  <c r="N52" i="10"/>
  <c r="P52" i="10"/>
  <c r="O52" i="10"/>
  <c r="F282" i="5"/>
  <c r="W17" i="6" l="1"/>
  <c r="AK17" i="6" s="1"/>
  <c r="W18" i="6"/>
  <c r="AL18" i="6" s="1"/>
  <c r="V17" i="6"/>
  <c r="AL17" i="6" s="1"/>
  <c r="V18" i="6"/>
  <c r="AM18" i="6" s="1"/>
  <c r="U17" i="6"/>
  <c r="AM17" i="6" s="1"/>
  <c r="U18" i="6"/>
  <c r="AN18" i="6" s="1"/>
  <c r="T17" i="6"/>
  <c r="AN17" i="6" s="1"/>
  <c r="T18" i="6"/>
  <c r="AO18" i="6" s="1"/>
  <c r="Y18" i="6"/>
  <c r="Y17" i="6"/>
  <c r="Q14" i="6"/>
  <c r="Q15" i="6"/>
  <c r="P15" i="6"/>
  <c r="P16" i="6"/>
  <c r="O16" i="6"/>
  <c r="O17" i="6"/>
  <c r="N17" i="6"/>
  <c r="N18" i="6"/>
  <c r="J18" i="6"/>
  <c r="I18" i="6"/>
  <c r="H18" i="6"/>
  <c r="G18" i="6"/>
  <c r="F18" i="6"/>
  <c r="J55" i="10"/>
  <c r="I55" i="10"/>
  <c r="J54" i="10"/>
  <c r="I54" i="10"/>
  <c r="J53" i="10"/>
  <c r="I53" i="10"/>
  <c r="J52" i="10"/>
  <c r="I52" i="10"/>
  <c r="K70" i="11"/>
  <c r="K69" i="11"/>
  <c r="K68" i="11"/>
  <c r="K67" i="11"/>
  <c r="H70" i="11"/>
  <c r="H69" i="11"/>
  <c r="G70" i="11"/>
  <c r="G69" i="11"/>
  <c r="G68" i="11"/>
  <c r="G67" i="11"/>
  <c r="F70" i="11"/>
  <c r="F69" i="11"/>
  <c r="F68" i="11"/>
  <c r="F67" i="11"/>
  <c r="F311" i="5"/>
  <c r="F307" i="5"/>
  <c r="F303" i="5"/>
  <c r="F291" i="5"/>
  <c r="N291" i="5" l="1"/>
  <c r="M291" i="5"/>
  <c r="L291" i="5"/>
  <c r="K291" i="5"/>
  <c r="L307" i="5"/>
  <c r="M307" i="5"/>
  <c r="K307" i="5"/>
  <c r="N307" i="5"/>
  <c r="R302" i="5"/>
  <c r="R303" i="5"/>
  <c r="P302" i="5"/>
  <c r="Q303" i="5"/>
  <c r="O303" i="5"/>
  <c r="P41" i="15"/>
  <c r="P37" i="15"/>
  <c r="P38" i="15"/>
  <c r="P39" i="15"/>
  <c r="P36" i="15"/>
  <c r="P32" i="15"/>
  <c r="P33" i="15"/>
  <c r="P34" i="15"/>
  <c r="P31" i="15"/>
  <c r="P27" i="15"/>
  <c r="P28" i="15"/>
  <c r="P29" i="15"/>
  <c r="P26" i="15"/>
  <c r="P22" i="15"/>
  <c r="P23" i="15"/>
  <c r="P24" i="15"/>
  <c r="P21" i="15"/>
  <c r="P17" i="15"/>
  <c r="P18" i="15"/>
  <c r="P19" i="15"/>
  <c r="P16" i="15"/>
  <c r="P12" i="15"/>
  <c r="P13" i="15"/>
  <c r="P14" i="15"/>
  <c r="P11" i="15"/>
  <c r="P7" i="15"/>
  <c r="P8" i="15"/>
  <c r="P9" i="15"/>
  <c r="P6" i="15"/>
  <c r="P62" i="15"/>
  <c r="P57" i="15"/>
  <c r="P52" i="15"/>
  <c r="P46" i="15"/>
  <c r="P42" i="15"/>
  <c r="K15" i="11"/>
  <c r="L4" i="10"/>
  <c r="P63" i="15"/>
  <c r="P61" i="15"/>
  <c r="P58" i="15"/>
  <c r="P59" i="15"/>
  <c r="P56" i="15"/>
  <c r="P53" i="15"/>
  <c r="P54" i="15"/>
  <c r="P51" i="15"/>
  <c r="P47" i="15"/>
  <c r="P48" i="15"/>
  <c r="P49" i="15"/>
  <c r="P43" i="15"/>
  <c r="P44" i="15"/>
  <c r="F17" i="6"/>
  <c r="G17" i="6"/>
  <c r="H17" i="6"/>
  <c r="I17" i="6"/>
  <c r="J17" i="6"/>
  <c r="L311" i="5" l="1"/>
  <c r="P311" i="5" s="1"/>
  <c r="L310" i="5"/>
  <c r="K311" i="5"/>
  <c r="K310" i="5"/>
  <c r="O310" i="5" s="1"/>
  <c r="M310" i="5"/>
  <c r="Q310" i="5" s="1"/>
  <c r="M311" i="5"/>
  <c r="Q311" i="5" s="1"/>
  <c r="K295" i="5"/>
  <c r="O295" i="5" s="1"/>
  <c r="K294" i="5"/>
  <c r="O294" i="5" s="1"/>
  <c r="L295" i="5"/>
  <c r="P295" i="5" s="1"/>
  <c r="L294" i="5"/>
  <c r="P294" i="5" s="1"/>
  <c r="M295" i="5"/>
  <c r="M294" i="5"/>
  <c r="Q294" i="5" s="1"/>
  <c r="N311" i="5"/>
  <c r="N310" i="5"/>
  <c r="R310" i="5" s="1"/>
  <c r="N295" i="5"/>
  <c r="R295" i="5" s="1"/>
  <c r="N294" i="5"/>
  <c r="R294" i="5" s="1"/>
  <c r="P303" i="5"/>
  <c r="R311" i="5"/>
  <c r="P310" i="5"/>
  <c r="O311" i="5"/>
  <c r="O302" i="5"/>
  <c r="Q295" i="5"/>
  <c r="Q302" i="5"/>
  <c r="AZ6" i="6"/>
  <c r="F57" i="11"/>
  <c r="F266" i="5"/>
  <c r="K266" i="5" l="1"/>
  <c r="L266" i="5"/>
  <c r="M266" i="5"/>
  <c r="N266" i="5"/>
  <c r="K268" i="5"/>
  <c r="M268" i="5"/>
  <c r="N268" i="5"/>
  <c r="K62" i="11"/>
  <c r="H63" i="11"/>
  <c r="K63" i="11"/>
  <c r="H64" i="11"/>
  <c r="K64" i="11"/>
  <c r="H65" i="11"/>
  <c r="K65" i="11"/>
  <c r="G62" i="11"/>
  <c r="G63" i="11"/>
  <c r="G64" i="11"/>
  <c r="G65" i="11"/>
  <c r="F62" i="11"/>
  <c r="F63" i="11"/>
  <c r="F64" i="11"/>
  <c r="F65" i="11"/>
  <c r="F8" i="14"/>
  <c r="H8" i="14"/>
  <c r="F9" i="14"/>
  <c r="H9" i="14"/>
  <c r="F10" i="14"/>
  <c r="H10" i="14"/>
  <c r="F11" i="14"/>
  <c r="H11" i="14"/>
  <c r="F12" i="14"/>
  <c r="H12" i="14"/>
  <c r="F13" i="14"/>
  <c r="H13" i="14"/>
  <c r="F14" i="14"/>
  <c r="H14" i="14"/>
  <c r="F15" i="14"/>
  <c r="H15" i="14"/>
  <c r="F16" i="14"/>
  <c r="H16" i="14"/>
  <c r="F17" i="14"/>
  <c r="H17" i="14"/>
  <c r="F18" i="14"/>
  <c r="H18" i="14"/>
  <c r="F19" i="14"/>
  <c r="H19" i="14"/>
  <c r="F20" i="14"/>
  <c r="H20" i="14"/>
  <c r="F21" i="14"/>
  <c r="H21" i="14"/>
  <c r="F22" i="14"/>
  <c r="H22" i="14"/>
  <c r="F23" i="14"/>
  <c r="H23" i="14"/>
  <c r="F24" i="14"/>
  <c r="H24" i="14"/>
  <c r="F25" i="14"/>
  <c r="H25" i="14"/>
  <c r="F26" i="14"/>
  <c r="H26" i="14"/>
  <c r="F27" i="14"/>
  <c r="H27" i="14"/>
  <c r="F28" i="14"/>
  <c r="H28" i="14"/>
  <c r="F29" i="14"/>
  <c r="H29" i="14"/>
  <c r="F30" i="14"/>
  <c r="H30" i="14"/>
  <c r="F31" i="14"/>
  <c r="H31" i="14"/>
  <c r="F32" i="14"/>
  <c r="H32" i="14"/>
  <c r="F33" i="14"/>
  <c r="H33" i="14"/>
  <c r="F34" i="14"/>
  <c r="H34" i="14"/>
  <c r="F35" i="14"/>
  <c r="H35" i="14"/>
  <c r="F36" i="14"/>
  <c r="H36" i="14"/>
  <c r="F37" i="14"/>
  <c r="H37" i="14"/>
  <c r="F38" i="14"/>
  <c r="H38" i="14"/>
  <c r="F39" i="14"/>
  <c r="H39" i="14"/>
  <c r="F40" i="14"/>
  <c r="H40" i="14"/>
  <c r="F41" i="14"/>
  <c r="H41" i="14"/>
  <c r="F42" i="14"/>
  <c r="H42" i="14"/>
  <c r="F43" i="14"/>
  <c r="H43" i="14"/>
  <c r="F44" i="14"/>
  <c r="H44" i="14"/>
  <c r="F45" i="14"/>
  <c r="H45" i="14"/>
  <c r="F46" i="14"/>
  <c r="H46" i="14"/>
  <c r="F47" i="14"/>
  <c r="H47" i="14"/>
  <c r="F48" i="14"/>
  <c r="H48" i="14"/>
  <c r="F49" i="14"/>
  <c r="H49" i="14"/>
  <c r="F50" i="14"/>
  <c r="H50" i="14"/>
  <c r="F51" i="14"/>
  <c r="H51" i="14"/>
  <c r="F52" i="14"/>
  <c r="H52" i="14"/>
  <c r="F53" i="14"/>
  <c r="H53" i="14"/>
  <c r="F54" i="14"/>
  <c r="H54" i="14"/>
  <c r="F55" i="14"/>
  <c r="H55" i="14"/>
  <c r="F56" i="14"/>
  <c r="H56" i="14"/>
  <c r="F57" i="14"/>
  <c r="H57" i="14"/>
  <c r="F58" i="14"/>
  <c r="H58" i="14"/>
  <c r="F59" i="14"/>
  <c r="H59" i="14"/>
  <c r="F60" i="14"/>
  <c r="H60" i="14"/>
  <c r="F61" i="14"/>
  <c r="H61" i="14"/>
  <c r="F62" i="14"/>
  <c r="H62" i="14"/>
  <c r="F63" i="14"/>
  <c r="H63" i="14"/>
  <c r="F64" i="14"/>
  <c r="H64" i="14"/>
  <c r="F65" i="14"/>
  <c r="H65" i="14"/>
  <c r="F66" i="14"/>
  <c r="H66" i="14"/>
  <c r="F67" i="14"/>
  <c r="H67" i="14"/>
  <c r="F68" i="14"/>
  <c r="H68" i="14"/>
  <c r="F69" i="14"/>
  <c r="H69" i="14"/>
  <c r="F70" i="14"/>
  <c r="H70" i="14"/>
  <c r="F71" i="14"/>
  <c r="H71" i="14"/>
  <c r="F72" i="14"/>
  <c r="H72" i="14"/>
  <c r="F73" i="14"/>
  <c r="H73" i="14"/>
  <c r="F74" i="14"/>
  <c r="H74" i="14"/>
  <c r="F75" i="14"/>
  <c r="H75" i="14"/>
  <c r="F76" i="14"/>
  <c r="H76" i="14"/>
  <c r="F77" i="14"/>
  <c r="H77" i="14"/>
  <c r="F78" i="14"/>
  <c r="H78" i="14"/>
  <c r="F79" i="14"/>
  <c r="H79" i="14"/>
  <c r="F80" i="14"/>
  <c r="H80" i="14"/>
  <c r="F81" i="14"/>
  <c r="H81" i="14"/>
  <c r="F82" i="14"/>
  <c r="H82" i="14"/>
  <c r="F83" i="14"/>
  <c r="H83" i="14"/>
  <c r="F84" i="14"/>
  <c r="H84" i="14"/>
  <c r="F85" i="14"/>
  <c r="H85" i="14"/>
  <c r="F86" i="14"/>
  <c r="H86" i="14"/>
  <c r="F87" i="14"/>
  <c r="H87" i="14"/>
  <c r="F88" i="14"/>
  <c r="H88" i="14"/>
  <c r="F89" i="14"/>
  <c r="H89" i="14"/>
  <c r="F90" i="14"/>
  <c r="H90" i="14"/>
  <c r="F91" i="14"/>
  <c r="H91" i="14"/>
  <c r="F92" i="14"/>
  <c r="H92" i="14"/>
  <c r="F93" i="14"/>
  <c r="H93" i="14"/>
  <c r="F94" i="14"/>
  <c r="H94" i="14"/>
  <c r="F95" i="14"/>
  <c r="H95" i="14"/>
  <c r="F96" i="14"/>
  <c r="H96" i="14"/>
  <c r="F97" i="14"/>
  <c r="H97" i="14"/>
  <c r="F98" i="14"/>
  <c r="H98" i="14"/>
  <c r="F99" i="14"/>
  <c r="H99" i="14"/>
  <c r="F100" i="14"/>
  <c r="H100" i="14"/>
  <c r="F101" i="14"/>
  <c r="H101" i="14"/>
  <c r="F102" i="14"/>
  <c r="H102" i="14"/>
  <c r="F103" i="14"/>
  <c r="H103" i="14"/>
  <c r="F104" i="14"/>
  <c r="H104" i="14"/>
  <c r="F105" i="14"/>
  <c r="H105" i="14"/>
  <c r="F106" i="14"/>
  <c r="H106" i="14"/>
  <c r="F107" i="14"/>
  <c r="H107" i="14"/>
  <c r="F108" i="14"/>
  <c r="H108" i="14"/>
  <c r="F109" i="14"/>
  <c r="H109" i="14"/>
  <c r="F110" i="14"/>
  <c r="H110" i="14"/>
  <c r="F111" i="14"/>
  <c r="H111" i="14"/>
  <c r="F112" i="14"/>
  <c r="H112" i="14"/>
  <c r="F113" i="14"/>
  <c r="H113" i="14"/>
  <c r="F114" i="14"/>
  <c r="H114" i="14"/>
  <c r="F115" i="14"/>
  <c r="H115" i="14"/>
  <c r="F116" i="14"/>
  <c r="H116" i="14"/>
  <c r="F117" i="14"/>
  <c r="H117" i="14"/>
  <c r="F118" i="14"/>
  <c r="H118" i="14"/>
  <c r="F119" i="14"/>
  <c r="H119" i="14"/>
  <c r="F120" i="14"/>
  <c r="H120" i="14"/>
  <c r="F121" i="14"/>
  <c r="H121" i="14"/>
  <c r="F122" i="14"/>
  <c r="H122" i="14"/>
  <c r="F123" i="14"/>
  <c r="H123" i="14"/>
  <c r="F124" i="14"/>
  <c r="H124" i="14"/>
  <c r="F125" i="14"/>
  <c r="H125" i="14"/>
  <c r="F126" i="14"/>
  <c r="H126" i="14"/>
  <c r="F127" i="14"/>
  <c r="H127" i="14"/>
  <c r="F128" i="14"/>
  <c r="H128" i="14"/>
  <c r="F129" i="14"/>
  <c r="H129" i="14"/>
  <c r="F130" i="14"/>
  <c r="H130" i="14"/>
  <c r="F131" i="14"/>
  <c r="H131" i="14"/>
  <c r="F132" i="14"/>
  <c r="H132" i="14"/>
  <c r="F133" i="14"/>
  <c r="H133" i="14"/>
  <c r="F134" i="14"/>
  <c r="H134" i="14"/>
  <c r="F135" i="14"/>
  <c r="H135" i="14"/>
  <c r="F136" i="14"/>
  <c r="H136" i="14"/>
  <c r="F137" i="14"/>
  <c r="H137" i="14"/>
  <c r="F138" i="14"/>
  <c r="H138" i="14"/>
  <c r="F139" i="14"/>
  <c r="H139" i="14"/>
  <c r="F140" i="14"/>
  <c r="H140" i="14"/>
  <c r="F141" i="14"/>
  <c r="H141" i="14"/>
  <c r="F142" i="14"/>
  <c r="H142" i="14"/>
  <c r="F143" i="14"/>
  <c r="H143" i="14"/>
  <c r="F144" i="14"/>
  <c r="H144" i="14"/>
  <c r="F145" i="14"/>
  <c r="H145" i="14"/>
  <c r="F146" i="14"/>
  <c r="H146" i="14"/>
  <c r="F147" i="14"/>
  <c r="H147" i="14"/>
  <c r="F148" i="14"/>
  <c r="H148" i="14"/>
  <c r="F149" i="14"/>
  <c r="H149" i="14"/>
  <c r="F150" i="14"/>
  <c r="H150" i="14"/>
  <c r="F151" i="14"/>
  <c r="H151" i="14"/>
  <c r="F152" i="14"/>
  <c r="H152" i="14"/>
  <c r="F153" i="14"/>
  <c r="H153" i="14"/>
  <c r="F154" i="14"/>
  <c r="H154" i="14"/>
  <c r="F155" i="14"/>
  <c r="H155" i="14"/>
  <c r="F156" i="14"/>
  <c r="H156" i="14"/>
  <c r="F157" i="14"/>
  <c r="H157" i="14"/>
  <c r="F158" i="14"/>
  <c r="H158" i="14"/>
  <c r="F159" i="14"/>
  <c r="H159" i="14"/>
  <c r="F160" i="14"/>
  <c r="H160" i="14"/>
  <c r="F161" i="14"/>
  <c r="H161" i="14"/>
  <c r="F162" i="14"/>
  <c r="H162" i="14"/>
  <c r="F163" i="14"/>
  <c r="H163" i="14"/>
  <c r="F164" i="14"/>
  <c r="H164" i="14"/>
  <c r="F165" i="14"/>
  <c r="H165" i="14"/>
  <c r="F166" i="14"/>
  <c r="H166" i="14"/>
  <c r="F167" i="14"/>
  <c r="H167" i="14"/>
  <c r="F168" i="14"/>
  <c r="H168" i="14"/>
  <c r="F169" i="14"/>
  <c r="H169" i="14"/>
  <c r="F170" i="14"/>
  <c r="H170" i="14"/>
  <c r="F171" i="14"/>
  <c r="H171" i="14"/>
  <c r="F172" i="14"/>
  <c r="H172" i="14"/>
  <c r="F173" i="14"/>
  <c r="H173" i="14"/>
  <c r="F174" i="14"/>
  <c r="H174" i="14"/>
  <c r="F175" i="14"/>
  <c r="H175" i="14"/>
  <c r="F176" i="14"/>
  <c r="H176" i="14"/>
  <c r="F177" i="14"/>
  <c r="H177" i="14"/>
  <c r="F178" i="14"/>
  <c r="H178" i="14"/>
  <c r="F179" i="14"/>
  <c r="H179" i="14"/>
  <c r="F180" i="14"/>
  <c r="H180" i="14"/>
  <c r="F181" i="14"/>
  <c r="H181" i="14"/>
  <c r="F182" i="14"/>
  <c r="H182" i="14"/>
  <c r="F183" i="14"/>
  <c r="H183" i="14"/>
  <c r="F184" i="14"/>
  <c r="H184" i="14"/>
  <c r="F185" i="14"/>
  <c r="H185" i="14"/>
  <c r="F186" i="14"/>
  <c r="H186" i="14"/>
  <c r="F187" i="14"/>
  <c r="H187" i="14"/>
  <c r="F188" i="14"/>
  <c r="H188" i="14"/>
  <c r="F189" i="14"/>
  <c r="H189" i="14"/>
  <c r="F190" i="14"/>
  <c r="H190" i="14"/>
  <c r="F191" i="14"/>
  <c r="H191" i="14"/>
  <c r="F192" i="14"/>
  <c r="H192" i="14"/>
  <c r="F193" i="14"/>
  <c r="H193" i="14"/>
  <c r="F194" i="14"/>
  <c r="H194" i="14"/>
  <c r="F195" i="14"/>
  <c r="H195" i="14"/>
  <c r="F196" i="14"/>
  <c r="H196" i="14"/>
  <c r="F197" i="14"/>
  <c r="H197" i="14"/>
  <c r="F198" i="14"/>
  <c r="H198" i="14"/>
  <c r="F199" i="14"/>
  <c r="H199" i="14"/>
  <c r="F200" i="14"/>
  <c r="H200" i="14"/>
  <c r="F201" i="14"/>
  <c r="H201" i="14"/>
  <c r="F202" i="14"/>
  <c r="H202" i="14"/>
  <c r="F203" i="14"/>
  <c r="H203" i="14"/>
  <c r="F204" i="14"/>
  <c r="H204" i="14"/>
  <c r="F205" i="14"/>
  <c r="H205" i="14"/>
  <c r="F206" i="14"/>
  <c r="H206" i="14"/>
  <c r="F207" i="14"/>
  <c r="H207" i="14"/>
  <c r="F208" i="14"/>
  <c r="H208" i="14"/>
  <c r="F209" i="14"/>
  <c r="H209" i="14"/>
  <c r="F210" i="14"/>
  <c r="H210" i="14"/>
  <c r="F211" i="14"/>
  <c r="H211" i="14"/>
  <c r="F212" i="14"/>
  <c r="H212" i="14"/>
  <c r="F213" i="14"/>
  <c r="H213" i="14"/>
  <c r="F214" i="14"/>
  <c r="H214" i="14"/>
  <c r="F215" i="14"/>
  <c r="H215" i="14"/>
  <c r="F216" i="14"/>
  <c r="H216" i="14"/>
  <c r="F217" i="14"/>
  <c r="H217" i="14"/>
  <c r="F218" i="14"/>
  <c r="H218" i="14"/>
  <c r="F219" i="14"/>
  <c r="H219" i="14"/>
  <c r="F220" i="14"/>
  <c r="H220" i="14"/>
  <c r="F221" i="14"/>
  <c r="H221" i="14"/>
  <c r="F222" i="14"/>
  <c r="H222" i="14"/>
  <c r="F223" i="14"/>
  <c r="H223" i="14"/>
  <c r="F224" i="14"/>
  <c r="H224" i="14"/>
  <c r="F225" i="14"/>
  <c r="H225" i="14"/>
  <c r="F226" i="14"/>
  <c r="H226" i="14"/>
  <c r="F227" i="14"/>
  <c r="H227" i="14"/>
  <c r="F228" i="14"/>
  <c r="H228" i="14"/>
  <c r="F229" i="14"/>
  <c r="H229" i="14"/>
  <c r="F230" i="14"/>
  <c r="H230" i="14"/>
  <c r="F231" i="14"/>
  <c r="H231" i="14"/>
  <c r="F232" i="14"/>
  <c r="H232" i="14"/>
  <c r="F233" i="14"/>
  <c r="H233" i="14"/>
  <c r="F234" i="14"/>
  <c r="H234" i="14"/>
  <c r="F235" i="14"/>
  <c r="H235" i="14"/>
  <c r="F236" i="14"/>
  <c r="H236" i="14"/>
  <c r="F237" i="14"/>
  <c r="H237" i="14"/>
  <c r="F238" i="14"/>
  <c r="H238" i="14"/>
  <c r="F239" i="14"/>
  <c r="H239" i="14"/>
  <c r="F240" i="14"/>
  <c r="H240" i="14"/>
  <c r="F241" i="14"/>
  <c r="H241" i="14"/>
  <c r="F242" i="14"/>
  <c r="H242" i="14"/>
  <c r="F243" i="14"/>
  <c r="H243" i="14"/>
  <c r="F244" i="14"/>
  <c r="H244" i="14"/>
  <c r="F245" i="14"/>
  <c r="H245" i="14"/>
  <c r="F246" i="14"/>
  <c r="H246" i="14"/>
  <c r="F247" i="14"/>
  <c r="H247" i="14"/>
  <c r="F248" i="14"/>
  <c r="H248" i="14"/>
  <c r="F249" i="14"/>
  <c r="H249" i="14"/>
  <c r="F250" i="14"/>
  <c r="H250" i="14"/>
  <c r="F251" i="14"/>
  <c r="H251" i="14"/>
  <c r="F252" i="14"/>
  <c r="H252" i="14"/>
  <c r="F253" i="14"/>
  <c r="H253" i="14"/>
  <c r="F254" i="14"/>
  <c r="H254" i="14"/>
  <c r="F255" i="14"/>
  <c r="H255" i="14"/>
  <c r="F256" i="14"/>
  <c r="H256" i="14"/>
  <c r="F257" i="14"/>
  <c r="H257" i="14"/>
  <c r="F258" i="14"/>
  <c r="H258" i="14"/>
  <c r="F259" i="14"/>
  <c r="H259" i="14"/>
  <c r="F260" i="14"/>
  <c r="H260" i="14"/>
  <c r="F261" i="14"/>
  <c r="H261" i="14"/>
  <c r="F262" i="14"/>
  <c r="H262" i="14"/>
  <c r="F263" i="14"/>
  <c r="H263" i="14"/>
  <c r="F264" i="14"/>
  <c r="H264" i="14"/>
  <c r="F265" i="14"/>
  <c r="H265" i="14"/>
  <c r="F266" i="14"/>
  <c r="H266" i="14"/>
  <c r="F267" i="14"/>
  <c r="H267" i="14"/>
  <c r="F268" i="14"/>
  <c r="H268" i="14"/>
  <c r="F269" i="14"/>
  <c r="H269" i="14"/>
  <c r="F270" i="14"/>
  <c r="H270" i="14"/>
  <c r="F271" i="14"/>
  <c r="H271" i="14"/>
  <c r="F272" i="14"/>
  <c r="H272" i="14"/>
  <c r="F273" i="14"/>
  <c r="H273" i="14"/>
  <c r="F274" i="14"/>
  <c r="H274" i="14"/>
  <c r="F275" i="14"/>
  <c r="H275" i="14"/>
  <c r="F276" i="14"/>
  <c r="H276" i="14"/>
  <c r="F277" i="14"/>
  <c r="H277" i="14"/>
  <c r="F278" i="14"/>
  <c r="H278" i="14"/>
  <c r="F279" i="14"/>
  <c r="H279" i="14"/>
  <c r="F280" i="14"/>
  <c r="H280" i="14"/>
  <c r="F281" i="14"/>
  <c r="H281" i="14"/>
  <c r="F282" i="14"/>
  <c r="H282" i="14"/>
  <c r="F283" i="14"/>
  <c r="H283" i="14"/>
  <c r="F284" i="14"/>
  <c r="H284" i="14"/>
  <c r="F285" i="14"/>
  <c r="H285" i="14"/>
  <c r="F286" i="14"/>
  <c r="H286" i="14"/>
  <c r="F287" i="14"/>
  <c r="H287" i="14"/>
  <c r="F288" i="14"/>
  <c r="H288" i="14"/>
  <c r="F289" i="14"/>
  <c r="H289" i="14"/>
  <c r="F290" i="14"/>
  <c r="H290" i="14"/>
  <c r="F291" i="14"/>
  <c r="H291" i="14"/>
  <c r="F292" i="14"/>
  <c r="H292" i="14"/>
  <c r="F293" i="14"/>
  <c r="H293" i="14"/>
  <c r="F294" i="14"/>
  <c r="H294" i="14"/>
  <c r="F295" i="14"/>
  <c r="H295" i="14"/>
  <c r="F296" i="14"/>
  <c r="H296" i="14"/>
  <c r="F297" i="14"/>
  <c r="H297" i="14"/>
  <c r="F298" i="14"/>
  <c r="H298" i="14"/>
  <c r="F299" i="14"/>
  <c r="H299" i="14"/>
  <c r="F300" i="14"/>
  <c r="H300" i="14"/>
  <c r="F301" i="14"/>
  <c r="H301" i="14"/>
  <c r="F302" i="14"/>
  <c r="H302" i="14"/>
  <c r="F303" i="14"/>
  <c r="H303" i="14"/>
  <c r="F304" i="14"/>
  <c r="H304" i="14"/>
  <c r="F305" i="14"/>
  <c r="H305" i="14"/>
  <c r="F306" i="14"/>
  <c r="H306" i="14"/>
  <c r="F307" i="14"/>
  <c r="H307" i="14"/>
  <c r="F308" i="14"/>
  <c r="H308" i="14"/>
  <c r="F309" i="14"/>
  <c r="H309" i="14"/>
  <c r="F310" i="14"/>
  <c r="H310" i="14"/>
  <c r="F311" i="14"/>
  <c r="H311" i="14"/>
  <c r="F312" i="14"/>
  <c r="H312" i="14"/>
  <c r="F313" i="14"/>
  <c r="H313" i="14"/>
  <c r="F314" i="14"/>
  <c r="H314" i="14"/>
  <c r="F315" i="14"/>
  <c r="H315" i="14"/>
  <c r="F316" i="14"/>
  <c r="H316" i="14"/>
  <c r="F317" i="14"/>
  <c r="H317" i="14"/>
  <c r="F318" i="14"/>
  <c r="H318" i="14"/>
  <c r="F319" i="14"/>
  <c r="H319" i="14"/>
  <c r="F320" i="14"/>
  <c r="H320" i="14"/>
  <c r="F321" i="14"/>
  <c r="H321" i="14"/>
  <c r="F322" i="14"/>
  <c r="H322" i="14"/>
  <c r="F323" i="14"/>
  <c r="H323" i="14"/>
  <c r="F324" i="14"/>
  <c r="H324" i="14"/>
  <c r="F325" i="14"/>
  <c r="H325" i="14"/>
  <c r="F326" i="14"/>
  <c r="H326" i="14"/>
  <c r="F327" i="14"/>
  <c r="H327" i="14"/>
  <c r="F328" i="14"/>
  <c r="H328" i="14"/>
  <c r="F329" i="14"/>
  <c r="H329" i="14"/>
  <c r="F330" i="14"/>
  <c r="H330" i="14"/>
  <c r="F331" i="14"/>
  <c r="H331" i="14"/>
  <c r="F332" i="14"/>
  <c r="H332" i="14"/>
  <c r="F333" i="14"/>
  <c r="H333" i="14"/>
  <c r="F334" i="14"/>
  <c r="H334" i="14"/>
  <c r="F335" i="14"/>
  <c r="H335" i="14"/>
  <c r="F336" i="14"/>
  <c r="H336" i="14"/>
  <c r="F337" i="14"/>
  <c r="H337" i="14"/>
  <c r="F338" i="14"/>
  <c r="H338" i="14"/>
  <c r="F339" i="14"/>
  <c r="H339" i="14"/>
  <c r="F340" i="14"/>
  <c r="H340" i="14"/>
  <c r="F341" i="14"/>
  <c r="H341" i="14"/>
  <c r="F342" i="14"/>
  <c r="H342" i="14"/>
  <c r="F343" i="14"/>
  <c r="H343" i="14"/>
  <c r="F344" i="14"/>
  <c r="H344" i="14"/>
  <c r="F345" i="14"/>
  <c r="H345" i="14"/>
  <c r="F346" i="14"/>
  <c r="H346" i="14"/>
  <c r="F347" i="14"/>
  <c r="H347" i="14"/>
  <c r="F348" i="14"/>
  <c r="H348" i="14"/>
  <c r="F349" i="14"/>
  <c r="H349" i="14"/>
  <c r="F350" i="14"/>
  <c r="H350" i="14"/>
  <c r="F351" i="14"/>
  <c r="H351" i="14"/>
  <c r="F352" i="14"/>
  <c r="H352" i="14"/>
  <c r="F353" i="14"/>
  <c r="H353" i="14"/>
  <c r="F354" i="14"/>
  <c r="H354" i="14"/>
  <c r="F355" i="14"/>
  <c r="H355" i="14"/>
  <c r="F356" i="14"/>
  <c r="H356" i="14"/>
  <c r="F357" i="14"/>
  <c r="H357" i="14"/>
  <c r="F358" i="14"/>
  <c r="H358" i="14"/>
  <c r="F359" i="14"/>
  <c r="H359" i="14"/>
  <c r="F360" i="14"/>
  <c r="H360" i="14"/>
  <c r="F361" i="14"/>
  <c r="H361" i="14"/>
  <c r="F362" i="14"/>
  <c r="H362" i="14"/>
  <c r="F363" i="14"/>
  <c r="H363" i="14"/>
  <c r="F364" i="14"/>
  <c r="H364" i="14"/>
  <c r="F365" i="14"/>
  <c r="H365" i="14"/>
  <c r="F366" i="14"/>
  <c r="H366" i="14"/>
  <c r="F367" i="14"/>
  <c r="H367" i="14"/>
  <c r="F368" i="14"/>
  <c r="H368" i="14"/>
  <c r="F369" i="14"/>
  <c r="H369" i="14"/>
  <c r="F370" i="14"/>
  <c r="H370" i="14"/>
  <c r="F371" i="14"/>
  <c r="H371" i="14"/>
  <c r="F372" i="14"/>
  <c r="H372" i="14"/>
  <c r="F373" i="14"/>
  <c r="H373" i="14"/>
  <c r="F374" i="14"/>
  <c r="H374" i="14"/>
  <c r="F375" i="14"/>
  <c r="H375" i="14"/>
  <c r="F376" i="14"/>
  <c r="H376" i="14"/>
  <c r="F377" i="14"/>
  <c r="H377" i="14"/>
  <c r="F378" i="14"/>
  <c r="H378" i="14"/>
  <c r="F379" i="14"/>
  <c r="H379" i="14"/>
  <c r="F380" i="14"/>
  <c r="H380" i="14"/>
  <c r="F381" i="14"/>
  <c r="H381" i="14"/>
  <c r="F382" i="14"/>
  <c r="H382" i="14"/>
  <c r="F383" i="14"/>
  <c r="H383" i="14"/>
  <c r="F384" i="14"/>
  <c r="H384" i="14"/>
  <c r="F385" i="14"/>
  <c r="H385" i="14"/>
  <c r="F386" i="14"/>
  <c r="H386" i="14"/>
  <c r="F387" i="14"/>
  <c r="H387" i="14"/>
  <c r="F388" i="14"/>
  <c r="H388" i="14"/>
  <c r="F389" i="14"/>
  <c r="H389" i="14"/>
  <c r="F390" i="14"/>
  <c r="H390" i="14"/>
  <c r="F391" i="14"/>
  <c r="H391" i="14"/>
  <c r="F392" i="14"/>
  <c r="H392" i="14"/>
  <c r="F393" i="14"/>
  <c r="H393" i="14"/>
  <c r="F394" i="14"/>
  <c r="H394" i="14"/>
  <c r="F395" i="14"/>
  <c r="H395" i="14"/>
  <c r="F396" i="14"/>
  <c r="H396" i="14"/>
  <c r="F397" i="14"/>
  <c r="H397" i="14"/>
  <c r="F398" i="14"/>
  <c r="H398" i="14"/>
  <c r="F399" i="14"/>
  <c r="H399" i="14"/>
  <c r="F400" i="14"/>
  <c r="H400" i="14"/>
  <c r="F401" i="14"/>
  <c r="H401" i="14"/>
  <c r="F402" i="14"/>
  <c r="H402" i="14"/>
  <c r="F403" i="14"/>
  <c r="H403" i="14"/>
  <c r="F404" i="14"/>
  <c r="H404" i="14"/>
  <c r="F405" i="14"/>
  <c r="H405" i="14"/>
  <c r="F406" i="14"/>
  <c r="H406" i="14"/>
  <c r="F407" i="14"/>
  <c r="H407" i="14"/>
  <c r="F408" i="14"/>
  <c r="H408" i="14"/>
  <c r="F409" i="14"/>
  <c r="H409" i="14"/>
  <c r="F410" i="14"/>
  <c r="H410" i="14"/>
  <c r="F411" i="14"/>
  <c r="H411" i="14"/>
  <c r="F412" i="14"/>
  <c r="H412" i="14"/>
  <c r="F413" i="14"/>
  <c r="H413" i="14"/>
  <c r="F414" i="14"/>
  <c r="H414" i="14"/>
  <c r="F415" i="14"/>
  <c r="H415" i="14"/>
  <c r="F416" i="14"/>
  <c r="H416" i="14"/>
  <c r="F417" i="14"/>
  <c r="H417" i="14"/>
  <c r="F418" i="14"/>
  <c r="H418" i="14"/>
  <c r="F419" i="14"/>
  <c r="H419" i="14"/>
  <c r="F420" i="14"/>
  <c r="H420" i="14"/>
  <c r="F421" i="14"/>
  <c r="H421" i="14"/>
  <c r="F422" i="14"/>
  <c r="H422" i="14"/>
  <c r="F423" i="14"/>
  <c r="H423" i="14"/>
  <c r="F424" i="14"/>
  <c r="H424" i="14"/>
  <c r="F425" i="14"/>
  <c r="H425" i="14"/>
  <c r="F426" i="14"/>
  <c r="H426" i="14"/>
  <c r="F427" i="14"/>
  <c r="H427" i="14"/>
  <c r="F428" i="14"/>
  <c r="H428" i="14"/>
  <c r="F429" i="14"/>
  <c r="H429" i="14"/>
  <c r="F430" i="14"/>
  <c r="H430" i="14"/>
  <c r="F431" i="14"/>
  <c r="H431" i="14"/>
  <c r="F432" i="14"/>
  <c r="H432" i="14"/>
  <c r="F433" i="14"/>
  <c r="H433" i="14"/>
  <c r="F434" i="14"/>
  <c r="H434" i="14"/>
  <c r="F435" i="14"/>
  <c r="H435" i="14"/>
  <c r="F436" i="14"/>
  <c r="H436" i="14"/>
  <c r="F437" i="14"/>
  <c r="H437" i="14"/>
  <c r="F438" i="14"/>
  <c r="H438" i="14"/>
  <c r="F439" i="14"/>
  <c r="H439" i="14"/>
  <c r="F440" i="14"/>
  <c r="H440" i="14"/>
  <c r="F441" i="14"/>
  <c r="H441" i="14"/>
  <c r="F442" i="14"/>
  <c r="H442" i="14"/>
  <c r="F443" i="14"/>
  <c r="H443" i="14"/>
  <c r="F444" i="14"/>
  <c r="H444" i="14"/>
  <c r="F445" i="14"/>
  <c r="H445" i="14"/>
  <c r="F446" i="14"/>
  <c r="H446" i="14"/>
  <c r="F447" i="14"/>
  <c r="H447" i="14"/>
  <c r="F448" i="14"/>
  <c r="H448" i="14"/>
  <c r="F449" i="14"/>
  <c r="H449" i="14"/>
  <c r="F450" i="14"/>
  <c r="H450" i="14"/>
  <c r="F451" i="14"/>
  <c r="H451" i="14"/>
  <c r="F452" i="14"/>
  <c r="H452" i="14"/>
  <c r="F453" i="14"/>
  <c r="H453" i="14"/>
  <c r="F454" i="14"/>
  <c r="H454" i="14"/>
  <c r="F455" i="14"/>
  <c r="H455" i="14"/>
  <c r="F456" i="14"/>
  <c r="H456" i="14"/>
  <c r="F457" i="14"/>
  <c r="H457" i="14"/>
  <c r="F458" i="14"/>
  <c r="H458" i="14"/>
  <c r="F459" i="14"/>
  <c r="H459" i="14"/>
  <c r="F460" i="14"/>
  <c r="H460" i="14"/>
  <c r="F461" i="14"/>
  <c r="H461" i="14"/>
  <c r="F462" i="14"/>
  <c r="H462" i="14"/>
  <c r="F463" i="14"/>
  <c r="H463" i="14"/>
  <c r="F464" i="14"/>
  <c r="H464" i="14"/>
  <c r="F465" i="14"/>
  <c r="H465" i="14"/>
  <c r="F466" i="14"/>
  <c r="H466" i="14"/>
  <c r="F467" i="14"/>
  <c r="H467" i="14"/>
  <c r="F468" i="14"/>
  <c r="H468" i="14"/>
  <c r="F469" i="14"/>
  <c r="H469" i="14"/>
  <c r="F470" i="14"/>
  <c r="H470" i="14"/>
  <c r="F471" i="14"/>
  <c r="H471" i="14"/>
  <c r="F472" i="14"/>
  <c r="H472" i="14"/>
  <c r="F473" i="14"/>
  <c r="H473" i="14"/>
  <c r="F474" i="14"/>
  <c r="H474" i="14"/>
  <c r="F475" i="14"/>
  <c r="H475" i="14"/>
  <c r="F476" i="14"/>
  <c r="H476" i="14"/>
  <c r="F477" i="14"/>
  <c r="H477" i="14"/>
  <c r="F478" i="14"/>
  <c r="H478" i="14"/>
  <c r="F479" i="14"/>
  <c r="H479" i="14"/>
  <c r="F480" i="14"/>
  <c r="H480" i="14"/>
  <c r="F481" i="14"/>
  <c r="H481" i="14"/>
  <c r="F482" i="14"/>
  <c r="H482" i="14"/>
  <c r="F483" i="14"/>
  <c r="H483" i="14"/>
  <c r="F484" i="14"/>
  <c r="H484" i="14"/>
  <c r="F485" i="14"/>
  <c r="H485" i="14"/>
  <c r="F486" i="14"/>
  <c r="H486" i="14"/>
  <c r="F487" i="14"/>
  <c r="H487" i="14"/>
  <c r="F488" i="14"/>
  <c r="H488" i="14"/>
  <c r="F489" i="14"/>
  <c r="H489" i="14"/>
  <c r="F490" i="14"/>
  <c r="H490" i="14"/>
  <c r="F491" i="14"/>
  <c r="H491" i="14"/>
  <c r="F492" i="14"/>
  <c r="H492" i="14"/>
  <c r="F493" i="14"/>
  <c r="H493" i="14"/>
  <c r="F494" i="14"/>
  <c r="H494" i="14"/>
  <c r="F495" i="14"/>
  <c r="H495" i="14"/>
  <c r="F496" i="14"/>
  <c r="H496" i="14"/>
  <c r="F497" i="14"/>
  <c r="H497" i="14"/>
  <c r="F498" i="14"/>
  <c r="H498" i="14"/>
  <c r="F499" i="14"/>
  <c r="H499" i="14"/>
  <c r="F500" i="14"/>
  <c r="H500" i="14"/>
  <c r="F501" i="14"/>
  <c r="H501" i="14"/>
  <c r="F502" i="14"/>
  <c r="H502" i="14"/>
  <c r="F503" i="14"/>
  <c r="H503" i="14"/>
  <c r="F504" i="14"/>
  <c r="H504" i="14"/>
  <c r="F505" i="14"/>
  <c r="H505" i="14"/>
  <c r="F506" i="14"/>
  <c r="H506" i="14"/>
  <c r="F507" i="14"/>
  <c r="H507" i="14"/>
  <c r="F508" i="14"/>
  <c r="H508" i="14"/>
  <c r="F509" i="14"/>
  <c r="H509" i="14"/>
  <c r="F510" i="14"/>
  <c r="H510" i="14"/>
  <c r="F511" i="14"/>
  <c r="H511" i="14"/>
  <c r="F512" i="14"/>
  <c r="H512" i="14"/>
  <c r="F513" i="14"/>
  <c r="H513" i="14"/>
  <c r="F514" i="14"/>
  <c r="H514" i="14"/>
  <c r="F515" i="14"/>
  <c r="H515" i="14"/>
  <c r="F516" i="14"/>
  <c r="H516" i="14"/>
  <c r="F517" i="14"/>
  <c r="H517" i="14"/>
  <c r="F518" i="14"/>
  <c r="H518" i="14"/>
  <c r="F519" i="14"/>
  <c r="H519" i="14"/>
  <c r="F520" i="14"/>
  <c r="H520" i="14"/>
  <c r="F521" i="14"/>
  <c r="H521" i="14"/>
  <c r="F522" i="14"/>
  <c r="H522" i="14"/>
  <c r="F523" i="14"/>
  <c r="H523" i="14"/>
  <c r="F524" i="14"/>
  <c r="H524" i="14"/>
  <c r="F525" i="14"/>
  <c r="H525" i="14"/>
  <c r="F526" i="14"/>
  <c r="H526" i="14"/>
  <c r="F527" i="14"/>
  <c r="H527" i="14"/>
  <c r="F528" i="14"/>
  <c r="H528" i="14"/>
  <c r="F529" i="14"/>
  <c r="H529" i="14"/>
  <c r="F530" i="14"/>
  <c r="H530" i="14"/>
  <c r="F531" i="14"/>
  <c r="H531" i="14"/>
  <c r="F532" i="14"/>
  <c r="H532" i="14"/>
  <c r="F533" i="14"/>
  <c r="H533" i="14"/>
  <c r="F534" i="14"/>
  <c r="H534" i="14"/>
  <c r="F535" i="14"/>
  <c r="H535" i="14"/>
  <c r="F536" i="14"/>
  <c r="H536" i="14"/>
  <c r="F537" i="14"/>
  <c r="H537" i="14"/>
  <c r="F538" i="14"/>
  <c r="H538" i="14"/>
  <c r="F539" i="14"/>
  <c r="H539" i="14"/>
  <c r="F540" i="14"/>
  <c r="H540" i="14"/>
  <c r="F541" i="14"/>
  <c r="H541" i="14"/>
  <c r="F542" i="14"/>
  <c r="H542" i="14"/>
  <c r="F543" i="14"/>
  <c r="H543" i="14"/>
  <c r="F544" i="14"/>
  <c r="H544" i="14"/>
  <c r="F545" i="14"/>
  <c r="H545" i="14"/>
  <c r="F546" i="14"/>
  <c r="H546" i="14"/>
  <c r="F547" i="14"/>
  <c r="H547" i="14"/>
  <c r="F548" i="14"/>
  <c r="H548" i="14"/>
  <c r="F549" i="14"/>
  <c r="H549" i="14"/>
  <c r="F550" i="14"/>
  <c r="H550" i="14"/>
  <c r="F551" i="14"/>
  <c r="H551" i="14"/>
  <c r="F552" i="14"/>
  <c r="H552" i="14"/>
  <c r="F553" i="14"/>
  <c r="H553" i="14"/>
  <c r="F554" i="14"/>
  <c r="H554" i="14"/>
  <c r="F555" i="14"/>
  <c r="H555" i="14"/>
  <c r="F556" i="14"/>
  <c r="H556" i="14"/>
  <c r="F557" i="14"/>
  <c r="H557" i="14"/>
  <c r="F558" i="14"/>
  <c r="H558" i="14"/>
  <c r="F559" i="14"/>
  <c r="H559" i="14"/>
  <c r="F560" i="14"/>
  <c r="H560" i="14"/>
  <c r="F561" i="14"/>
  <c r="H561" i="14"/>
  <c r="F562" i="14"/>
  <c r="H562" i="14"/>
  <c r="F563" i="14"/>
  <c r="H563" i="14"/>
  <c r="F564" i="14"/>
  <c r="H564" i="14"/>
  <c r="F565" i="14"/>
  <c r="H565" i="14"/>
  <c r="F566" i="14"/>
  <c r="H566" i="14"/>
  <c r="F567" i="14"/>
  <c r="H567" i="14"/>
  <c r="F568" i="14"/>
  <c r="H568" i="14"/>
  <c r="F569" i="14"/>
  <c r="H569" i="14"/>
  <c r="F570" i="14"/>
  <c r="H570" i="14"/>
  <c r="F571" i="14"/>
  <c r="H571" i="14"/>
  <c r="F572" i="14"/>
  <c r="H572" i="14"/>
  <c r="F573" i="14"/>
  <c r="H573" i="14"/>
  <c r="F574" i="14"/>
  <c r="H574" i="14"/>
  <c r="F575" i="14"/>
  <c r="H575" i="14"/>
  <c r="F576" i="14"/>
  <c r="H576" i="14"/>
  <c r="F577" i="14"/>
  <c r="H577" i="14"/>
  <c r="F578" i="14"/>
  <c r="H578" i="14"/>
  <c r="F579" i="14"/>
  <c r="H579" i="14"/>
  <c r="F580" i="14"/>
  <c r="H580" i="14"/>
  <c r="F581" i="14"/>
  <c r="H581" i="14"/>
  <c r="F582" i="14"/>
  <c r="H582" i="14"/>
  <c r="F583" i="14"/>
  <c r="H583" i="14"/>
  <c r="F584" i="14"/>
  <c r="H584" i="14"/>
  <c r="F585" i="14"/>
  <c r="H585" i="14"/>
  <c r="F586" i="14"/>
  <c r="H586" i="14"/>
  <c r="F587" i="14"/>
  <c r="H587" i="14"/>
  <c r="F588" i="14"/>
  <c r="H588" i="14"/>
  <c r="F589" i="14"/>
  <c r="H589" i="14"/>
  <c r="F590" i="14"/>
  <c r="H590" i="14"/>
  <c r="F591" i="14"/>
  <c r="H591" i="14"/>
  <c r="F592" i="14"/>
  <c r="H592" i="14"/>
  <c r="F593" i="14"/>
  <c r="H593" i="14"/>
  <c r="F594" i="14"/>
  <c r="H594" i="14"/>
  <c r="F595" i="14"/>
  <c r="H595" i="14"/>
  <c r="F596" i="14"/>
  <c r="H596" i="14"/>
  <c r="F597" i="14"/>
  <c r="H597" i="14"/>
  <c r="F598" i="14"/>
  <c r="H598" i="14"/>
  <c r="F599" i="14"/>
  <c r="H599" i="14"/>
  <c r="F600" i="14"/>
  <c r="H600" i="14"/>
  <c r="F601" i="14"/>
  <c r="H601" i="14"/>
  <c r="F602" i="14"/>
  <c r="H602" i="14"/>
  <c r="F603" i="14"/>
  <c r="H603" i="14"/>
  <c r="F604" i="14"/>
  <c r="H604" i="14"/>
  <c r="F605" i="14"/>
  <c r="H605" i="14"/>
  <c r="F606" i="14"/>
  <c r="H606" i="14"/>
  <c r="F607" i="14"/>
  <c r="H607" i="14"/>
  <c r="F608" i="14"/>
  <c r="H608" i="14"/>
  <c r="F609" i="14"/>
  <c r="H609" i="14"/>
  <c r="F610" i="14"/>
  <c r="H610" i="14"/>
  <c r="F611" i="14"/>
  <c r="H611" i="14"/>
  <c r="F612" i="14"/>
  <c r="H612" i="14"/>
  <c r="F613" i="14"/>
  <c r="H613" i="14"/>
  <c r="F614" i="14"/>
  <c r="H614" i="14"/>
  <c r="F615" i="14"/>
  <c r="H615" i="14"/>
  <c r="F616" i="14"/>
  <c r="H616" i="14"/>
  <c r="F617" i="14"/>
  <c r="H617" i="14"/>
  <c r="F618" i="14"/>
  <c r="H618" i="14"/>
  <c r="F619" i="14"/>
  <c r="H619" i="14"/>
  <c r="F620" i="14"/>
  <c r="H620" i="14"/>
  <c r="F621" i="14"/>
  <c r="H621" i="14"/>
  <c r="F622" i="14"/>
  <c r="H622" i="14"/>
  <c r="F623" i="14"/>
  <c r="H623" i="14"/>
  <c r="F624" i="14"/>
  <c r="H624" i="14"/>
  <c r="F625" i="14"/>
  <c r="H625" i="14"/>
  <c r="F626" i="14"/>
  <c r="H626" i="14"/>
  <c r="F627" i="14"/>
  <c r="H627" i="14"/>
  <c r="F628" i="14"/>
  <c r="H628" i="14"/>
  <c r="F629" i="14"/>
  <c r="H629" i="14"/>
  <c r="F630" i="14"/>
  <c r="H630" i="14"/>
  <c r="F631" i="14"/>
  <c r="H631" i="14"/>
  <c r="F632" i="14"/>
  <c r="H632" i="14"/>
  <c r="F633" i="14"/>
  <c r="H633" i="14"/>
  <c r="F634" i="14"/>
  <c r="H634" i="14"/>
  <c r="F635" i="14"/>
  <c r="H635" i="14"/>
  <c r="F636" i="14"/>
  <c r="H636" i="14"/>
  <c r="F637" i="14"/>
  <c r="H637" i="14"/>
  <c r="F638" i="14"/>
  <c r="H638" i="14"/>
  <c r="F639" i="14"/>
  <c r="H639" i="14"/>
  <c r="F640" i="14"/>
  <c r="H640" i="14"/>
  <c r="F641" i="14"/>
  <c r="H641" i="14"/>
  <c r="F642" i="14"/>
  <c r="H642" i="14"/>
  <c r="F643" i="14"/>
  <c r="H643" i="14"/>
  <c r="F644" i="14"/>
  <c r="H644" i="14"/>
  <c r="F645" i="14"/>
  <c r="H645" i="14"/>
  <c r="F646" i="14"/>
  <c r="H646" i="14"/>
  <c r="F647" i="14"/>
  <c r="H647" i="14"/>
  <c r="F648" i="14"/>
  <c r="H648" i="14"/>
  <c r="F649" i="14"/>
  <c r="H649" i="14"/>
  <c r="F650" i="14"/>
  <c r="H650" i="14"/>
  <c r="F651" i="14"/>
  <c r="H651" i="14"/>
  <c r="F652" i="14"/>
  <c r="H652" i="14"/>
  <c r="F653" i="14"/>
  <c r="H653" i="14"/>
  <c r="F654" i="14"/>
  <c r="H654" i="14"/>
  <c r="F655" i="14"/>
  <c r="H655" i="14"/>
  <c r="F656" i="14"/>
  <c r="H656" i="14"/>
  <c r="F657" i="14"/>
  <c r="H657" i="14"/>
  <c r="F658" i="14"/>
  <c r="H658" i="14"/>
  <c r="F659" i="14"/>
  <c r="H659" i="14"/>
  <c r="F660" i="14"/>
  <c r="H660" i="14"/>
  <c r="F661" i="14"/>
  <c r="H661" i="14"/>
  <c r="F662" i="14"/>
  <c r="H662" i="14"/>
  <c r="F663" i="14"/>
  <c r="H663" i="14"/>
  <c r="F664" i="14"/>
  <c r="H664" i="14"/>
  <c r="F665" i="14"/>
  <c r="H665" i="14"/>
  <c r="F666" i="14"/>
  <c r="H666" i="14"/>
  <c r="F667" i="14"/>
  <c r="H667" i="14"/>
  <c r="F668" i="14"/>
  <c r="H668" i="14"/>
  <c r="F669" i="14"/>
  <c r="H669" i="14"/>
  <c r="F670" i="14"/>
  <c r="H670" i="14"/>
  <c r="F671" i="14"/>
  <c r="H671" i="14"/>
  <c r="F672" i="14"/>
  <c r="H672" i="14"/>
  <c r="F673" i="14"/>
  <c r="H673" i="14"/>
  <c r="F674" i="14"/>
  <c r="H674" i="14"/>
  <c r="F675" i="14"/>
  <c r="H675" i="14"/>
  <c r="F676" i="14"/>
  <c r="H676" i="14"/>
  <c r="F677" i="14"/>
  <c r="H677" i="14"/>
  <c r="F678" i="14"/>
  <c r="H678" i="14"/>
  <c r="F679" i="14"/>
  <c r="H679" i="14"/>
  <c r="F680" i="14"/>
  <c r="H680" i="14"/>
  <c r="F681" i="14"/>
  <c r="H681" i="14"/>
  <c r="F682" i="14"/>
  <c r="H682" i="14"/>
  <c r="F683" i="14"/>
  <c r="H683" i="14"/>
  <c r="F684" i="14"/>
  <c r="H684" i="14"/>
  <c r="F685" i="14"/>
  <c r="H685" i="14"/>
  <c r="F686" i="14"/>
  <c r="H686" i="14"/>
  <c r="F687" i="14"/>
  <c r="H687" i="14"/>
  <c r="F688" i="14"/>
  <c r="H688" i="14"/>
  <c r="F689" i="14"/>
  <c r="H689" i="14"/>
  <c r="F690" i="14"/>
  <c r="H690" i="14"/>
  <c r="F691" i="14"/>
  <c r="H691" i="14"/>
  <c r="F692" i="14"/>
  <c r="H692" i="14"/>
  <c r="F693" i="14"/>
  <c r="H693" i="14"/>
  <c r="F694" i="14"/>
  <c r="H694" i="14"/>
  <c r="F695" i="14"/>
  <c r="H695" i="14"/>
  <c r="F696" i="14"/>
  <c r="H696" i="14"/>
  <c r="F697" i="14"/>
  <c r="H697" i="14"/>
  <c r="F698" i="14"/>
  <c r="H698" i="14"/>
  <c r="F699" i="14"/>
  <c r="H699" i="14"/>
  <c r="F700" i="14"/>
  <c r="H700" i="14"/>
  <c r="F701" i="14"/>
  <c r="H701" i="14"/>
  <c r="F702" i="14"/>
  <c r="H702" i="14"/>
  <c r="F703" i="14"/>
  <c r="H703" i="14"/>
  <c r="F704" i="14"/>
  <c r="H704" i="14"/>
  <c r="F705" i="14"/>
  <c r="H705" i="14"/>
  <c r="F706" i="14"/>
  <c r="H706" i="14"/>
  <c r="F707" i="14"/>
  <c r="H707" i="14"/>
  <c r="F708" i="14"/>
  <c r="H708" i="14"/>
  <c r="F709" i="14"/>
  <c r="H709" i="14"/>
  <c r="F710" i="14"/>
  <c r="H710" i="14"/>
  <c r="F711" i="14"/>
  <c r="H711" i="14"/>
  <c r="F712" i="14"/>
  <c r="H712" i="14"/>
  <c r="F713" i="14"/>
  <c r="H713" i="14"/>
  <c r="F714" i="14"/>
  <c r="H714" i="14"/>
  <c r="F715" i="14"/>
  <c r="H715" i="14"/>
  <c r="F716" i="14"/>
  <c r="H716" i="14"/>
  <c r="F717" i="14"/>
  <c r="H717" i="14"/>
  <c r="F718" i="14"/>
  <c r="H718" i="14"/>
  <c r="F719" i="14"/>
  <c r="H719" i="14"/>
  <c r="F720" i="14"/>
  <c r="H720" i="14"/>
  <c r="F721" i="14"/>
  <c r="H721" i="14"/>
  <c r="F722" i="14"/>
  <c r="H722" i="14"/>
  <c r="F723" i="14"/>
  <c r="H723" i="14"/>
  <c r="F724" i="14"/>
  <c r="H724" i="14"/>
  <c r="F725" i="14"/>
  <c r="H725" i="14"/>
  <c r="F726" i="14"/>
  <c r="H726" i="14"/>
  <c r="F727" i="14"/>
  <c r="H727" i="14"/>
  <c r="F728" i="14"/>
  <c r="H728" i="14"/>
  <c r="F729" i="14"/>
  <c r="H729" i="14"/>
  <c r="F730" i="14"/>
  <c r="H730" i="14"/>
  <c r="F731" i="14"/>
  <c r="H731" i="14"/>
  <c r="F732" i="14"/>
  <c r="H732" i="14"/>
  <c r="F733" i="14"/>
  <c r="H733" i="14"/>
  <c r="F734" i="14"/>
  <c r="H734" i="14"/>
  <c r="F735" i="14"/>
  <c r="H735" i="14"/>
  <c r="F736" i="14"/>
  <c r="H736" i="14"/>
  <c r="F737" i="14"/>
  <c r="H737" i="14"/>
  <c r="F738" i="14"/>
  <c r="H738" i="14"/>
  <c r="F739" i="14"/>
  <c r="H739" i="14"/>
  <c r="F740" i="14"/>
  <c r="H740" i="14"/>
  <c r="F741" i="14"/>
  <c r="H741" i="14"/>
  <c r="F742" i="14"/>
  <c r="H742" i="14"/>
  <c r="F743" i="14"/>
  <c r="H743" i="14"/>
  <c r="F744" i="14"/>
  <c r="H744" i="14"/>
  <c r="F745" i="14"/>
  <c r="H745" i="14"/>
  <c r="F746" i="14"/>
  <c r="H746" i="14"/>
  <c r="F747" i="14"/>
  <c r="H747" i="14"/>
  <c r="F748" i="14"/>
  <c r="H748" i="14"/>
  <c r="F749" i="14"/>
  <c r="H749" i="14"/>
  <c r="F750" i="14"/>
  <c r="H750" i="14"/>
  <c r="F751" i="14"/>
  <c r="H751" i="14"/>
  <c r="F752" i="14"/>
  <c r="H752" i="14"/>
  <c r="F753" i="14"/>
  <c r="H753" i="14"/>
  <c r="F754" i="14"/>
  <c r="H754" i="14"/>
  <c r="F755" i="14"/>
  <c r="H755" i="14"/>
  <c r="F756" i="14"/>
  <c r="H756" i="14"/>
  <c r="F757" i="14"/>
  <c r="H757" i="14"/>
  <c r="F758" i="14"/>
  <c r="H758" i="14"/>
  <c r="F759" i="14"/>
  <c r="H759" i="14"/>
  <c r="F760" i="14"/>
  <c r="H760" i="14"/>
  <c r="F761" i="14"/>
  <c r="H761" i="14"/>
  <c r="F762" i="14"/>
  <c r="H762" i="14"/>
  <c r="F763" i="14"/>
  <c r="H763" i="14"/>
  <c r="F764" i="14"/>
  <c r="H764" i="14"/>
  <c r="F765" i="14"/>
  <c r="H765" i="14"/>
  <c r="F766" i="14"/>
  <c r="H766" i="14"/>
  <c r="F767" i="14"/>
  <c r="H767" i="14"/>
  <c r="F768" i="14"/>
  <c r="H768" i="14"/>
  <c r="F769" i="14"/>
  <c r="H769" i="14"/>
  <c r="F770" i="14"/>
  <c r="H770" i="14"/>
  <c r="F771" i="14"/>
  <c r="H771" i="14"/>
  <c r="F772" i="14"/>
  <c r="H772" i="14"/>
  <c r="F773" i="14"/>
  <c r="H773" i="14"/>
  <c r="F774" i="14"/>
  <c r="H774" i="14"/>
  <c r="F775" i="14"/>
  <c r="H775" i="14"/>
  <c r="F776" i="14"/>
  <c r="H776" i="14"/>
  <c r="F777" i="14"/>
  <c r="H777" i="14"/>
  <c r="F778" i="14"/>
  <c r="H778" i="14"/>
  <c r="F779" i="14"/>
  <c r="H779" i="14"/>
  <c r="F780" i="14"/>
  <c r="H780" i="14"/>
  <c r="F781" i="14"/>
  <c r="H781" i="14"/>
  <c r="F782" i="14"/>
  <c r="H782" i="14"/>
  <c r="F783" i="14"/>
  <c r="H783" i="14"/>
  <c r="F784" i="14"/>
  <c r="H784" i="14"/>
  <c r="F785" i="14"/>
  <c r="H785" i="14"/>
  <c r="F786" i="14"/>
  <c r="H786" i="14"/>
  <c r="F787" i="14"/>
  <c r="H787" i="14"/>
  <c r="F788" i="14"/>
  <c r="H788" i="14"/>
  <c r="F789" i="14"/>
  <c r="H789" i="14"/>
  <c r="F790" i="14"/>
  <c r="H790" i="14"/>
  <c r="F791" i="14"/>
  <c r="H791" i="14"/>
  <c r="F792" i="14"/>
  <c r="H792" i="14"/>
  <c r="F793" i="14"/>
  <c r="H793" i="14"/>
  <c r="F794" i="14"/>
  <c r="H794" i="14"/>
  <c r="F795" i="14"/>
  <c r="H795" i="14"/>
  <c r="F796" i="14"/>
  <c r="H796" i="14"/>
  <c r="F797" i="14"/>
  <c r="H797" i="14"/>
  <c r="F798" i="14"/>
  <c r="H798" i="14"/>
  <c r="F799" i="14"/>
  <c r="H799" i="14"/>
  <c r="F800" i="14"/>
  <c r="H800" i="14"/>
  <c r="F801" i="14"/>
  <c r="H801" i="14"/>
  <c r="F802" i="14"/>
  <c r="H802" i="14"/>
  <c r="F803" i="14"/>
  <c r="H803" i="14"/>
  <c r="F804" i="14"/>
  <c r="H804" i="14"/>
  <c r="F805" i="14"/>
  <c r="H805" i="14"/>
  <c r="F806" i="14"/>
  <c r="H806" i="14"/>
  <c r="F807" i="14"/>
  <c r="H807" i="14"/>
  <c r="F808" i="14"/>
  <c r="H808" i="14"/>
  <c r="F809" i="14"/>
  <c r="H809" i="14"/>
  <c r="F810" i="14"/>
  <c r="H810" i="14"/>
  <c r="F811" i="14"/>
  <c r="H811" i="14"/>
  <c r="F812" i="14"/>
  <c r="H812" i="14"/>
  <c r="F813" i="14"/>
  <c r="H813" i="14"/>
  <c r="F814" i="14"/>
  <c r="H814" i="14"/>
  <c r="F815" i="14"/>
  <c r="H815" i="14"/>
  <c r="F816" i="14"/>
  <c r="H816" i="14"/>
  <c r="F817" i="14"/>
  <c r="H817" i="14"/>
  <c r="F818" i="14"/>
  <c r="H818" i="14"/>
  <c r="F819" i="14"/>
  <c r="H819" i="14"/>
  <c r="F820" i="14"/>
  <c r="H820" i="14"/>
  <c r="F821" i="14"/>
  <c r="H821" i="14"/>
  <c r="F822" i="14"/>
  <c r="H822" i="14"/>
  <c r="F823" i="14"/>
  <c r="H823" i="14"/>
  <c r="F824" i="14"/>
  <c r="H824" i="14"/>
  <c r="F825" i="14"/>
  <c r="H825" i="14"/>
  <c r="F826" i="14"/>
  <c r="H826" i="14"/>
  <c r="F827" i="14"/>
  <c r="H827" i="14"/>
  <c r="F828" i="14"/>
  <c r="H828" i="14"/>
  <c r="F829" i="14"/>
  <c r="H829" i="14"/>
  <c r="F830" i="14"/>
  <c r="H830" i="14"/>
  <c r="F831" i="14"/>
  <c r="H831" i="14"/>
  <c r="F832" i="14"/>
  <c r="H832" i="14"/>
  <c r="F833" i="14"/>
  <c r="H833" i="14"/>
  <c r="F834" i="14"/>
  <c r="H834" i="14"/>
  <c r="F835" i="14"/>
  <c r="H835" i="14"/>
  <c r="F836" i="14"/>
  <c r="H836" i="14"/>
  <c r="F837" i="14"/>
  <c r="H837" i="14"/>
  <c r="F838" i="14"/>
  <c r="H838" i="14"/>
  <c r="F839" i="14"/>
  <c r="H839" i="14"/>
  <c r="F840" i="14"/>
  <c r="H840" i="14"/>
  <c r="F841" i="14"/>
  <c r="H841" i="14"/>
  <c r="F842" i="14"/>
  <c r="H842" i="14"/>
  <c r="F843" i="14"/>
  <c r="H843" i="14"/>
  <c r="F844" i="14"/>
  <c r="H844" i="14"/>
  <c r="F845" i="14"/>
  <c r="H845" i="14"/>
  <c r="F846" i="14"/>
  <c r="H846" i="14"/>
  <c r="F847" i="14"/>
  <c r="H847" i="14"/>
  <c r="F848" i="14"/>
  <c r="H848" i="14"/>
  <c r="F849" i="14"/>
  <c r="H849" i="14"/>
  <c r="F850" i="14"/>
  <c r="H850" i="14"/>
  <c r="F851" i="14"/>
  <c r="H851" i="14"/>
  <c r="F852" i="14"/>
  <c r="H852" i="14"/>
  <c r="F853" i="14"/>
  <c r="H853" i="14"/>
  <c r="F854" i="14"/>
  <c r="H854" i="14"/>
  <c r="F855" i="14"/>
  <c r="H855" i="14"/>
  <c r="F856" i="14"/>
  <c r="H856" i="14"/>
  <c r="F857" i="14"/>
  <c r="H857" i="14"/>
  <c r="F858" i="14"/>
  <c r="H858" i="14"/>
  <c r="F859" i="14"/>
  <c r="H859" i="14"/>
  <c r="F860" i="14"/>
  <c r="H860" i="14"/>
  <c r="F861" i="14"/>
  <c r="H861" i="14"/>
  <c r="F862" i="14"/>
  <c r="H862" i="14"/>
  <c r="F863" i="14"/>
  <c r="H863" i="14"/>
  <c r="F864" i="14"/>
  <c r="H864" i="14"/>
  <c r="F865" i="14"/>
  <c r="H865" i="14"/>
  <c r="F866" i="14"/>
  <c r="H866" i="14"/>
  <c r="F867" i="14"/>
  <c r="H867" i="14"/>
  <c r="F868" i="14"/>
  <c r="H868" i="14"/>
  <c r="F869" i="14"/>
  <c r="H869" i="14"/>
  <c r="F870" i="14"/>
  <c r="H870" i="14"/>
  <c r="F871" i="14"/>
  <c r="H871" i="14"/>
  <c r="F872" i="14"/>
  <c r="H872" i="14"/>
  <c r="F873" i="14"/>
  <c r="H873" i="14"/>
  <c r="F874" i="14"/>
  <c r="H874" i="14"/>
  <c r="F875" i="14"/>
  <c r="H875" i="14"/>
  <c r="F876" i="14"/>
  <c r="H876" i="14"/>
  <c r="F877" i="14"/>
  <c r="H877" i="14"/>
  <c r="F878" i="14"/>
  <c r="H878" i="14"/>
  <c r="F879" i="14"/>
  <c r="H879" i="14"/>
  <c r="F880" i="14"/>
  <c r="H880" i="14"/>
  <c r="F881" i="14"/>
  <c r="H881" i="14"/>
  <c r="F882" i="14"/>
  <c r="H882" i="14"/>
  <c r="F883" i="14"/>
  <c r="H883" i="14"/>
  <c r="F884" i="14"/>
  <c r="H884" i="14"/>
  <c r="F885" i="14"/>
  <c r="H885" i="14"/>
  <c r="F886" i="14"/>
  <c r="H886" i="14"/>
  <c r="F887" i="14"/>
  <c r="H887" i="14"/>
  <c r="F888" i="14"/>
  <c r="H888" i="14"/>
  <c r="F889" i="14"/>
  <c r="H889" i="14"/>
  <c r="F890" i="14"/>
  <c r="H890" i="14"/>
  <c r="F891" i="14"/>
  <c r="H891" i="14"/>
  <c r="F892" i="14"/>
  <c r="H892" i="14"/>
  <c r="F893" i="14"/>
  <c r="H893" i="14"/>
  <c r="F894" i="14"/>
  <c r="H894" i="14"/>
  <c r="F895" i="14"/>
  <c r="H895" i="14"/>
  <c r="F896" i="14"/>
  <c r="H896" i="14"/>
  <c r="F897" i="14"/>
  <c r="H897" i="14"/>
  <c r="F898" i="14"/>
  <c r="H898" i="14"/>
  <c r="F899" i="14"/>
  <c r="H899" i="14"/>
  <c r="F900" i="14"/>
  <c r="H900" i="14"/>
  <c r="F901" i="14"/>
  <c r="H901" i="14"/>
  <c r="F902" i="14"/>
  <c r="H902" i="14"/>
  <c r="F903" i="14"/>
  <c r="H903" i="14"/>
  <c r="F904" i="14"/>
  <c r="H904" i="14"/>
  <c r="F905" i="14"/>
  <c r="H905" i="14"/>
  <c r="F906" i="14"/>
  <c r="H906" i="14"/>
  <c r="F907" i="14"/>
  <c r="H907" i="14"/>
  <c r="F908" i="14"/>
  <c r="H908" i="14"/>
  <c r="F909" i="14"/>
  <c r="H909" i="14"/>
  <c r="F910" i="14"/>
  <c r="H910" i="14"/>
  <c r="F911" i="14"/>
  <c r="H911" i="14"/>
  <c r="F912" i="14"/>
  <c r="H912" i="14"/>
  <c r="F913" i="14"/>
  <c r="H913" i="14"/>
  <c r="F914" i="14"/>
  <c r="H914" i="14"/>
  <c r="F915" i="14"/>
  <c r="H915" i="14"/>
  <c r="F916" i="14"/>
  <c r="H916" i="14"/>
  <c r="F917" i="14"/>
  <c r="H917" i="14"/>
  <c r="F918" i="14"/>
  <c r="H918" i="14"/>
  <c r="F919" i="14"/>
  <c r="H919" i="14"/>
  <c r="F920" i="14"/>
  <c r="H920" i="14"/>
  <c r="F921" i="14"/>
  <c r="H921" i="14"/>
  <c r="F922" i="14"/>
  <c r="H922" i="14"/>
  <c r="F923" i="14"/>
  <c r="H923" i="14"/>
  <c r="F924" i="14"/>
  <c r="H924" i="14"/>
  <c r="F925" i="14"/>
  <c r="H925" i="14"/>
  <c r="F926" i="14"/>
  <c r="H926" i="14"/>
  <c r="F927" i="14"/>
  <c r="H927" i="14"/>
  <c r="F928" i="14"/>
  <c r="H928" i="14"/>
  <c r="F929" i="14"/>
  <c r="H929" i="14"/>
  <c r="F930" i="14"/>
  <c r="H930" i="14"/>
  <c r="F931" i="14"/>
  <c r="H931" i="14"/>
  <c r="F932" i="14"/>
  <c r="H932" i="14"/>
  <c r="F933" i="14"/>
  <c r="H933" i="14"/>
  <c r="F934" i="14"/>
  <c r="H934" i="14"/>
  <c r="F935" i="14"/>
  <c r="H935" i="14"/>
  <c r="F936" i="14"/>
  <c r="H936" i="14"/>
  <c r="F937" i="14"/>
  <c r="H937" i="14"/>
  <c r="F938" i="14"/>
  <c r="H938" i="14"/>
  <c r="F939" i="14"/>
  <c r="H939" i="14"/>
  <c r="F940" i="14"/>
  <c r="H940" i="14"/>
  <c r="F941" i="14"/>
  <c r="H941" i="14"/>
  <c r="F942" i="14"/>
  <c r="H942" i="14"/>
  <c r="F943" i="14"/>
  <c r="H943" i="14"/>
  <c r="F944" i="14"/>
  <c r="H944" i="14"/>
  <c r="F945" i="14"/>
  <c r="H945" i="14"/>
  <c r="F946" i="14"/>
  <c r="H946" i="14"/>
  <c r="F947" i="14"/>
  <c r="H947" i="14"/>
  <c r="F948" i="14"/>
  <c r="H948" i="14"/>
  <c r="F949" i="14"/>
  <c r="H949" i="14"/>
  <c r="F950" i="14"/>
  <c r="H950" i="14"/>
  <c r="F951" i="14"/>
  <c r="H951" i="14"/>
  <c r="F952" i="14"/>
  <c r="H952" i="14"/>
  <c r="F953" i="14"/>
  <c r="H953" i="14"/>
  <c r="F954" i="14"/>
  <c r="H954" i="14"/>
  <c r="F955" i="14"/>
  <c r="H955" i="14"/>
  <c r="F956" i="14"/>
  <c r="H956" i="14"/>
  <c r="F957" i="14"/>
  <c r="H957" i="14"/>
  <c r="F958" i="14"/>
  <c r="H958" i="14"/>
  <c r="F959" i="14"/>
  <c r="H959" i="14"/>
  <c r="F960" i="14"/>
  <c r="H960" i="14"/>
  <c r="F961" i="14"/>
  <c r="H961" i="14"/>
  <c r="F962" i="14"/>
  <c r="H962" i="14"/>
  <c r="F963" i="14"/>
  <c r="H963" i="14"/>
  <c r="F964" i="14"/>
  <c r="H964" i="14"/>
  <c r="F965" i="14"/>
  <c r="H965" i="14"/>
  <c r="F966" i="14"/>
  <c r="H966" i="14"/>
  <c r="F967" i="14"/>
  <c r="H967" i="14"/>
  <c r="F968" i="14"/>
  <c r="H968" i="14"/>
  <c r="F969" i="14"/>
  <c r="H969" i="14"/>
  <c r="F970" i="14"/>
  <c r="H970" i="14"/>
  <c r="F971" i="14"/>
  <c r="H971" i="14"/>
  <c r="F972" i="14"/>
  <c r="H972" i="14"/>
  <c r="F973" i="14"/>
  <c r="H973" i="14"/>
  <c r="F974" i="14"/>
  <c r="H974" i="14"/>
  <c r="F975" i="14"/>
  <c r="H975" i="14"/>
  <c r="F976" i="14"/>
  <c r="H976" i="14"/>
  <c r="F977" i="14"/>
  <c r="H977" i="14"/>
  <c r="F978" i="14"/>
  <c r="H978" i="14"/>
  <c r="F979" i="14"/>
  <c r="H979" i="14"/>
  <c r="F980" i="14"/>
  <c r="H980" i="14"/>
  <c r="F981" i="14"/>
  <c r="H981" i="14"/>
  <c r="F982" i="14"/>
  <c r="H982" i="14"/>
  <c r="F983" i="14"/>
  <c r="H983" i="14"/>
  <c r="F984" i="14"/>
  <c r="H984" i="14"/>
  <c r="F985" i="14"/>
  <c r="H985" i="14"/>
  <c r="F986" i="14"/>
  <c r="H986" i="14"/>
  <c r="F987" i="14"/>
  <c r="H987" i="14"/>
  <c r="F988" i="14"/>
  <c r="H988" i="14"/>
  <c r="F989" i="14"/>
  <c r="H989" i="14"/>
  <c r="F990" i="14"/>
  <c r="H990" i="14"/>
  <c r="F991" i="14"/>
  <c r="H991" i="14"/>
  <c r="F992" i="14"/>
  <c r="H992" i="14"/>
  <c r="F993" i="14"/>
  <c r="H993" i="14"/>
  <c r="F994" i="14"/>
  <c r="H994" i="14"/>
  <c r="F995" i="14"/>
  <c r="H995" i="14"/>
  <c r="F996" i="14"/>
  <c r="H996" i="14"/>
  <c r="F997" i="14"/>
  <c r="H997" i="14"/>
  <c r="F998" i="14"/>
  <c r="H998" i="14"/>
  <c r="F999" i="14"/>
  <c r="H999" i="14"/>
  <c r="F1000" i="14"/>
  <c r="H1000" i="14"/>
  <c r="F1001" i="14"/>
  <c r="H1001" i="14"/>
  <c r="F1002" i="14"/>
  <c r="H1002" i="14"/>
  <c r="F1003" i="14"/>
  <c r="H1003" i="14"/>
  <c r="F1004" i="14"/>
  <c r="H1004" i="14"/>
  <c r="F1005" i="14"/>
  <c r="H1005" i="14"/>
  <c r="F1006" i="14"/>
  <c r="H1006" i="14"/>
  <c r="F1007" i="14"/>
  <c r="H1007" i="14"/>
  <c r="F1008" i="14"/>
  <c r="H1008" i="14"/>
  <c r="F1009" i="14"/>
  <c r="H1009" i="14"/>
  <c r="F1010" i="14"/>
  <c r="H1010" i="14"/>
  <c r="F1011" i="14"/>
  <c r="H1011" i="14"/>
  <c r="F1012" i="14"/>
  <c r="H1012" i="14"/>
  <c r="F1013" i="14"/>
  <c r="H1013" i="14"/>
  <c r="F1014" i="14"/>
  <c r="H1014" i="14"/>
  <c r="F1015" i="14"/>
  <c r="H1015" i="14"/>
  <c r="F1016" i="14"/>
  <c r="H1016" i="14"/>
  <c r="F1017" i="14"/>
  <c r="H1017" i="14"/>
  <c r="F1018" i="14"/>
  <c r="H1018" i="14"/>
  <c r="F1019" i="14"/>
  <c r="H1019" i="14"/>
  <c r="F1020" i="14"/>
  <c r="H1020" i="14"/>
  <c r="F1021" i="14"/>
  <c r="H1021" i="14"/>
  <c r="F1022" i="14"/>
  <c r="H1022" i="14"/>
  <c r="F1023" i="14"/>
  <c r="H1023" i="14"/>
  <c r="F1024" i="14"/>
  <c r="H1024" i="14"/>
  <c r="F1025" i="14"/>
  <c r="H1025" i="14"/>
  <c r="F1026" i="14"/>
  <c r="H1026" i="14"/>
  <c r="F1027" i="14"/>
  <c r="H1027" i="14"/>
  <c r="F1028" i="14"/>
  <c r="H1028" i="14"/>
  <c r="F1029" i="14"/>
  <c r="H1029" i="14"/>
  <c r="F1030" i="14"/>
  <c r="H1030" i="14"/>
  <c r="F1031" i="14"/>
  <c r="H1031" i="14"/>
  <c r="F1032" i="14"/>
  <c r="H1032" i="14"/>
  <c r="F1033" i="14"/>
  <c r="H1033" i="14"/>
  <c r="F1034" i="14"/>
  <c r="H1034" i="14"/>
  <c r="F1035" i="14"/>
  <c r="H1035" i="14"/>
  <c r="F1036" i="14"/>
  <c r="H1036" i="14"/>
  <c r="F1037" i="14"/>
  <c r="H1037" i="14"/>
  <c r="F1038" i="14"/>
  <c r="H1038" i="14"/>
  <c r="F1039" i="14"/>
  <c r="H1039" i="14"/>
  <c r="F1040" i="14"/>
  <c r="H1040" i="14"/>
  <c r="F1041" i="14"/>
  <c r="H1041" i="14"/>
  <c r="F1042" i="14"/>
  <c r="H1042" i="14"/>
  <c r="F1043" i="14"/>
  <c r="H1043" i="14"/>
  <c r="F1044" i="14"/>
  <c r="H1044" i="14"/>
  <c r="F1045" i="14"/>
  <c r="H1045" i="14"/>
  <c r="F1046" i="14"/>
  <c r="H1046" i="14"/>
  <c r="F1047" i="14"/>
  <c r="H1047" i="14"/>
  <c r="F1048" i="14"/>
  <c r="H1048" i="14"/>
  <c r="F1049" i="14"/>
  <c r="H1049" i="14"/>
  <c r="F1050" i="14"/>
  <c r="H1050" i="14"/>
  <c r="F1051" i="14"/>
  <c r="H1051" i="14"/>
  <c r="F1052" i="14"/>
  <c r="H1052" i="14"/>
  <c r="F1053" i="14"/>
  <c r="H1053" i="14"/>
  <c r="F1054" i="14"/>
  <c r="H1054" i="14"/>
  <c r="F1055" i="14"/>
  <c r="H1055" i="14"/>
  <c r="F1056" i="14"/>
  <c r="H1056" i="14"/>
  <c r="F1057" i="14"/>
  <c r="H1057" i="14"/>
  <c r="F1058" i="14"/>
  <c r="H1058" i="14"/>
  <c r="F1059" i="14"/>
  <c r="H1059" i="14"/>
  <c r="F1060" i="14"/>
  <c r="H1060" i="14"/>
  <c r="F1061" i="14"/>
  <c r="H1061" i="14"/>
  <c r="F1062" i="14"/>
  <c r="H1062" i="14"/>
  <c r="F1063" i="14"/>
  <c r="H1063" i="14"/>
  <c r="F1064" i="14"/>
  <c r="H1064" i="14"/>
  <c r="F1065" i="14"/>
  <c r="H1065" i="14"/>
  <c r="F1066" i="14"/>
  <c r="H1066" i="14"/>
  <c r="F1067" i="14"/>
  <c r="H1067" i="14"/>
  <c r="F1068" i="14"/>
  <c r="H1068" i="14"/>
  <c r="F1069" i="14"/>
  <c r="H1069" i="14"/>
  <c r="F1070" i="14"/>
  <c r="H1070" i="14"/>
  <c r="F1071" i="14"/>
  <c r="H1071" i="14"/>
  <c r="F1072" i="14"/>
  <c r="H1072" i="14"/>
  <c r="F1073" i="14"/>
  <c r="H1073" i="14"/>
  <c r="F1074" i="14"/>
  <c r="H1074" i="14"/>
  <c r="F1075" i="14"/>
  <c r="H1075" i="14"/>
  <c r="F1076" i="14"/>
  <c r="H1076" i="14"/>
  <c r="F1077" i="14"/>
  <c r="H1077" i="14"/>
  <c r="F1078" i="14"/>
  <c r="H1078" i="14"/>
  <c r="F1079" i="14"/>
  <c r="H1079" i="14"/>
  <c r="F1080" i="14"/>
  <c r="H1080" i="14"/>
  <c r="F1081" i="14"/>
  <c r="H1081" i="14"/>
  <c r="F1082" i="14"/>
  <c r="H1082" i="14"/>
  <c r="F1083" i="14"/>
  <c r="H1083" i="14"/>
  <c r="F1084" i="14"/>
  <c r="H1084" i="14"/>
  <c r="F1085" i="14"/>
  <c r="H1085" i="14"/>
  <c r="F1086" i="14"/>
  <c r="H1086" i="14"/>
  <c r="F1087" i="14"/>
  <c r="H1087" i="14"/>
  <c r="F1088" i="14"/>
  <c r="H1088" i="14"/>
  <c r="F1089" i="14"/>
  <c r="H1089" i="14"/>
  <c r="F1090" i="14"/>
  <c r="H1090" i="14"/>
  <c r="F1091" i="14"/>
  <c r="H1091" i="14"/>
  <c r="F1092" i="14"/>
  <c r="H1092" i="14"/>
  <c r="F1093" i="14"/>
  <c r="H1093" i="14"/>
  <c r="F1094" i="14"/>
  <c r="H1094" i="14"/>
  <c r="F1095" i="14"/>
  <c r="H1095" i="14"/>
  <c r="F1096" i="14"/>
  <c r="H1096" i="14"/>
  <c r="F1097" i="14"/>
  <c r="H1097" i="14"/>
  <c r="F1098" i="14"/>
  <c r="H1098" i="14"/>
  <c r="F1099" i="14"/>
  <c r="H1099" i="14"/>
  <c r="F1100" i="14"/>
  <c r="H1100" i="14"/>
  <c r="F1101" i="14"/>
  <c r="H1101" i="14"/>
  <c r="F1102" i="14"/>
  <c r="H1102" i="14"/>
  <c r="F1103" i="14"/>
  <c r="H1103" i="14"/>
  <c r="F1104" i="14"/>
  <c r="H1104" i="14"/>
  <c r="F1105" i="14"/>
  <c r="H1105" i="14"/>
  <c r="F1106" i="14"/>
  <c r="H1106" i="14"/>
  <c r="F1107" i="14"/>
  <c r="H1107" i="14"/>
  <c r="F1108" i="14"/>
  <c r="H1108" i="14"/>
  <c r="F1109" i="14"/>
  <c r="H1109" i="14"/>
  <c r="F1110" i="14"/>
  <c r="H1110" i="14"/>
  <c r="F1111" i="14"/>
  <c r="H1111" i="14"/>
  <c r="F1112" i="14"/>
  <c r="H1112" i="14"/>
  <c r="F1113" i="14"/>
  <c r="H1113" i="14"/>
  <c r="F1114" i="14"/>
  <c r="H1114" i="14"/>
  <c r="F1115" i="14"/>
  <c r="H1115" i="14"/>
  <c r="F1116" i="14"/>
  <c r="H1116" i="14"/>
  <c r="F1117" i="14"/>
  <c r="H1117" i="14"/>
  <c r="F1118" i="14"/>
  <c r="H1118" i="14"/>
  <c r="F1119" i="14"/>
  <c r="H1119" i="14"/>
  <c r="F1120" i="14"/>
  <c r="H1120" i="14"/>
  <c r="F1121" i="14"/>
  <c r="H1121" i="14"/>
  <c r="F1122" i="14"/>
  <c r="H1122" i="14"/>
  <c r="F1123" i="14"/>
  <c r="H1123" i="14"/>
  <c r="F1124" i="14"/>
  <c r="H1124" i="14"/>
  <c r="F1125" i="14"/>
  <c r="H1125" i="14"/>
  <c r="F1126" i="14"/>
  <c r="H1126" i="14"/>
  <c r="F1127" i="14"/>
  <c r="H1127" i="14"/>
  <c r="F1128" i="14"/>
  <c r="H1128" i="14"/>
  <c r="F1129" i="14"/>
  <c r="H1129" i="14"/>
  <c r="F1130" i="14"/>
  <c r="H1130" i="14"/>
  <c r="F1131" i="14"/>
  <c r="H1131" i="14"/>
  <c r="F1132" i="14"/>
  <c r="H1132" i="14"/>
  <c r="F1133" i="14"/>
  <c r="H1133" i="14"/>
  <c r="F1134" i="14"/>
  <c r="H1134" i="14"/>
  <c r="F1135" i="14"/>
  <c r="H1135" i="14"/>
  <c r="F1136" i="14"/>
  <c r="H1136" i="14"/>
  <c r="F1137" i="14"/>
  <c r="H1137" i="14"/>
  <c r="F1138" i="14"/>
  <c r="H1138" i="14"/>
  <c r="F1139" i="14"/>
  <c r="H1139" i="14"/>
  <c r="F1140" i="14"/>
  <c r="H1140" i="14"/>
  <c r="F1141" i="14"/>
  <c r="H1141" i="14"/>
  <c r="F1142" i="14"/>
  <c r="H1142" i="14"/>
  <c r="F1143" i="14"/>
  <c r="H1143" i="14"/>
  <c r="F1144" i="14"/>
  <c r="H1144" i="14"/>
  <c r="F1145" i="14"/>
  <c r="H1145" i="14"/>
  <c r="F1146" i="14"/>
  <c r="H1146" i="14"/>
  <c r="F1147" i="14"/>
  <c r="H1147" i="14"/>
  <c r="F1148" i="14"/>
  <c r="H1148" i="14"/>
  <c r="F1149" i="14"/>
  <c r="H1149" i="14"/>
  <c r="F1150" i="14"/>
  <c r="H1150" i="14"/>
  <c r="F1151" i="14"/>
  <c r="H1151" i="14"/>
  <c r="F1152" i="14"/>
  <c r="H1152" i="14"/>
  <c r="F1153" i="14"/>
  <c r="H1153" i="14"/>
  <c r="F1154" i="14"/>
  <c r="H1154" i="14"/>
  <c r="F1155" i="14"/>
  <c r="H1155" i="14"/>
  <c r="F1156" i="14"/>
  <c r="H1156" i="14"/>
  <c r="F1157" i="14"/>
  <c r="H1157" i="14"/>
  <c r="F1158" i="14"/>
  <c r="H1158" i="14"/>
  <c r="F1159" i="14"/>
  <c r="H1159" i="14"/>
  <c r="F1160" i="14"/>
  <c r="H1160" i="14"/>
  <c r="F1161" i="14"/>
  <c r="H1161" i="14"/>
  <c r="F1162" i="14"/>
  <c r="H1162" i="14"/>
  <c r="F1163" i="14"/>
  <c r="H1163" i="14"/>
  <c r="F1164" i="14"/>
  <c r="H1164" i="14"/>
  <c r="F1165" i="14"/>
  <c r="H1165" i="14"/>
  <c r="F1166" i="14"/>
  <c r="H1166" i="14"/>
  <c r="F1167" i="14"/>
  <c r="H1167" i="14"/>
  <c r="F1168" i="14"/>
  <c r="H1168" i="14"/>
  <c r="F1169" i="14"/>
  <c r="H1169" i="14"/>
  <c r="F1170" i="14"/>
  <c r="H1170" i="14"/>
  <c r="F1171" i="14"/>
  <c r="H1171" i="14"/>
  <c r="F1172" i="14"/>
  <c r="H1172" i="14"/>
  <c r="F1173" i="14"/>
  <c r="H1173" i="14"/>
  <c r="F1174" i="14"/>
  <c r="H1174" i="14"/>
  <c r="F1175" i="14"/>
  <c r="H1175" i="14"/>
  <c r="F1176" i="14"/>
  <c r="H1176" i="14"/>
  <c r="F1177" i="14"/>
  <c r="H1177" i="14"/>
  <c r="F1178" i="14"/>
  <c r="H1178" i="14"/>
  <c r="F1179" i="14"/>
  <c r="H1179" i="14"/>
  <c r="F1180" i="14"/>
  <c r="H1180" i="14"/>
  <c r="F1181" i="14"/>
  <c r="H1181" i="14"/>
  <c r="F1182" i="14"/>
  <c r="H1182" i="14"/>
  <c r="F1183" i="14"/>
  <c r="H1183" i="14"/>
  <c r="F1184" i="14"/>
  <c r="H1184" i="14"/>
  <c r="F1185" i="14"/>
  <c r="H1185" i="14"/>
  <c r="F1186" i="14"/>
  <c r="H1186" i="14"/>
  <c r="F1187" i="14"/>
  <c r="H1187" i="14"/>
  <c r="F1188" i="14"/>
  <c r="H1188" i="14"/>
  <c r="F1189" i="14"/>
  <c r="H1189" i="14"/>
  <c r="F1190" i="14"/>
  <c r="H1190" i="14"/>
  <c r="F1191" i="14"/>
  <c r="H1191" i="14"/>
  <c r="F1192" i="14"/>
  <c r="H1192" i="14"/>
  <c r="F1193" i="14"/>
  <c r="H1193" i="14"/>
  <c r="F1194" i="14"/>
  <c r="H1194" i="14"/>
  <c r="F1195" i="14"/>
  <c r="H1195" i="14"/>
  <c r="F1196" i="14"/>
  <c r="H1196" i="14"/>
  <c r="F1197" i="14"/>
  <c r="H1197" i="14"/>
  <c r="F1198" i="14"/>
  <c r="H1198" i="14"/>
  <c r="F1199" i="14"/>
  <c r="H1199" i="14"/>
  <c r="F1200" i="14"/>
  <c r="H1200" i="14"/>
  <c r="F1201" i="14"/>
  <c r="H1201" i="14"/>
  <c r="F1202" i="14"/>
  <c r="H1202" i="14"/>
  <c r="F1203" i="14"/>
  <c r="H1203" i="14"/>
  <c r="F1204" i="14"/>
  <c r="H1204" i="14"/>
  <c r="F1205" i="14"/>
  <c r="H1205" i="14"/>
  <c r="F1206" i="14"/>
  <c r="H1206" i="14"/>
  <c r="F1207" i="14"/>
  <c r="H1207" i="14"/>
  <c r="F1208" i="14"/>
  <c r="H1208" i="14"/>
  <c r="F1209" i="14"/>
  <c r="H1209" i="14"/>
  <c r="F1210" i="14"/>
  <c r="H1210" i="14"/>
  <c r="F1211" i="14"/>
  <c r="H1211" i="14"/>
  <c r="F1212" i="14"/>
  <c r="H1212" i="14"/>
  <c r="F1213" i="14"/>
  <c r="H1213" i="14"/>
  <c r="F1214" i="14"/>
  <c r="H1214" i="14"/>
  <c r="F1215" i="14"/>
  <c r="H1215" i="14"/>
  <c r="F1216" i="14"/>
  <c r="H1216" i="14"/>
  <c r="F1217" i="14"/>
  <c r="H1217" i="14"/>
  <c r="F1218" i="14"/>
  <c r="H1218" i="14"/>
  <c r="F1219" i="14"/>
  <c r="H1219" i="14"/>
  <c r="F1220" i="14"/>
  <c r="H1220" i="14"/>
  <c r="F1221" i="14"/>
  <c r="H1221" i="14"/>
  <c r="F1222" i="14"/>
  <c r="H1222" i="14"/>
  <c r="F1223" i="14"/>
  <c r="H1223" i="14"/>
  <c r="F1224" i="14"/>
  <c r="H1224" i="14"/>
  <c r="F1225" i="14"/>
  <c r="H1225" i="14"/>
  <c r="F1226" i="14"/>
  <c r="H1226" i="14"/>
  <c r="F1227" i="14"/>
  <c r="H1227" i="14"/>
  <c r="F1228" i="14"/>
  <c r="H1228" i="14"/>
  <c r="F1229" i="14"/>
  <c r="H1229" i="14"/>
  <c r="F1230" i="14"/>
  <c r="H1230" i="14"/>
  <c r="F1231" i="14"/>
  <c r="H1231" i="14"/>
  <c r="F1232" i="14"/>
  <c r="H1232" i="14"/>
  <c r="F1233" i="14"/>
  <c r="H1233" i="14"/>
  <c r="F1234" i="14"/>
  <c r="H1234" i="14"/>
  <c r="F1235" i="14"/>
  <c r="H1235" i="14"/>
  <c r="F1236" i="14"/>
  <c r="H1236" i="14"/>
  <c r="F1237" i="14"/>
  <c r="H1237" i="14"/>
  <c r="F1238" i="14"/>
  <c r="H1238" i="14"/>
  <c r="F1239" i="14"/>
  <c r="H1239" i="14"/>
  <c r="F1240" i="14"/>
  <c r="H1240" i="14"/>
  <c r="F1241" i="14"/>
  <c r="H1241" i="14"/>
  <c r="F1242" i="14"/>
  <c r="H1242" i="14"/>
  <c r="F1243" i="14"/>
  <c r="H1243" i="14"/>
  <c r="F1244" i="14"/>
  <c r="H1244" i="14"/>
  <c r="F1245" i="14"/>
  <c r="H1245" i="14"/>
  <c r="F1246" i="14"/>
  <c r="H1246" i="14"/>
  <c r="F1247" i="14"/>
  <c r="H1247" i="14"/>
  <c r="F1248" i="14"/>
  <c r="H1248" i="14"/>
  <c r="F1249" i="14"/>
  <c r="H1249" i="14"/>
  <c r="F1250" i="14"/>
  <c r="H1250" i="14"/>
  <c r="F1251" i="14"/>
  <c r="H1251" i="14"/>
  <c r="F1252" i="14"/>
  <c r="H1252" i="14"/>
  <c r="F1253" i="14"/>
  <c r="H1253" i="14"/>
  <c r="F1254" i="14"/>
  <c r="H1254" i="14"/>
  <c r="F1255" i="14"/>
  <c r="H1255" i="14"/>
  <c r="F1256" i="14"/>
  <c r="H1256" i="14"/>
  <c r="F1257" i="14"/>
  <c r="H1257" i="14"/>
  <c r="F1258" i="14"/>
  <c r="H1258" i="14"/>
  <c r="F1259" i="14"/>
  <c r="H1259" i="14"/>
  <c r="F1260" i="14"/>
  <c r="H1260" i="14"/>
  <c r="F1261" i="14"/>
  <c r="H1261" i="14"/>
  <c r="F1262" i="14"/>
  <c r="H1262" i="14"/>
  <c r="F1263" i="14"/>
  <c r="H1263" i="14"/>
  <c r="F1264" i="14"/>
  <c r="H1264" i="14"/>
  <c r="F1265" i="14"/>
  <c r="H1265" i="14"/>
  <c r="F1266" i="14"/>
  <c r="H1266" i="14"/>
  <c r="F1267" i="14"/>
  <c r="H1267" i="14"/>
  <c r="F1268" i="14"/>
  <c r="H1268" i="14"/>
  <c r="F1269" i="14"/>
  <c r="H1269" i="14"/>
  <c r="F1270" i="14"/>
  <c r="H1270" i="14"/>
  <c r="F1271" i="14"/>
  <c r="H1271" i="14"/>
  <c r="F1272" i="14"/>
  <c r="H1272" i="14"/>
  <c r="F1273" i="14"/>
  <c r="H1273" i="14"/>
  <c r="F1274" i="14"/>
  <c r="H1274" i="14"/>
  <c r="F1275" i="14"/>
  <c r="H1275" i="14"/>
  <c r="F1276" i="14"/>
  <c r="H1276" i="14"/>
  <c r="F1277" i="14"/>
  <c r="H1277" i="14"/>
  <c r="F1278" i="14"/>
  <c r="H1278" i="14"/>
  <c r="F1279" i="14"/>
  <c r="H1279" i="14"/>
  <c r="F1280" i="14"/>
  <c r="H1280" i="14"/>
  <c r="F1281" i="14"/>
  <c r="H1281" i="14"/>
  <c r="F1282" i="14"/>
  <c r="H1282" i="14"/>
  <c r="F1283" i="14"/>
  <c r="H1283" i="14"/>
  <c r="F1284" i="14"/>
  <c r="H1284" i="14"/>
  <c r="F1285" i="14"/>
  <c r="H1285" i="14"/>
  <c r="F1286" i="14"/>
  <c r="H1286" i="14"/>
  <c r="F1287" i="14"/>
  <c r="H1287" i="14"/>
  <c r="F1288" i="14"/>
  <c r="H1288" i="14"/>
  <c r="F1289" i="14"/>
  <c r="H1289" i="14"/>
  <c r="F1290" i="14"/>
  <c r="H1290" i="14"/>
  <c r="F1291" i="14"/>
  <c r="H1291" i="14"/>
  <c r="F1292" i="14"/>
  <c r="H1292" i="14"/>
  <c r="F1293" i="14"/>
  <c r="H1293" i="14"/>
  <c r="F1294" i="14"/>
  <c r="H1294" i="14"/>
  <c r="F1295" i="14"/>
  <c r="H1295" i="14"/>
  <c r="F1296" i="14"/>
  <c r="H1296" i="14"/>
  <c r="F1297" i="14"/>
  <c r="H1297" i="14"/>
  <c r="F1298" i="14"/>
  <c r="H1298" i="14"/>
  <c r="F1299" i="14"/>
  <c r="H1299" i="14"/>
  <c r="F1300" i="14"/>
  <c r="H1300" i="14"/>
  <c r="F1301" i="14"/>
  <c r="H1301" i="14"/>
  <c r="F1302" i="14"/>
  <c r="H1302" i="14"/>
  <c r="F1303" i="14"/>
  <c r="H1303" i="14"/>
  <c r="F1304" i="14"/>
  <c r="H1304" i="14"/>
  <c r="F1305" i="14"/>
  <c r="H1305" i="14"/>
  <c r="F1306" i="14"/>
  <c r="H1306" i="14"/>
  <c r="F1307" i="14"/>
  <c r="H1307" i="14"/>
  <c r="F1308" i="14"/>
  <c r="H1308" i="14"/>
  <c r="F1309" i="14"/>
  <c r="H1309" i="14"/>
  <c r="F1310" i="14"/>
  <c r="H1310" i="14"/>
  <c r="F1311" i="14"/>
  <c r="H1311" i="14"/>
  <c r="F1312" i="14"/>
  <c r="H1312" i="14"/>
  <c r="F1313" i="14"/>
  <c r="H1313" i="14"/>
  <c r="F1314" i="14"/>
  <c r="H1314" i="14"/>
  <c r="F1315" i="14"/>
  <c r="H1315" i="14"/>
  <c r="F1316" i="14"/>
  <c r="H1316" i="14"/>
  <c r="F1317" i="14"/>
  <c r="H1317" i="14"/>
  <c r="F1318" i="14"/>
  <c r="H1318" i="14"/>
  <c r="F1319" i="14"/>
  <c r="H1319" i="14"/>
  <c r="F1320" i="14"/>
  <c r="H1320" i="14"/>
  <c r="F1321" i="14"/>
  <c r="H1321" i="14"/>
  <c r="F1322" i="14"/>
  <c r="H1322" i="14"/>
  <c r="F1323" i="14"/>
  <c r="H1323" i="14"/>
  <c r="F1324" i="14"/>
  <c r="H1324" i="14"/>
  <c r="F1325" i="14"/>
  <c r="H1325" i="14"/>
  <c r="F1326" i="14"/>
  <c r="H1326" i="14"/>
  <c r="F1327" i="14"/>
  <c r="H1327" i="14"/>
  <c r="F1328" i="14"/>
  <c r="H1328" i="14"/>
  <c r="F1329" i="14"/>
  <c r="H1329" i="14"/>
  <c r="F1330" i="14"/>
  <c r="H1330" i="14"/>
  <c r="F1331" i="14"/>
  <c r="H1331" i="14"/>
  <c r="F1332" i="14"/>
  <c r="H1332" i="14"/>
  <c r="F1333" i="14"/>
  <c r="H1333" i="14"/>
  <c r="F1334" i="14"/>
  <c r="H1334" i="14"/>
  <c r="F1335" i="14"/>
  <c r="H1335" i="14"/>
  <c r="F1336" i="14"/>
  <c r="H1336" i="14"/>
  <c r="F1337" i="14"/>
  <c r="H1337" i="14"/>
  <c r="F1338" i="14"/>
  <c r="H1338" i="14"/>
  <c r="F1339" i="14"/>
  <c r="H1339" i="14"/>
  <c r="F1340" i="14"/>
  <c r="H1340" i="14"/>
  <c r="F1341" i="14"/>
  <c r="H1341" i="14"/>
  <c r="F1342" i="14"/>
  <c r="H1342" i="14"/>
  <c r="F1343" i="14"/>
  <c r="H1343" i="14"/>
  <c r="F1344" i="14"/>
  <c r="H1344" i="14"/>
  <c r="F1345" i="14"/>
  <c r="H1345" i="14"/>
  <c r="F1346" i="14"/>
  <c r="H1346" i="14"/>
  <c r="F1347" i="14"/>
  <c r="H1347" i="14"/>
  <c r="F1348" i="14"/>
  <c r="H1348" i="14"/>
  <c r="F1349" i="14"/>
  <c r="H1349" i="14"/>
  <c r="F1350" i="14"/>
  <c r="H1350" i="14"/>
  <c r="F1351" i="14"/>
  <c r="H1351" i="14"/>
  <c r="F1352" i="14"/>
  <c r="H1352" i="14"/>
  <c r="F1353" i="14"/>
  <c r="H1353" i="14"/>
  <c r="F1354" i="14"/>
  <c r="H1354" i="14"/>
  <c r="F1355" i="14"/>
  <c r="H1355" i="14"/>
  <c r="F1356" i="14"/>
  <c r="H1356" i="14"/>
  <c r="F1357" i="14"/>
  <c r="H1357" i="14"/>
  <c r="F1358" i="14"/>
  <c r="H1358" i="14"/>
  <c r="F1359" i="14"/>
  <c r="H1359" i="14"/>
  <c r="F1360" i="14"/>
  <c r="H1360" i="14"/>
  <c r="F1361" i="14"/>
  <c r="H1361" i="14"/>
  <c r="F1362" i="14"/>
  <c r="H1362" i="14"/>
  <c r="F1363" i="14"/>
  <c r="H1363" i="14"/>
  <c r="F1364" i="14"/>
  <c r="H1364" i="14"/>
  <c r="F1365" i="14"/>
  <c r="H1365" i="14"/>
  <c r="F1366" i="14"/>
  <c r="H1366" i="14"/>
  <c r="F1367" i="14"/>
  <c r="H1367" i="14"/>
  <c r="F1368" i="14"/>
  <c r="H1368" i="14"/>
  <c r="F1369" i="14"/>
  <c r="H1369" i="14"/>
  <c r="F1370" i="14"/>
  <c r="H1370" i="14"/>
  <c r="F1371" i="14"/>
  <c r="H1371" i="14"/>
  <c r="F1372" i="14"/>
  <c r="H1372" i="14"/>
  <c r="F1373" i="14"/>
  <c r="H1373" i="14"/>
  <c r="F1374" i="14"/>
  <c r="H1374" i="14"/>
  <c r="F1375" i="14"/>
  <c r="H1375" i="14"/>
  <c r="F1376" i="14"/>
  <c r="H1376" i="14"/>
  <c r="F1377" i="14"/>
  <c r="H1377" i="14"/>
  <c r="F1378" i="14"/>
  <c r="H1378" i="14"/>
  <c r="F1379" i="14"/>
  <c r="H1379" i="14"/>
  <c r="F1380" i="14"/>
  <c r="H1380" i="14"/>
  <c r="F1381" i="14"/>
  <c r="H1381" i="14"/>
  <c r="F1382" i="14"/>
  <c r="H1382" i="14"/>
  <c r="F1383" i="14"/>
  <c r="H1383" i="14"/>
  <c r="F1384" i="14"/>
  <c r="H1384" i="14"/>
  <c r="F1385" i="14"/>
  <c r="H1385" i="14"/>
  <c r="F1386" i="14"/>
  <c r="H1386" i="14"/>
  <c r="F1387" i="14"/>
  <c r="H1387" i="14"/>
  <c r="F1388" i="14"/>
  <c r="H1388" i="14"/>
  <c r="F1389" i="14"/>
  <c r="H1389" i="14"/>
  <c r="F1390" i="14"/>
  <c r="H1390" i="14"/>
  <c r="F1391" i="14"/>
  <c r="H1391" i="14"/>
  <c r="F1392" i="14"/>
  <c r="H1392" i="14"/>
  <c r="F1393" i="14"/>
  <c r="H1393" i="14"/>
  <c r="F1394" i="14"/>
  <c r="H1394" i="14"/>
  <c r="F1395" i="14"/>
  <c r="H1395" i="14"/>
  <c r="F1396" i="14"/>
  <c r="H1396" i="14"/>
  <c r="F1397" i="14"/>
  <c r="H1397" i="14"/>
  <c r="F1398" i="14"/>
  <c r="H1398" i="14"/>
  <c r="F1399" i="14"/>
  <c r="H1399" i="14"/>
  <c r="F1400" i="14"/>
  <c r="H1400" i="14"/>
  <c r="F1401" i="14"/>
  <c r="H1401" i="14"/>
  <c r="F1402" i="14"/>
  <c r="H1402" i="14"/>
  <c r="F1403" i="14"/>
  <c r="H1403" i="14"/>
  <c r="F1404" i="14"/>
  <c r="H1404" i="14"/>
  <c r="F1405" i="14"/>
  <c r="H1405" i="14"/>
  <c r="F1406" i="14"/>
  <c r="H1406" i="14"/>
  <c r="F1407" i="14"/>
  <c r="H1407" i="14"/>
  <c r="F1408" i="14"/>
  <c r="H1408" i="14"/>
  <c r="F1409" i="14"/>
  <c r="H1409" i="14"/>
  <c r="F1410" i="14"/>
  <c r="H1410" i="14"/>
  <c r="F1411" i="14"/>
  <c r="H1411" i="14"/>
  <c r="F1412" i="14"/>
  <c r="H1412" i="14"/>
  <c r="F1413" i="14"/>
  <c r="H1413" i="14"/>
  <c r="F1414" i="14"/>
  <c r="H1414" i="14"/>
  <c r="F1415" i="14"/>
  <c r="H1415" i="14"/>
  <c r="F1416" i="14"/>
  <c r="H1416" i="14"/>
  <c r="F1417" i="14"/>
  <c r="H1417" i="14"/>
  <c r="F1418" i="14"/>
  <c r="H1418" i="14"/>
  <c r="F1419" i="14"/>
  <c r="H1419" i="14"/>
  <c r="F1420" i="14"/>
  <c r="H1420" i="14"/>
  <c r="F1421" i="14"/>
  <c r="H1421" i="14"/>
  <c r="F1422" i="14"/>
  <c r="H1422" i="14"/>
  <c r="F1423" i="14"/>
  <c r="H1423" i="14"/>
  <c r="F1424" i="14"/>
  <c r="H1424" i="14"/>
  <c r="F1425" i="14"/>
  <c r="H1425" i="14"/>
  <c r="F1426" i="14"/>
  <c r="H1426" i="14"/>
  <c r="F1427" i="14"/>
  <c r="H1427" i="14"/>
  <c r="F1428" i="14"/>
  <c r="H1428" i="14"/>
  <c r="F1429" i="14"/>
  <c r="H1429" i="14"/>
  <c r="F1430" i="14"/>
  <c r="H1430" i="14"/>
  <c r="F1431" i="14"/>
  <c r="H1431" i="14"/>
  <c r="F1432" i="14"/>
  <c r="H1432" i="14"/>
  <c r="F1433" i="14"/>
  <c r="H1433" i="14"/>
  <c r="F1434" i="14"/>
  <c r="H1434" i="14"/>
  <c r="F1435" i="14"/>
  <c r="H1435" i="14"/>
  <c r="F1436" i="14"/>
  <c r="H1436" i="14"/>
  <c r="F1437" i="14"/>
  <c r="H1437" i="14"/>
  <c r="F1438" i="14"/>
  <c r="H1438" i="14"/>
  <c r="F1439" i="14"/>
  <c r="H1439" i="14"/>
  <c r="F1440" i="14"/>
  <c r="H1440" i="14"/>
  <c r="F1441" i="14"/>
  <c r="H1441" i="14"/>
  <c r="F1442" i="14"/>
  <c r="H1442" i="14"/>
  <c r="F1443" i="14"/>
  <c r="H1443" i="14"/>
  <c r="F1444" i="14"/>
  <c r="H1444" i="14"/>
  <c r="F1445" i="14"/>
  <c r="H1445" i="14"/>
  <c r="F1446" i="14"/>
  <c r="H1446" i="14"/>
  <c r="F1447" i="14"/>
  <c r="H1447" i="14"/>
  <c r="F1448" i="14"/>
  <c r="H1448" i="14"/>
  <c r="F1449" i="14"/>
  <c r="H1449" i="14"/>
  <c r="F1450" i="14"/>
  <c r="H1450" i="14"/>
  <c r="F1451" i="14"/>
  <c r="H1451" i="14"/>
  <c r="F1452" i="14"/>
  <c r="H1452" i="14"/>
  <c r="F1453" i="14"/>
  <c r="H1453" i="14"/>
  <c r="F1454" i="14"/>
  <c r="H1454" i="14"/>
  <c r="F1455" i="14"/>
  <c r="H1455" i="14"/>
  <c r="F1456" i="14"/>
  <c r="H1456" i="14"/>
  <c r="F1457" i="14"/>
  <c r="H1457" i="14"/>
  <c r="F1458" i="14"/>
  <c r="H1458" i="14"/>
  <c r="F1459" i="14"/>
  <c r="H1459" i="14"/>
  <c r="F1460" i="14"/>
  <c r="H1460" i="14"/>
  <c r="F1461" i="14"/>
  <c r="H1461" i="14"/>
  <c r="F1462" i="14"/>
  <c r="H1462" i="14"/>
  <c r="F1463" i="14"/>
  <c r="H1463" i="14"/>
  <c r="F1464" i="14"/>
  <c r="H1464" i="14"/>
  <c r="F1465" i="14"/>
  <c r="H1465" i="14"/>
  <c r="F1466" i="14"/>
  <c r="H1466" i="14"/>
  <c r="F1467" i="14"/>
  <c r="H1467" i="14"/>
  <c r="F1468" i="14"/>
  <c r="H1468" i="14"/>
  <c r="F1469" i="14"/>
  <c r="H1469" i="14"/>
  <c r="F1470" i="14"/>
  <c r="H1470" i="14"/>
  <c r="F1471" i="14"/>
  <c r="H1471" i="14"/>
  <c r="F1472" i="14"/>
  <c r="H1472" i="14"/>
  <c r="F1473" i="14"/>
  <c r="H1473" i="14"/>
  <c r="F1474" i="14"/>
  <c r="H1474" i="14"/>
  <c r="F1475" i="14"/>
  <c r="H1475" i="14"/>
  <c r="F1476" i="14"/>
  <c r="H1476" i="14"/>
  <c r="F1477" i="14"/>
  <c r="H1477" i="14"/>
  <c r="F1478" i="14"/>
  <c r="H1478" i="14"/>
  <c r="F1479" i="14"/>
  <c r="H1479" i="14"/>
  <c r="F1480" i="14"/>
  <c r="H1480" i="14"/>
  <c r="F1481" i="14"/>
  <c r="H1481" i="14"/>
  <c r="F1482" i="14"/>
  <c r="H1482" i="14"/>
  <c r="F1483" i="14"/>
  <c r="H1483" i="14"/>
  <c r="F1484" i="14"/>
  <c r="H1484" i="14"/>
  <c r="F1485" i="14"/>
  <c r="H1485" i="14"/>
  <c r="F1486" i="14"/>
  <c r="H1486" i="14"/>
  <c r="F1487" i="14"/>
  <c r="H1487" i="14"/>
  <c r="F1488" i="14"/>
  <c r="H1488" i="14"/>
  <c r="F1489" i="14"/>
  <c r="H1489" i="14"/>
  <c r="F1490" i="14"/>
  <c r="H1490" i="14"/>
  <c r="F1491" i="14"/>
  <c r="H1491" i="14"/>
  <c r="F1492" i="14"/>
  <c r="H1492" i="14"/>
  <c r="F1493" i="14"/>
  <c r="H1493" i="14"/>
  <c r="F1494" i="14"/>
  <c r="H1494" i="14"/>
  <c r="F1495" i="14"/>
  <c r="H1495" i="14"/>
  <c r="F1496" i="14"/>
  <c r="H1496" i="14"/>
  <c r="F1497" i="14"/>
  <c r="H1497" i="14"/>
  <c r="F1498" i="14"/>
  <c r="H1498" i="14"/>
  <c r="F1499" i="14"/>
  <c r="H1499" i="14"/>
  <c r="F1500" i="14"/>
  <c r="H1500" i="14"/>
  <c r="F1501" i="14"/>
  <c r="H1501" i="14"/>
  <c r="F1502" i="14"/>
  <c r="H1502" i="14"/>
  <c r="F1503" i="14"/>
  <c r="H1503" i="14"/>
  <c r="F1504" i="14"/>
  <c r="H1504" i="14"/>
  <c r="F1505" i="14"/>
  <c r="H1505" i="14"/>
  <c r="F1506" i="14"/>
  <c r="H1506" i="14"/>
  <c r="F1507" i="14"/>
  <c r="H1507" i="14"/>
  <c r="F1508" i="14"/>
  <c r="H1508" i="14"/>
  <c r="F1509" i="14"/>
  <c r="H1509" i="14"/>
  <c r="F1510" i="14"/>
  <c r="H1510" i="14"/>
  <c r="F1511" i="14"/>
  <c r="H1511" i="14"/>
  <c r="F1512" i="14"/>
  <c r="H1512" i="14"/>
  <c r="F1513" i="14"/>
  <c r="H1513" i="14"/>
  <c r="F1514" i="14"/>
  <c r="H1514" i="14"/>
  <c r="F1515" i="14"/>
  <c r="H1515" i="14"/>
  <c r="F1516" i="14"/>
  <c r="H1516" i="14"/>
  <c r="F1517" i="14"/>
  <c r="H1517" i="14"/>
  <c r="F1518" i="14"/>
  <c r="H1518" i="14"/>
  <c r="F1519" i="14"/>
  <c r="H1519" i="14"/>
  <c r="F1520" i="14"/>
  <c r="H1520" i="14"/>
  <c r="F1521" i="14"/>
  <c r="H1521" i="14"/>
  <c r="F1522" i="14"/>
  <c r="H1522" i="14"/>
  <c r="F1523" i="14"/>
  <c r="H1523" i="14"/>
  <c r="F1524" i="14"/>
  <c r="H1524" i="14"/>
  <c r="F1525" i="14"/>
  <c r="H1525" i="14"/>
  <c r="F1526" i="14"/>
  <c r="H1526" i="14"/>
  <c r="F1527" i="14"/>
  <c r="H1527" i="14"/>
  <c r="F1528" i="14"/>
  <c r="H1528" i="14"/>
  <c r="F1529" i="14"/>
  <c r="H1529" i="14"/>
  <c r="F1530" i="14"/>
  <c r="H1530" i="14"/>
  <c r="F1531" i="14"/>
  <c r="H1531" i="14"/>
  <c r="F1532" i="14"/>
  <c r="H1532" i="14"/>
  <c r="F1533" i="14"/>
  <c r="H1533" i="14"/>
  <c r="F1534" i="14"/>
  <c r="H1534" i="14"/>
  <c r="F1535" i="14"/>
  <c r="H1535" i="14"/>
  <c r="F1536" i="14"/>
  <c r="H1536" i="14"/>
  <c r="F1537" i="14"/>
  <c r="H1537" i="14"/>
  <c r="F1538" i="14"/>
  <c r="H1538" i="14"/>
  <c r="F1539" i="14"/>
  <c r="H1539" i="14"/>
  <c r="F1540" i="14"/>
  <c r="H1540" i="14"/>
  <c r="F1541" i="14"/>
  <c r="H1541" i="14"/>
  <c r="F1542" i="14"/>
  <c r="H1542" i="14"/>
  <c r="F1543" i="14"/>
  <c r="H1543" i="14"/>
  <c r="F1544" i="14"/>
  <c r="H1544" i="14"/>
  <c r="F1545" i="14"/>
  <c r="H1545" i="14"/>
  <c r="F1546" i="14"/>
  <c r="H1546" i="14"/>
  <c r="F1547" i="14"/>
  <c r="H1547" i="14"/>
  <c r="F1548" i="14"/>
  <c r="H1548" i="14"/>
  <c r="F1549" i="14"/>
  <c r="H1549" i="14"/>
  <c r="F1550" i="14"/>
  <c r="H1550" i="14"/>
  <c r="F1551" i="14"/>
  <c r="H1551" i="14"/>
  <c r="F1552" i="14"/>
  <c r="H1552" i="14"/>
  <c r="F1553" i="14"/>
  <c r="H1553" i="14"/>
  <c r="F1554" i="14"/>
  <c r="H1554" i="14"/>
  <c r="F1555" i="14"/>
  <c r="H1555" i="14"/>
  <c r="F1556" i="14"/>
  <c r="H1556" i="14"/>
  <c r="F1557" i="14"/>
  <c r="H1557" i="14"/>
  <c r="F1558" i="14"/>
  <c r="H1558" i="14"/>
  <c r="F1559" i="14"/>
  <c r="H1559" i="14"/>
  <c r="F1560" i="14"/>
  <c r="H1560" i="14"/>
  <c r="F1561" i="14"/>
  <c r="H1561" i="14"/>
  <c r="F1562" i="14"/>
  <c r="H1562" i="14"/>
  <c r="F1563" i="14"/>
  <c r="H1563" i="14"/>
  <c r="F1564" i="14"/>
  <c r="H1564" i="14"/>
  <c r="F1565" i="14"/>
  <c r="H1565" i="14"/>
  <c r="F1566" i="14"/>
  <c r="H1566" i="14"/>
  <c r="F1567" i="14"/>
  <c r="H1567" i="14"/>
  <c r="F1568" i="14"/>
  <c r="H1568" i="14"/>
  <c r="F1569" i="14"/>
  <c r="H1569" i="14"/>
  <c r="F1570" i="14"/>
  <c r="H1570" i="14"/>
  <c r="F1571" i="14"/>
  <c r="H1571" i="14"/>
  <c r="F1572" i="14"/>
  <c r="H1572" i="14"/>
  <c r="F1573" i="14"/>
  <c r="H1573" i="14"/>
  <c r="F1574" i="14"/>
  <c r="H1574" i="14"/>
  <c r="F1575" i="14"/>
  <c r="H1575" i="14"/>
  <c r="F1576" i="14"/>
  <c r="H1576" i="14"/>
  <c r="F1577" i="14"/>
  <c r="H1577" i="14"/>
  <c r="F1578" i="14"/>
  <c r="H1578" i="14"/>
  <c r="F1579" i="14"/>
  <c r="H1579" i="14"/>
  <c r="F1580" i="14"/>
  <c r="H1580" i="14"/>
  <c r="F1581" i="14"/>
  <c r="H1581" i="14"/>
  <c r="F1582" i="14"/>
  <c r="H1582" i="14"/>
  <c r="F1583" i="14"/>
  <c r="H1583" i="14"/>
  <c r="F1584" i="14"/>
  <c r="H1584" i="14"/>
  <c r="F1585" i="14"/>
  <c r="H1585" i="14"/>
  <c r="F1586" i="14"/>
  <c r="H1586" i="14"/>
  <c r="F1587" i="14"/>
  <c r="H1587" i="14"/>
  <c r="F1588" i="14"/>
  <c r="H1588" i="14"/>
  <c r="F1589" i="14"/>
  <c r="H1589" i="14"/>
  <c r="F1590" i="14"/>
  <c r="H1590" i="14"/>
  <c r="F1591" i="14"/>
  <c r="H1591" i="14"/>
  <c r="F1592" i="14"/>
  <c r="H1592" i="14"/>
  <c r="F1593" i="14"/>
  <c r="H1593" i="14"/>
  <c r="F1594" i="14"/>
  <c r="H1594" i="14"/>
  <c r="F1595" i="14"/>
  <c r="H1595" i="14"/>
  <c r="F1596" i="14"/>
  <c r="H1596" i="14"/>
  <c r="F1597" i="14"/>
  <c r="H1597" i="14"/>
  <c r="F1598" i="14"/>
  <c r="H1598" i="14"/>
  <c r="F1599" i="14"/>
  <c r="H1599" i="14"/>
  <c r="F1600" i="14"/>
  <c r="H1600" i="14"/>
  <c r="F1601" i="14"/>
  <c r="H1601" i="14"/>
  <c r="F1602" i="14"/>
  <c r="H1602" i="14"/>
  <c r="F1603" i="14"/>
  <c r="H1603" i="14"/>
  <c r="F1604" i="14"/>
  <c r="H1604" i="14"/>
  <c r="F1605" i="14"/>
  <c r="H1605" i="14"/>
  <c r="F1606" i="14"/>
  <c r="H1606" i="14"/>
  <c r="F1607" i="14"/>
  <c r="H1607" i="14"/>
  <c r="F1608" i="14"/>
  <c r="H1608" i="14"/>
  <c r="F1609" i="14"/>
  <c r="H1609" i="14"/>
  <c r="F1610" i="14"/>
  <c r="H1610" i="14"/>
  <c r="F1611" i="14"/>
  <c r="H1611" i="14"/>
  <c r="F1612" i="14"/>
  <c r="H1612" i="14"/>
  <c r="F1613" i="14"/>
  <c r="H1613" i="14"/>
  <c r="F1614" i="14"/>
  <c r="H1614" i="14"/>
  <c r="F1615" i="14"/>
  <c r="H1615" i="14"/>
  <c r="F1616" i="14"/>
  <c r="H1616" i="14"/>
  <c r="F1617" i="14"/>
  <c r="H1617" i="14"/>
  <c r="F1618" i="14"/>
  <c r="H1618" i="14"/>
  <c r="F1619" i="14"/>
  <c r="H1619" i="14"/>
  <c r="F1620" i="14"/>
  <c r="H1620" i="14"/>
  <c r="F1621" i="14"/>
  <c r="H1621" i="14"/>
  <c r="F1622" i="14"/>
  <c r="H1622" i="14"/>
  <c r="F1623" i="14"/>
  <c r="H1623" i="14"/>
  <c r="F1624" i="14"/>
  <c r="H1624" i="14"/>
  <c r="F1625" i="14"/>
  <c r="H1625" i="14"/>
  <c r="F1626" i="14"/>
  <c r="H1626" i="14"/>
  <c r="F1627" i="14"/>
  <c r="H1627" i="14"/>
  <c r="F1628" i="14"/>
  <c r="H1628" i="14"/>
  <c r="F1629" i="14"/>
  <c r="H1629" i="14"/>
  <c r="F1630" i="14"/>
  <c r="H1630" i="14"/>
  <c r="F1631" i="14"/>
  <c r="H1631" i="14"/>
  <c r="F1632" i="14"/>
  <c r="H1632" i="14"/>
  <c r="F1633" i="14"/>
  <c r="H1633" i="14"/>
  <c r="F1634" i="14"/>
  <c r="H1634" i="14"/>
  <c r="F1635" i="14"/>
  <c r="H1635" i="14"/>
  <c r="F1636" i="14"/>
  <c r="H1636" i="14"/>
  <c r="F1637" i="14"/>
  <c r="H1637" i="14"/>
  <c r="F1638" i="14"/>
  <c r="H1638" i="14"/>
  <c r="F1639" i="14"/>
  <c r="H1639" i="14"/>
  <c r="F1640" i="14"/>
  <c r="H1640" i="14"/>
  <c r="F1641" i="14"/>
  <c r="H1641" i="14"/>
  <c r="F1642" i="14"/>
  <c r="H1642" i="14"/>
  <c r="F1643" i="14"/>
  <c r="H1643" i="14"/>
  <c r="F1644" i="14"/>
  <c r="H1644" i="14"/>
  <c r="F1645" i="14"/>
  <c r="H1645" i="14"/>
  <c r="F1646" i="14"/>
  <c r="H1646" i="14"/>
  <c r="F1647" i="14"/>
  <c r="H1647" i="14"/>
  <c r="F1648" i="14"/>
  <c r="H1648" i="14"/>
  <c r="F1649" i="14"/>
  <c r="H1649" i="14"/>
  <c r="F1650" i="14"/>
  <c r="H1650" i="14"/>
  <c r="F1651" i="14"/>
  <c r="H1651" i="14"/>
  <c r="F1652" i="14"/>
  <c r="H1652" i="14"/>
  <c r="F1653" i="14"/>
  <c r="H1653" i="14"/>
  <c r="F1654" i="14"/>
  <c r="H1654" i="14"/>
  <c r="F1655" i="14"/>
  <c r="H1655" i="14"/>
  <c r="F1656" i="14"/>
  <c r="H1656" i="14"/>
  <c r="F1657" i="14"/>
  <c r="H1657" i="14"/>
  <c r="F1658" i="14"/>
  <c r="H1658" i="14"/>
  <c r="F1659" i="14"/>
  <c r="H1659" i="14"/>
  <c r="F1660" i="14"/>
  <c r="H1660" i="14"/>
  <c r="F1661" i="14"/>
  <c r="H1661" i="14"/>
  <c r="F1662" i="14"/>
  <c r="H1662" i="14"/>
  <c r="F1663" i="14"/>
  <c r="H1663" i="14"/>
  <c r="F1664" i="14"/>
  <c r="H1664" i="14"/>
  <c r="F1665" i="14"/>
  <c r="H1665" i="14"/>
  <c r="F1666" i="14"/>
  <c r="H1666" i="14"/>
  <c r="F1667" i="14"/>
  <c r="H1667" i="14"/>
  <c r="F1668" i="14"/>
  <c r="H1668" i="14"/>
  <c r="F1669" i="14"/>
  <c r="H1669" i="14"/>
  <c r="F1670" i="14"/>
  <c r="H1670" i="14"/>
  <c r="F1671" i="14"/>
  <c r="H1671" i="14"/>
  <c r="F1672" i="14"/>
  <c r="H1672" i="14"/>
  <c r="F1673" i="14"/>
  <c r="H1673" i="14"/>
  <c r="F1674" i="14"/>
  <c r="H1674" i="14"/>
  <c r="F1675" i="14"/>
  <c r="H1675" i="14"/>
  <c r="F1676" i="14"/>
  <c r="H1676" i="14"/>
  <c r="F1677" i="14"/>
  <c r="H1677" i="14"/>
  <c r="F1678" i="14"/>
  <c r="H1678" i="14"/>
  <c r="F1679" i="14"/>
  <c r="H1679" i="14"/>
  <c r="F1680" i="14"/>
  <c r="H1680" i="14"/>
  <c r="F1681" i="14"/>
  <c r="H1681" i="14"/>
  <c r="F1682" i="14"/>
  <c r="H1682" i="14"/>
  <c r="F1683" i="14"/>
  <c r="H1683" i="14"/>
  <c r="F1684" i="14"/>
  <c r="H1684" i="14"/>
  <c r="F1685" i="14"/>
  <c r="H1685" i="14"/>
  <c r="F1686" i="14"/>
  <c r="H1686" i="14"/>
  <c r="F1687" i="14"/>
  <c r="H1687" i="14"/>
  <c r="F1688" i="14"/>
  <c r="H1688" i="14"/>
  <c r="F1689" i="14"/>
  <c r="H1689" i="14"/>
  <c r="F1690" i="14"/>
  <c r="H1690" i="14"/>
  <c r="F1691" i="14"/>
  <c r="H1691" i="14"/>
  <c r="F1692" i="14"/>
  <c r="H1692" i="14"/>
  <c r="F1693" i="14"/>
  <c r="H1693" i="14"/>
  <c r="F1694" i="14"/>
  <c r="H1694" i="14"/>
  <c r="F1695" i="14"/>
  <c r="H1695" i="14"/>
  <c r="F1696" i="14"/>
  <c r="H1696" i="14"/>
  <c r="F1697" i="14"/>
  <c r="H1697" i="14"/>
  <c r="F1698" i="14"/>
  <c r="H1698" i="14"/>
  <c r="F1699" i="14"/>
  <c r="H1699" i="14"/>
  <c r="F1700" i="14"/>
  <c r="H1700" i="14"/>
  <c r="F1701" i="14"/>
  <c r="H1701" i="14"/>
  <c r="F1702" i="14"/>
  <c r="H1702" i="14"/>
  <c r="F1703" i="14"/>
  <c r="H1703" i="14"/>
  <c r="F1704" i="14"/>
  <c r="H1704" i="14"/>
  <c r="F1705" i="14"/>
  <c r="H1705" i="14"/>
  <c r="F1706" i="14"/>
  <c r="H1706" i="14"/>
  <c r="F1707" i="14"/>
  <c r="H1707" i="14"/>
  <c r="F1708" i="14"/>
  <c r="H1708" i="14"/>
  <c r="F1709" i="14"/>
  <c r="H1709" i="14"/>
  <c r="F1710" i="14"/>
  <c r="H1710" i="14"/>
  <c r="F1711" i="14"/>
  <c r="H1711" i="14"/>
  <c r="F1712" i="14"/>
  <c r="H1712" i="14"/>
  <c r="F1713" i="14"/>
  <c r="H1713" i="14"/>
  <c r="F1714" i="14"/>
  <c r="H1714" i="14"/>
  <c r="F1715" i="14"/>
  <c r="H1715" i="14"/>
  <c r="F1716" i="14"/>
  <c r="H1716" i="14"/>
  <c r="F1717" i="14"/>
  <c r="H1717" i="14"/>
  <c r="F1718" i="14"/>
  <c r="H1718" i="14"/>
  <c r="F1719" i="14"/>
  <c r="H1719" i="14"/>
  <c r="F1720" i="14"/>
  <c r="H1720" i="14"/>
  <c r="F1721" i="14"/>
  <c r="H1721" i="14"/>
  <c r="F1722" i="14"/>
  <c r="H1722" i="14"/>
  <c r="F1723" i="14"/>
  <c r="H1723" i="14"/>
  <c r="F1724" i="14"/>
  <c r="H1724" i="14"/>
  <c r="F1725" i="14"/>
  <c r="H1725" i="14"/>
  <c r="F1726" i="14"/>
  <c r="H1726" i="14"/>
  <c r="F1727" i="14"/>
  <c r="H1727" i="14"/>
  <c r="F1728" i="14"/>
  <c r="H1728" i="14"/>
  <c r="F1729" i="14"/>
  <c r="H1729" i="14"/>
  <c r="F1730" i="14"/>
  <c r="H1730" i="14"/>
  <c r="F1731" i="14"/>
  <c r="H1731" i="14"/>
  <c r="F1732" i="14"/>
  <c r="H1732" i="14"/>
  <c r="F1733" i="14"/>
  <c r="H1733" i="14"/>
  <c r="F1734" i="14"/>
  <c r="H1734" i="14"/>
  <c r="F1735" i="14"/>
  <c r="H1735" i="14"/>
  <c r="F1736" i="14"/>
  <c r="H1736" i="14"/>
  <c r="F1737" i="14"/>
  <c r="H1737" i="14"/>
  <c r="F1738" i="14"/>
  <c r="H1738" i="14"/>
  <c r="F1739" i="14"/>
  <c r="H1739" i="14"/>
  <c r="F1740" i="14"/>
  <c r="H1740" i="14"/>
  <c r="F1741" i="14"/>
  <c r="H1741" i="14"/>
  <c r="F1742" i="14"/>
  <c r="H1742" i="14"/>
  <c r="F1743" i="14"/>
  <c r="H1743" i="14"/>
  <c r="F1744" i="14"/>
  <c r="H1744" i="14"/>
  <c r="F1745" i="14"/>
  <c r="H1745" i="14"/>
  <c r="F1746" i="14"/>
  <c r="H1746" i="14"/>
  <c r="F1747" i="14"/>
  <c r="H1747" i="14"/>
  <c r="F1748" i="14"/>
  <c r="H1748" i="14"/>
  <c r="F1749" i="14"/>
  <c r="H1749" i="14"/>
  <c r="F1750" i="14"/>
  <c r="H1750" i="14"/>
  <c r="F1751" i="14"/>
  <c r="H1751" i="14"/>
  <c r="F1752" i="14"/>
  <c r="H1752" i="14"/>
  <c r="F1753" i="14"/>
  <c r="H1753" i="14"/>
  <c r="F1754" i="14"/>
  <c r="H1754" i="14"/>
  <c r="F1755" i="14"/>
  <c r="H1755" i="14"/>
  <c r="F1756" i="14"/>
  <c r="H1756" i="14"/>
  <c r="F1757" i="14"/>
  <c r="H1757" i="14"/>
  <c r="F1758" i="14"/>
  <c r="H1758" i="14"/>
  <c r="F1759" i="14"/>
  <c r="H1759" i="14"/>
  <c r="F1760" i="14"/>
  <c r="H1760" i="14"/>
  <c r="F1761" i="14"/>
  <c r="H1761" i="14"/>
  <c r="F1762" i="14"/>
  <c r="H1762" i="14"/>
  <c r="F1763" i="14"/>
  <c r="H1763" i="14"/>
  <c r="F1764" i="14"/>
  <c r="H1764" i="14"/>
  <c r="F1765" i="14"/>
  <c r="H1765" i="14"/>
  <c r="F1766" i="14"/>
  <c r="H1766" i="14"/>
  <c r="F1767" i="14"/>
  <c r="H1767" i="14"/>
  <c r="F1768" i="14"/>
  <c r="H1768" i="14"/>
  <c r="F1769" i="14"/>
  <c r="H1769" i="14"/>
  <c r="F1770" i="14"/>
  <c r="H1770" i="14"/>
  <c r="F1771" i="14"/>
  <c r="H1771" i="14"/>
  <c r="F1772" i="14"/>
  <c r="H1772" i="14"/>
  <c r="F1773" i="14"/>
  <c r="H1773" i="14"/>
  <c r="F1774" i="14"/>
  <c r="H1774" i="14"/>
  <c r="F1775" i="14"/>
  <c r="H1775" i="14"/>
  <c r="F1776" i="14"/>
  <c r="H1776" i="14"/>
  <c r="F1777" i="14"/>
  <c r="H1777" i="14"/>
  <c r="F1778" i="14"/>
  <c r="H1778" i="14"/>
  <c r="F1779" i="14"/>
  <c r="H1779" i="14"/>
  <c r="F1780" i="14"/>
  <c r="H1780" i="14"/>
  <c r="F1781" i="14"/>
  <c r="H1781" i="14"/>
  <c r="F1782" i="14"/>
  <c r="H1782" i="14"/>
  <c r="F1783" i="14"/>
  <c r="H1783" i="14"/>
  <c r="F1784" i="14"/>
  <c r="H1784" i="14"/>
  <c r="F1785" i="14"/>
  <c r="H1785" i="14"/>
  <c r="F1786" i="14"/>
  <c r="H1786" i="14"/>
  <c r="F1787" i="14"/>
  <c r="H1787" i="14"/>
  <c r="F1788" i="14"/>
  <c r="H1788" i="14"/>
  <c r="F1789" i="14"/>
  <c r="H1789" i="14"/>
  <c r="F1790" i="14"/>
  <c r="H1790" i="14"/>
  <c r="F1791" i="14"/>
  <c r="H1791" i="14"/>
  <c r="F1792" i="14"/>
  <c r="H1792" i="14"/>
  <c r="F1793" i="14"/>
  <c r="H1793" i="14"/>
  <c r="F1794" i="14"/>
  <c r="H1794" i="14"/>
  <c r="F1795" i="14"/>
  <c r="H1795" i="14"/>
  <c r="F1796" i="14"/>
  <c r="H1796" i="14"/>
  <c r="F1797" i="14"/>
  <c r="H1797" i="14"/>
  <c r="F1798" i="14"/>
  <c r="H1798" i="14"/>
  <c r="F1799" i="14"/>
  <c r="H1799" i="14"/>
  <c r="F1800" i="14"/>
  <c r="H1800" i="14"/>
  <c r="F1801" i="14"/>
  <c r="H1801" i="14"/>
  <c r="F1802" i="14"/>
  <c r="H1802" i="14"/>
  <c r="F1803" i="14"/>
  <c r="H1803" i="14"/>
  <c r="F1804" i="14"/>
  <c r="H1804" i="14"/>
  <c r="F1805" i="14"/>
  <c r="H1805" i="14"/>
  <c r="F1806" i="14"/>
  <c r="H1806" i="14"/>
  <c r="F1807" i="14"/>
  <c r="H1807" i="14"/>
  <c r="F1808" i="14"/>
  <c r="H1808" i="14"/>
  <c r="F1809" i="14"/>
  <c r="H1809" i="14"/>
  <c r="F1810" i="14"/>
  <c r="H1810" i="14"/>
  <c r="F1811" i="14"/>
  <c r="H1811" i="14"/>
  <c r="F1812" i="14"/>
  <c r="H1812" i="14"/>
  <c r="F1813" i="14"/>
  <c r="H1813" i="14"/>
  <c r="F1814" i="14"/>
  <c r="H1814" i="14"/>
  <c r="F1815" i="14"/>
  <c r="H1815" i="14"/>
  <c r="F1816" i="14"/>
  <c r="H1816" i="14"/>
  <c r="F1817" i="14"/>
  <c r="H1817" i="14"/>
  <c r="F1818" i="14"/>
  <c r="H1818" i="14"/>
  <c r="F1819" i="14"/>
  <c r="H1819" i="14"/>
  <c r="F1820" i="14"/>
  <c r="H1820" i="14"/>
  <c r="F1821" i="14"/>
  <c r="H1821" i="14"/>
  <c r="F1822" i="14"/>
  <c r="H1822" i="14"/>
  <c r="F1823" i="14"/>
  <c r="H1823" i="14"/>
  <c r="F1824" i="14"/>
  <c r="H1824" i="14"/>
  <c r="F1825" i="14"/>
  <c r="H1825" i="14"/>
  <c r="F1826" i="14"/>
  <c r="H1826" i="14"/>
  <c r="F1827" i="14"/>
  <c r="H1827" i="14"/>
  <c r="F1828" i="14"/>
  <c r="H1828" i="14"/>
  <c r="F1829" i="14"/>
  <c r="H1829" i="14"/>
  <c r="F1830" i="14"/>
  <c r="H1830" i="14"/>
  <c r="F1831" i="14"/>
  <c r="H1831" i="14"/>
  <c r="F1832" i="14"/>
  <c r="H1832" i="14"/>
  <c r="F1833" i="14"/>
  <c r="H1833" i="14"/>
  <c r="F1834" i="14"/>
  <c r="H1834" i="14"/>
  <c r="F1835" i="14"/>
  <c r="H1835" i="14"/>
  <c r="F1836" i="14"/>
  <c r="H1836" i="14"/>
  <c r="F1837" i="14"/>
  <c r="H1837" i="14"/>
  <c r="F1838" i="14"/>
  <c r="H1838" i="14"/>
  <c r="F1839" i="14"/>
  <c r="H1839" i="14"/>
  <c r="F1840" i="14"/>
  <c r="H1840" i="14"/>
  <c r="F1841" i="14"/>
  <c r="H1841" i="14"/>
  <c r="F1842" i="14"/>
  <c r="H1842" i="14"/>
  <c r="F1843" i="14"/>
  <c r="H1843" i="14"/>
  <c r="F1844" i="14"/>
  <c r="H1844" i="14"/>
  <c r="F1845" i="14"/>
  <c r="H1845" i="14"/>
  <c r="F1846" i="14"/>
  <c r="H1846" i="14"/>
  <c r="F1847" i="14"/>
  <c r="H1847" i="14"/>
  <c r="F1848" i="14"/>
  <c r="H1848" i="14"/>
  <c r="F1849" i="14"/>
  <c r="H1849" i="14"/>
  <c r="F1850" i="14"/>
  <c r="H1850" i="14"/>
  <c r="F1851" i="14"/>
  <c r="H1851" i="14"/>
  <c r="F1852" i="14"/>
  <c r="H1852" i="14"/>
  <c r="F1853" i="14"/>
  <c r="H1853" i="14"/>
  <c r="F1854" i="14"/>
  <c r="H1854" i="14"/>
  <c r="F1855" i="14"/>
  <c r="H1855" i="14"/>
  <c r="F1856" i="14"/>
  <c r="H1856" i="14"/>
  <c r="F1857" i="14"/>
  <c r="H1857" i="14"/>
  <c r="F1858" i="14"/>
  <c r="H1858" i="14"/>
  <c r="F1859" i="14"/>
  <c r="H1859" i="14"/>
  <c r="F1860" i="14"/>
  <c r="H1860" i="14"/>
  <c r="F1861" i="14"/>
  <c r="H1861" i="14"/>
  <c r="F1862" i="14"/>
  <c r="H1862" i="14"/>
  <c r="F1863" i="14"/>
  <c r="H1863" i="14"/>
  <c r="F1864" i="14"/>
  <c r="H1864" i="14"/>
  <c r="F1865" i="14"/>
  <c r="H1865" i="14"/>
  <c r="F1866" i="14"/>
  <c r="H1866" i="14"/>
  <c r="F1867" i="14"/>
  <c r="H1867" i="14"/>
  <c r="F1868" i="14"/>
  <c r="H1868" i="14"/>
  <c r="F1869" i="14"/>
  <c r="H1869" i="14"/>
  <c r="F1870" i="14"/>
  <c r="H1870" i="14"/>
  <c r="F1871" i="14"/>
  <c r="H1871" i="14"/>
  <c r="F1872" i="14"/>
  <c r="H1872" i="14"/>
  <c r="F1873" i="14"/>
  <c r="H1873" i="14"/>
  <c r="F1874" i="14"/>
  <c r="H1874" i="14"/>
  <c r="F1875" i="14"/>
  <c r="H1875" i="14"/>
  <c r="F1876" i="14"/>
  <c r="H1876" i="14"/>
  <c r="F1877" i="14"/>
  <c r="H1877" i="14"/>
  <c r="F1878" i="14"/>
  <c r="H1878" i="14"/>
  <c r="F1879" i="14"/>
  <c r="H1879" i="14"/>
  <c r="F1880" i="14"/>
  <c r="H1880" i="14"/>
  <c r="F1881" i="14"/>
  <c r="H1881" i="14"/>
  <c r="F1882" i="14"/>
  <c r="H1882" i="14"/>
  <c r="F1883" i="14"/>
  <c r="H1883" i="14"/>
  <c r="F1884" i="14"/>
  <c r="H1884" i="14"/>
  <c r="F1885" i="14"/>
  <c r="H1885" i="14"/>
  <c r="F1886" i="14"/>
  <c r="H1886" i="14"/>
  <c r="F1887" i="14"/>
  <c r="H1887" i="14"/>
  <c r="F1888" i="14"/>
  <c r="H1888" i="14"/>
  <c r="F1889" i="14"/>
  <c r="H1889" i="14"/>
  <c r="F1890" i="14"/>
  <c r="H1890" i="14"/>
  <c r="F1891" i="14"/>
  <c r="H1891" i="14"/>
  <c r="F1892" i="14"/>
  <c r="H1892" i="14"/>
  <c r="F1893" i="14"/>
  <c r="H1893" i="14"/>
  <c r="F1894" i="14"/>
  <c r="H1894" i="14"/>
  <c r="F1895" i="14"/>
  <c r="H1895" i="14"/>
  <c r="F1896" i="14"/>
  <c r="H1896" i="14"/>
  <c r="F1897" i="14"/>
  <c r="H1897" i="14"/>
  <c r="F1898" i="14"/>
  <c r="H1898" i="14"/>
  <c r="F1899" i="14"/>
  <c r="H1899" i="14"/>
  <c r="F1900" i="14"/>
  <c r="H1900" i="14"/>
  <c r="F1901" i="14"/>
  <c r="H1901" i="14"/>
  <c r="F1902" i="14"/>
  <c r="H1902" i="14"/>
  <c r="F1903" i="14"/>
  <c r="H1903" i="14"/>
  <c r="F1904" i="14"/>
  <c r="H1904" i="14"/>
  <c r="F1905" i="14"/>
  <c r="H1905" i="14"/>
  <c r="F1906" i="14"/>
  <c r="H1906" i="14"/>
  <c r="F1907" i="14"/>
  <c r="H1907" i="14"/>
  <c r="F1908" i="14"/>
  <c r="H1908" i="14"/>
  <c r="F1909" i="14"/>
  <c r="H1909" i="14"/>
  <c r="F1910" i="14"/>
  <c r="H1910" i="14"/>
  <c r="F1911" i="14"/>
  <c r="H1911" i="14"/>
  <c r="F1912" i="14"/>
  <c r="H1912" i="14"/>
  <c r="F1913" i="14"/>
  <c r="H1913" i="14"/>
  <c r="F1914" i="14"/>
  <c r="H1914" i="14"/>
  <c r="F1915" i="14"/>
  <c r="H1915" i="14"/>
  <c r="F1916" i="14"/>
  <c r="H1916" i="14"/>
  <c r="F1917" i="14"/>
  <c r="H1917" i="14"/>
  <c r="F1918" i="14"/>
  <c r="H1918" i="14"/>
  <c r="F1919" i="14"/>
  <c r="H1919" i="14"/>
  <c r="F1920" i="14"/>
  <c r="H1920" i="14"/>
  <c r="F1921" i="14"/>
  <c r="H1921" i="14"/>
  <c r="F1922" i="14"/>
  <c r="H1922" i="14"/>
  <c r="F1923" i="14"/>
  <c r="H1923" i="14"/>
  <c r="F1924" i="14"/>
  <c r="H1924" i="14"/>
  <c r="F1925" i="14"/>
  <c r="H1925" i="14"/>
  <c r="F1926" i="14"/>
  <c r="H1926" i="14"/>
  <c r="F1927" i="14"/>
  <c r="H1927" i="14"/>
  <c r="F1928" i="14"/>
  <c r="H1928" i="14"/>
  <c r="F1929" i="14"/>
  <c r="H1929" i="14"/>
  <c r="F1930" i="14"/>
  <c r="H1930" i="14"/>
  <c r="F1931" i="14"/>
  <c r="H1931" i="14"/>
  <c r="F1932" i="14"/>
  <c r="H1932" i="14"/>
  <c r="F1933" i="14"/>
  <c r="H1933" i="14"/>
  <c r="F1934" i="14"/>
  <c r="H1934" i="14"/>
  <c r="F1935" i="14"/>
  <c r="H1935" i="14"/>
  <c r="F1936" i="14"/>
  <c r="H1936" i="14"/>
  <c r="F1937" i="14"/>
  <c r="H1937" i="14"/>
  <c r="F1938" i="14"/>
  <c r="H1938" i="14"/>
  <c r="F1939" i="14"/>
  <c r="H1939" i="14"/>
  <c r="F1940" i="14"/>
  <c r="H1940" i="14"/>
  <c r="F1941" i="14"/>
  <c r="H1941" i="14"/>
  <c r="F1942" i="14"/>
  <c r="H1942" i="14"/>
  <c r="F1943" i="14"/>
  <c r="H1943" i="14"/>
  <c r="F1944" i="14"/>
  <c r="H1944" i="14"/>
  <c r="F1945" i="14"/>
  <c r="H1945" i="14"/>
  <c r="F1946" i="14"/>
  <c r="H1946" i="14"/>
  <c r="F1947" i="14"/>
  <c r="H1947" i="14"/>
  <c r="F1948" i="14"/>
  <c r="H1948" i="14"/>
  <c r="F1949" i="14"/>
  <c r="H1949" i="14"/>
  <c r="F1950" i="14"/>
  <c r="H1950" i="14"/>
  <c r="F1951" i="14"/>
  <c r="H1951" i="14"/>
  <c r="F1952" i="14"/>
  <c r="H1952" i="14"/>
  <c r="F1953" i="14"/>
  <c r="H1953" i="14"/>
  <c r="F1954" i="14"/>
  <c r="H1954" i="14"/>
  <c r="F1955" i="14"/>
  <c r="H1955" i="14"/>
  <c r="F1956" i="14"/>
  <c r="H1956" i="14"/>
  <c r="F1957" i="14"/>
  <c r="H1957" i="14"/>
  <c r="F1958" i="14"/>
  <c r="H1958" i="14"/>
  <c r="F1959" i="14"/>
  <c r="H1959" i="14"/>
  <c r="F1960" i="14"/>
  <c r="H1960" i="14"/>
  <c r="F1961" i="14"/>
  <c r="H1961" i="14"/>
  <c r="F1962" i="14"/>
  <c r="H1962" i="14"/>
  <c r="F1963" i="14"/>
  <c r="H1963" i="14"/>
  <c r="F1964" i="14"/>
  <c r="H1964" i="14"/>
  <c r="F1965" i="14"/>
  <c r="H1965" i="14"/>
  <c r="F1966" i="14"/>
  <c r="H1966" i="14"/>
  <c r="F1967" i="14"/>
  <c r="H1967" i="14"/>
  <c r="F1968" i="14"/>
  <c r="H1968" i="14"/>
  <c r="F1969" i="14"/>
  <c r="H1969" i="14"/>
  <c r="F1970" i="14"/>
  <c r="H1970" i="14"/>
  <c r="F1971" i="14"/>
  <c r="H1971" i="14"/>
  <c r="F1972" i="14"/>
  <c r="H1972" i="14"/>
  <c r="F1973" i="14"/>
  <c r="H1973" i="14"/>
  <c r="F1974" i="14"/>
  <c r="H1974" i="14"/>
  <c r="F1975" i="14"/>
  <c r="H1975" i="14"/>
  <c r="F1976" i="14"/>
  <c r="H1976" i="14"/>
  <c r="F1977" i="14"/>
  <c r="H1977" i="14"/>
  <c r="F1978" i="14"/>
  <c r="H1978" i="14"/>
  <c r="F1979" i="14"/>
  <c r="H1979" i="14"/>
  <c r="F1980" i="14"/>
  <c r="H1980" i="14"/>
  <c r="F1981" i="14"/>
  <c r="H1981" i="14"/>
  <c r="F1982" i="14"/>
  <c r="H1982" i="14"/>
  <c r="F1983" i="14"/>
  <c r="H1983" i="14"/>
  <c r="F1984" i="14"/>
  <c r="H1984" i="14"/>
  <c r="F1985" i="14"/>
  <c r="H1985" i="14"/>
  <c r="F1986" i="14"/>
  <c r="H1986" i="14"/>
  <c r="F1987" i="14"/>
  <c r="H1987" i="14"/>
  <c r="F1988" i="14"/>
  <c r="H1988" i="14"/>
  <c r="F1989" i="14"/>
  <c r="H1989" i="14"/>
  <c r="F1990" i="14"/>
  <c r="H1990" i="14"/>
  <c r="F1991" i="14"/>
  <c r="H1991" i="14"/>
  <c r="F1992" i="14"/>
  <c r="H1992" i="14"/>
  <c r="F1993" i="14"/>
  <c r="H1993" i="14"/>
  <c r="F1994" i="14"/>
  <c r="H1994" i="14"/>
  <c r="F1995" i="14"/>
  <c r="H1995" i="14"/>
  <c r="F1996" i="14"/>
  <c r="H1996" i="14"/>
  <c r="F1997" i="14"/>
  <c r="H1997" i="14"/>
  <c r="F1998" i="14"/>
  <c r="H1998" i="14"/>
  <c r="F1999" i="14"/>
  <c r="H1999" i="14"/>
  <c r="F2000" i="14"/>
  <c r="H2000" i="14"/>
  <c r="F2001" i="14"/>
  <c r="H2001" i="14"/>
  <c r="F2002" i="14"/>
  <c r="H2002" i="14"/>
  <c r="F2003" i="14"/>
  <c r="H2003" i="14"/>
  <c r="F2004" i="14"/>
  <c r="H2004" i="14"/>
  <c r="F2005" i="14"/>
  <c r="H2005" i="14"/>
  <c r="F2006" i="14"/>
  <c r="H2006" i="14"/>
  <c r="F2007" i="14"/>
  <c r="H2007" i="14"/>
  <c r="F2008" i="14"/>
  <c r="H2008" i="14"/>
  <c r="F2009" i="14"/>
  <c r="H2009" i="14"/>
  <c r="F2010" i="14"/>
  <c r="H2010" i="14"/>
  <c r="F2011" i="14"/>
  <c r="H2011" i="14"/>
  <c r="F2012" i="14"/>
  <c r="H2012" i="14"/>
  <c r="F2013" i="14"/>
  <c r="H2013" i="14"/>
  <c r="F2014" i="14"/>
  <c r="H2014" i="14"/>
  <c r="F2015" i="14"/>
  <c r="H2015" i="14"/>
  <c r="F2016" i="14"/>
  <c r="H2016" i="14"/>
  <c r="F2017" i="14"/>
  <c r="H2017" i="14"/>
  <c r="F2018" i="14"/>
  <c r="H2018" i="14"/>
  <c r="F2019" i="14"/>
  <c r="H2019" i="14"/>
  <c r="F2020" i="14"/>
  <c r="H2020" i="14"/>
  <c r="F2021" i="14"/>
  <c r="H2021" i="14"/>
  <c r="F2022" i="14"/>
  <c r="H2022" i="14"/>
  <c r="F2023" i="14"/>
  <c r="H2023" i="14"/>
  <c r="F2024" i="14"/>
  <c r="H2024" i="14"/>
  <c r="F2025" i="14"/>
  <c r="H2025" i="14"/>
  <c r="F2026" i="14"/>
  <c r="H2026" i="14"/>
  <c r="F2027" i="14"/>
  <c r="H2027" i="14"/>
  <c r="F2028" i="14"/>
  <c r="H2028" i="14"/>
  <c r="F2029" i="14"/>
  <c r="H2029" i="14"/>
  <c r="F2030" i="14"/>
  <c r="H2030" i="14"/>
  <c r="F2031" i="14"/>
  <c r="H2031" i="14"/>
  <c r="F2032" i="14"/>
  <c r="H2032" i="14"/>
  <c r="F2033" i="14"/>
  <c r="H2033" i="14"/>
  <c r="F2034" i="14"/>
  <c r="H2034" i="14"/>
  <c r="F2035" i="14"/>
  <c r="H2035" i="14"/>
  <c r="F2036" i="14"/>
  <c r="H2036" i="14"/>
  <c r="F2037" i="14"/>
  <c r="H2037" i="14"/>
  <c r="F2038" i="14"/>
  <c r="H2038" i="14"/>
  <c r="F2039" i="14"/>
  <c r="H2039" i="14"/>
  <c r="F2040" i="14"/>
  <c r="H2040" i="14"/>
  <c r="F2041" i="14"/>
  <c r="H2041" i="14"/>
  <c r="F2042" i="14"/>
  <c r="H2042" i="14"/>
  <c r="F2043" i="14"/>
  <c r="H2043" i="14"/>
  <c r="F2044" i="14"/>
  <c r="H2044" i="14"/>
  <c r="F2045" i="14"/>
  <c r="H2045" i="14"/>
  <c r="F2046" i="14"/>
  <c r="H2046" i="14"/>
  <c r="F2047" i="14"/>
  <c r="H2047" i="14"/>
  <c r="F2048" i="14"/>
  <c r="H2048" i="14"/>
  <c r="F2049" i="14"/>
  <c r="H2049" i="14"/>
  <c r="F2050" i="14"/>
  <c r="H2050" i="14"/>
  <c r="F2051" i="14"/>
  <c r="H2051" i="14"/>
  <c r="F2052" i="14"/>
  <c r="H2052" i="14"/>
  <c r="F2053" i="14"/>
  <c r="H2053" i="14"/>
  <c r="F2054" i="14"/>
  <c r="H2054" i="14"/>
  <c r="F2055" i="14"/>
  <c r="H2055" i="14"/>
  <c r="F2056" i="14"/>
  <c r="H2056" i="14"/>
  <c r="F2057" i="14"/>
  <c r="H2057" i="14"/>
  <c r="F2058" i="14"/>
  <c r="H2058" i="14"/>
  <c r="F2059" i="14"/>
  <c r="H2059" i="14"/>
  <c r="F2060" i="14"/>
  <c r="H2060" i="14"/>
  <c r="F2061" i="14"/>
  <c r="H2061" i="14"/>
  <c r="F2062" i="14"/>
  <c r="H2062" i="14"/>
  <c r="F2063" i="14"/>
  <c r="H2063" i="14"/>
  <c r="F2064" i="14"/>
  <c r="H2064" i="14"/>
  <c r="F2065" i="14"/>
  <c r="H2065" i="14"/>
  <c r="F2066" i="14"/>
  <c r="H2066" i="14"/>
  <c r="F2067" i="14"/>
  <c r="H2067" i="14"/>
  <c r="F2068" i="14"/>
  <c r="H2068" i="14"/>
  <c r="F2069" i="14"/>
  <c r="H2069" i="14"/>
  <c r="F2070" i="14"/>
  <c r="H2070" i="14"/>
  <c r="F2071" i="14"/>
  <c r="H2071" i="14"/>
  <c r="F2072" i="14"/>
  <c r="H2072" i="14"/>
  <c r="F2073" i="14"/>
  <c r="H2073" i="14"/>
  <c r="F2074" i="14"/>
  <c r="H2074" i="14"/>
  <c r="F2075" i="14"/>
  <c r="H2075" i="14"/>
  <c r="F2076" i="14"/>
  <c r="H2076" i="14"/>
  <c r="F2077" i="14"/>
  <c r="H2077" i="14"/>
  <c r="F2078" i="14"/>
  <c r="H2078" i="14"/>
  <c r="F2079" i="14"/>
  <c r="H2079" i="14"/>
  <c r="F2080" i="14"/>
  <c r="H2080" i="14"/>
  <c r="F2081" i="14"/>
  <c r="H2081" i="14"/>
  <c r="F2082" i="14"/>
  <c r="H2082" i="14"/>
  <c r="F2083" i="14"/>
  <c r="H2083" i="14"/>
  <c r="F2084" i="14"/>
  <c r="H2084" i="14"/>
  <c r="F2085" i="14"/>
  <c r="H2085" i="14"/>
  <c r="F2086" i="14"/>
  <c r="H2086" i="14"/>
  <c r="F2087" i="14"/>
  <c r="H2087" i="14"/>
  <c r="F2088" i="14"/>
  <c r="H2088" i="14"/>
  <c r="F2089" i="14"/>
  <c r="H2089" i="14"/>
  <c r="F2090" i="14"/>
  <c r="H2090" i="14"/>
  <c r="F2091" i="14"/>
  <c r="H2091" i="14"/>
  <c r="F2092" i="14"/>
  <c r="H2092" i="14"/>
  <c r="F2093" i="14"/>
  <c r="H2093" i="14"/>
  <c r="F2094" i="14"/>
  <c r="H2094" i="14"/>
  <c r="F2095" i="14"/>
  <c r="H2095" i="14"/>
  <c r="F2096" i="14"/>
  <c r="H2096" i="14"/>
  <c r="F2097" i="14"/>
  <c r="H2097" i="14"/>
  <c r="F2098" i="14"/>
  <c r="H2098" i="14"/>
  <c r="F2099" i="14"/>
  <c r="H2099" i="14"/>
  <c r="F2100" i="14"/>
  <c r="H2100" i="14"/>
  <c r="F2101" i="14"/>
  <c r="H2101" i="14"/>
  <c r="F2102" i="14"/>
  <c r="H2102" i="14"/>
  <c r="F2103" i="14"/>
  <c r="H2103" i="14"/>
  <c r="F2104" i="14"/>
  <c r="H2104" i="14"/>
  <c r="F2105" i="14"/>
  <c r="H2105" i="14"/>
  <c r="F2106" i="14"/>
  <c r="H2106" i="14"/>
  <c r="F2107" i="14"/>
  <c r="H2107" i="14"/>
  <c r="F2108" i="14"/>
  <c r="H2108" i="14"/>
  <c r="F2109" i="14"/>
  <c r="H2109" i="14"/>
  <c r="F2110" i="14"/>
  <c r="H2110" i="14"/>
  <c r="F2111" i="14"/>
  <c r="H2111" i="14"/>
  <c r="F2112" i="14"/>
  <c r="H2112" i="14"/>
  <c r="F2113" i="14"/>
  <c r="H2113" i="14"/>
  <c r="F2114" i="14"/>
  <c r="H2114" i="14"/>
  <c r="F2115" i="14"/>
  <c r="H2115" i="14"/>
  <c r="F2116" i="14"/>
  <c r="H2116" i="14"/>
  <c r="F2117" i="14"/>
  <c r="H2117" i="14"/>
  <c r="F2118" i="14"/>
  <c r="H2118" i="14"/>
  <c r="F2119" i="14"/>
  <c r="H2119" i="14"/>
  <c r="F2120" i="14"/>
  <c r="H2120" i="14"/>
  <c r="F2121" i="14"/>
  <c r="H2121" i="14"/>
  <c r="F2122" i="14"/>
  <c r="H2122" i="14"/>
  <c r="F2123" i="14"/>
  <c r="H2123" i="14"/>
  <c r="F2124" i="14"/>
  <c r="H2124" i="14"/>
  <c r="F2125" i="14"/>
  <c r="H2125" i="14"/>
  <c r="F2126" i="14"/>
  <c r="H2126" i="14"/>
  <c r="F2127" i="14"/>
  <c r="H2127" i="14"/>
  <c r="F2128" i="14"/>
  <c r="H2128" i="14"/>
  <c r="F2129" i="14"/>
  <c r="H2129" i="14"/>
  <c r="F2130" i="14"/>
  <c r="H2130" i="14"/>
  <c r="F2131" i="14"/>
  <c r="H2131" i="14"/>
  <c r="F2132" i="14"/>
  <c r="H2132" i="14"/>
  <c r="F2133" i="14"/>
  <c r="H2133" i="14"/>
  <c r="F2134" i="14"/>
  <c r="H2134" i="14"/>
  <c r="F2135" i="14"/>
  <c r="H2135" i="14"/>
  <c r="F2136" i="14"/>
  <c r="H2136" i="14"/>
  <c r="F2137" i="14"/>
  <c r="H2137" i="14"/>
  <c r="F2138" i="14"/>
  <c r="H2138" i="14"/>
  <c r="F2139" i="14"/>
  <c r="H2139" i="14"/>
  <c r="F2140" i="14"/>
  <c r="H2140" i="14"/>
  <c r="F2141" i="14"/>
  <c r="H2141" i="14"/>
  <c r="F2142" i="14"/>
  <c r="H2142" i="14"/>
  <c r="F2143" i="14"/>
  <c r="H2143" i="14"/>
  <c r="F2144" i="14"/>
  <c r="H2144" i="14"/>
  <c r="F2145" i="14"/>
  <c r="H2145" i="14"/>
  <c r="F2146" i="14"/>
  <c r="H2146" i="14"/>
  <c r="F2147" i="14"/>
  <c r="H2147" i="14"/>
  <c r="F2148" i="14"/>
  <c r="H2148" i="14"/>
  <c r="F2149" i="14"/>
  <c r="H2149" i="14"/>
  <c r="F2150" i="14"/>
  <c r="H2150" i="14"/>
  <c r="F2151" i="14"/>
  <c r="H2151" i="14"/>
  <c r="F2152" i="14"/>
  <c r="H2152" i="14"/>
  <c r="F2153" i="14"/>
  <c r="H2153" i="14"/>
  <c r="F2154" i="14"/>
  <c r="H2154" i="14"/>
  <c r="F2155" i="14"/>
  <c r="H2155" i="14"/>
  <c r="F2156" i="14"/>
  <c r="H2156" i="14"/>
  <c r="F2157" i="14"/>
  <c r="H2157" i="14"/>
  <c r="F2158" i="14"/>
  <c r="H2158" i="14"/>
  <c r="F2159" i="14"/>
  <c r="H2159" i="14"/>
  <c r="F2160" i="14"/>
  <c r="H2160" i="14"/>
  <c r="F2161" i="14"/>
  <c r="H2161" i="14"/>
  <c r="F2162" i="14"/>
  <c r="H2162" i="14"/>
  <c r="F2163" i="14"/>
  <c r="H2163" i="14"/>
  <c r="F2164" i="14"/>
  <c r="H2164" i="14"/>
  <c r="F2165" i="14"/>
  <c r="H2165" i="14"/>
  <c r="F2166" i="14"/>
  <c r="H2166" i="14"/>
  <c r="F2167" i="14"/>
  <c r="H2167" i="14"/>
  <c r="F2168" i="14"/>
  <c r="H2168" i="14"/>
  <c r="F2169" i="14"/>
  <c r="H2169" i="14"/>
  <c r="F2170" i="14"/>
  <c r="H2170" i="14"/>
  <c r="F2171" i="14"/>
  <c r="H2171" i="14"/>
  <c r="F2172" i="14"/>
  <c r="H2172" i="14"/>
  <c r="F2173" i="14"/>
  <c r="H2173" i="14"/>
  <c r="F2174" i="14"/>
  <c r="H2174" i="14"/>
  <c r="F2175" i="14"/>
  <c r="H2175" i="14"/>
  <c r="F2176" i="14"/>
  <c r="H2176" i="14"/>
  <c r="F2177" i="14"/>
  <c r="H2177" i="14"/>
  <c r="F2178" i="14"/>
  <c r="H2178" i="14"/>
  <c r="F2179" i="14"/>
  <c r="H2179" i="14"/>
  <c r="F2180" i="14"/>
  <c r="H2180" i="14"/>
  <c r="F2181" i="14"/>
  <c r="H2181" i="14"/>
  <c r="F2182" i="14"/>
  <c r="H2182" i="14"/>
  <c r="F2183" i="14"/>
  <c r="H2183" i="14"/>
  <c r="F2184" i="14"/>
  <c r="H2184" i="14"/>
  <c r="F2185" i="14"/>
  <c r="H2185" i="14"/>
  <c r="F2186" i="14"/>
  <c r="H2186" i="14"/>
  <c r="F2187" i="14"/>
  <c r="H2187" i="14"/>
  <c r="F2188" i="14"/>
  <c r="H2188" i="14"/>
  <c r="F2189" i="14"/>
  <c r="H2189" i="14"/>
  <c r="F2190" i="14"/>
  <c r="H2190" i="14"/>
  <c r="F2191" i="14"/>
  <c r="H2191" i="14"/>
  <c r="F2192" i="14"/>
  <c r="H2192" i="14"/>
  <c r="F2193" i="14"/>
  <c r="H2193" i="14"/>
  <c r="F2194" i="14"/>
  <c r="H2194" i="14"/>
  <c r="F2195" i="14"/>
  <c r="H2195" i="14"/>
  <c r="F2196" i="14"/>
  <c r="H2196" i="14"/>
  <c r="F2197" i="14"/>
  <c r="H2197" i="14"/>
  <c r="F2198" i="14"/>
  <c r="H2198" i="14"/>
  <c r="F2199" i="14"/>
  <c r="H2199" i="14"/>
  <c r="F2200" i="14"/>
  <c r="H2200" i="14"/>
  <c r="F2201" i="14"/>
  <c r="H2201" i="14"/>
  <c r="F2202" i="14"/>
  <c r="H2202" i="14"/>
  <c r="F2203" i="14"/>
  <c r="H2203" i="14"/>
  <c r="F2204" i="14"/>
  <c r="H2204" i="14"/>
  <c r="F2205" i="14"/>
  <c r="H2205" i="14"/>
  <c r="F2206" i="14"/>
  <c r="H2206" i="14"/>
  <c r="F2207" i="14"/>
  <c r="H2207" i="14"/>
  <c r="F2208" i="14"/>
  <c r="H2208" i="14"/>
  <c r="F2209" i="14"/>
  <c r="H2209" i="14"/>
  <c r="F2210" i="14"/>
  <c r="H2210" i="14"/>
  <c r="F2211" i="14"/>
  <c r="H2211" i="14"/>
  <c r="F2212" i="14"/>
  <c r="H2212" i="14"/>
  <c r="F2213" i="14"/>
  <c r="H2213" i="14"/>
  <c r="F2214" i="14"/>
  <c r="H2214" i="14"/>
  <c r="F2215" i="14"/>
  <c r="H2215" i="14"/>
  <c r="F2216" i="14"/>
  <c r="H2216" i="14"/>
  <c r="F2217" i="14"/>
  <c r="H2217" i="14"/>
  <c r="F2218" i="14"/>
  <c r="H2218" i="14"/>
  <c r="F2219" i="14"/>
  <c r="H2219" i="14"/>
  <c r="F2220" i="14"/>
  <c r="H2220" i="14"/>
  <c r="F2221" i="14"/>
  <c r="H2221" i="14"/>
  <c r="F2222" i="14"/>
  <c r="H2222" i="14"/>
  <c r="F2223" i="14"/>
  <c r="H2223" i="14"/>
  <c r="F2224" i="14"/>
  <c r="H2224" i="14"/>
  <c r="F2225" i="14"/>
  <c r="H2225" i="14"/>
  <c r="F2226" i="14"/>
  <c r="H2226" i="14"/>
  <c r="F2227" i="14"/>
  <c r="H2227" i="14"/>
  <c r="F2228" i="14"/>
  <c r="H2228" i="14"/>
  <c r="F2229" i="14"/>
  <c r="H2229" i="14"/>
  <c r="F2230" i="14"/>
  <c r="H2230" i="14"/>
  <c r="F2231" i="14"/>
  <c r="H2231" i="14"/>
  <c r="F2232" i="14"/>
  <c r="H2232" i="14"/>
  <c r="F2233" i="14"/>
  <c r="H2233" i="14"/>
  <c r="F2234" i="14"/>
  <c r="H2234" i="14"/>
  <c r="F2235" i="14"/>
  <c r="H2235" i="14"/>
  <c r="F2236" i="14"/>
  <c r="H2236" i="14"/>
  <c r="F2237" i="14"/>
  <c r="H2237" i="14"/>
  <c r="F2238" i="14"/>
  <c r="H2238" i="14"/>
  <c r="F2239" i="14"/>
  <c r="H2239" i="14"/>
  <c r="F2240" i="14"/>
  <c r="H2240" i="14"/>
  <c r="F2241" i="14"/>
  <c r="H2241" i="14"/>
  <c r="F2242" i="14"/>
  <c r="H2242" i="14"/>
  <c r="F2243" i="14"/>
  <c r="H2243" i="14"/>
  <c r="F2244" i="14"/>
  <c r="H2244" i="14"/>
  <c r="F2245" i="14"/>
  <c r="H2245" i="14"/>
  <c r="F2246" i="14"/>
  <c r="H2246" i="14"/>
  <c r="F2247" i="14"/>
  <c r="H2247" i="14"/>
  <c r="F2248" i="14"/>
  <c r="H2248" i="14"/>
  <c r="F2249" i="14"/>
  <c r="H2249" i="14"/>
  <c r="F2250" i="14"/>
  <c r="H2250" i="14"/>
  <c r="F2251" i="14"/>
  <c r="H2251" i="14"/>
  <c r="F2252" i="14"/>
  <c r="H2252" i="14"/>
  <c r="F2253" i="14"/>
  <c r="H2253" i="14"/>
  <c r="F2254" i="14"/>
  <c r="H2254" i="14"/>
  <c r="F2255" i="14"/>
  <c r="H2255" i="14"/>
  <c r="F2256" i="14"/>
  <c r="H2256" i="14"/>
  <c r="F2257" i="14"/>
  <c r="H2257" i="14"/>
  <c r="F2258" i="14"/>
  <c r="H2258" i="14"/>
  <c r="F2259" i="14"/>
  <c r="H2259" i="14"/>
  <c r="F2260" i="14"/>
  <c r="H2260" i="14"/>
  <c r="F2261" i="14"/>
  <c r="H2261" i="14"/>
  <c r="F2262" i="14"/>
  <c r="H2262" i="14"/>
  <c r="F2263" i="14"/>
  <c r="H2263" i="14"/>
  <c r="F2264" i="14"/>
  <c r="H2264" i="14"/>
  <c r="F2265" i="14"/>
  <c r="H2265" i="14"/>
  <c r="F2266" i="14"/>
  <c r="H2266" i="14"/>
  <c r="F2267" i="14"/>
  <c r="H2267" i="14"/>
  <c r="F2268" i="14"/>
  <c r="H2268" i="14"/>
  <c r="F2269" i="14"/>
  <c r="H2269" i="14"/>
  <c r="F2270" i="14"/>
  <c r="H2270" i="14"/>
  <c r="F2271" i="14"/>
  <c r="H2271" i="14"/>
  <c r="F2272" i="14"/>
  <c r="H2272" i="14"/>
  <c r="F2273" i="14"/>
  <c r="H2273" i="14"/>
  <c r="F2274" i="14"/>
  <c r="H2274" i="14"/>
  <c r="F2275" i="14"/>
  <c r="H2275" i="14"/>
  <c r="F2276" i="14"/>
  <c r="H2276" i="14"/>
  <c r="F2277" i="14"/>
  <c r="H2277" i="14"/>
  <c r="F2278" i="14"/>
  <c r="H2278" i="14"/>
  <c r="F2279" i="14"/>
  <c r="H2279" i="14"/>
  <c r="F2280" i="14"/>
  <c r="H2280" i="14"/>
  <c r="F2281" i="14"/>
  <c r="H2281" i="14"/>
  <c r="F2282" i="14"/>
  <c r="H2282" i="14"/>
  <c r="F2283" i="14"/>
  <c r="H2283" i="14"/>
  <c r="F2284" i="14"/>
  <c r="H2284" i="14"/>
  <c r="F2285" i="14"/>
  <c r="H2285" i="14"/>
  <c r="F2286" i="14"/>
  <c r="H2286" i="14"/>
  <c r="F2287" i="14"/>
  <c r="H2287" i="14"/>
  <c r="F2288" i="14"/>
  <c r="H2288" i="14"/>
  <c r="F2289" i="14"/>
  <c r="H2289" i="14"/>
  <c r="F2290" i="14"/>
  <c r="H2290" i="14"/>
  <c r="F2291" i="14"/>
  <c r="H2291" i="14"/>
  <c r="F2292" i="14"/>
  <c r="H2292" i="14"/>
  <c r="F2293" i="14"/>
  <c r="H2293" i="14"/>
  <c r="F2294" i="14"/>
  <c r="H2294" i="14"/>
  <c r="F2295" i="14"/>
  <c r="H2295" i="14"/>
  <c r="F2296" i="14"/>
  <c r="H2296" i="14"/>
  <c r="F2297" i="14"/>
  <c r="H2297" i="14"/>
  <c r="F2298" i="14"/>
  <c r="H2298" i="14"/>
  <c r="F2299" i="14"/>
  <c r="H2299" i="14"/>
  <c r="F2300" i="14"/>
  <c r="H2300" i="14"/>
  <c r="F2301" i="14"/>
  <c r="H2301" i="14"/>
  <c r="F2302" i="14"/>
  <c r="H2302" i="14"/>
  <c r="F2303" i="14"/>
  <c r="H2303" i="14"/>
  <c r="F2304" i="14"/>
  <c r="H2304" i="14"/>
  <c r="F2305" i="14"/>
  <c r="H2305" i="14"/>
  <c r="F2306" i="14"/>
  <c r="H2306" i="14"/>
  <c r="F2307" i="14"/>
  <c r="H2307" i="14"/>
  <c r="F2308" i="14"/>
  <c r="H2308" i="14"/>
  <c r="F2309" i="14"/>
  <c r="H2309" i="14"/>
  <c r="F2310" i="14"/>
  <c r="H2310" i="14"/>
  <c r="F2311" i="14"/>
  <c r="H2311" i="14"/>
  <c r="F2312" i="14"/>
  <c r="H2312" i="14"/>
  <c r="F2313" i="14"/>
  <c r="H2313" i="14"/>
  <c r="F2314" i="14"/>
  <c r="H2314" i="14"/>
  <c r="F2315" i="14"/>
  <c r="H2315" i="14"/>
  <c r="F2316" i="14"/>
  <c r="H2316" i="14"/>
  <c r="F2317" i="14"/>
  <c r="H2317" i="14"/>
  <c r="F2318" i="14"/>
  <c r="H2318" i="14"/>
  <c r="F2319" i="14"/>
  <c r="H2319" i="14"/>
  <c r="F2320" i="14"/>
  <c r="H2320" i="14"/>
  <c r="F2321" i="14"/>
  <c r="H2321" i="14"/>
  <c r="F2322" i="14"/>
  <c r="H2322" i="14"/>
  <c r="F2323" i="14"/>
  <c r="H2323" i="14"/>
  <c r="F2324" i="14"/>
  <c r="H2324" i="14"/>
  <c r="F2325" i="14"/>
  <c r="H2325" i="14"/>
  <c r="F2326" i="14"/>
  <c r="H2326" i="14"/>
  <c r="F2327" i="14"/>
  <c r="H2327" i="14"/>
  <c r="F2328" i="14"/>
  <c r="H2328" i="14"/>
  <c r="F2329" i="14"/>
  <c r="H2329" i="14"/>
  <c r="F2330" i="14"/>
  <c r="H2330" i="14"/>
  <c r="F2331" i="14"/>
  <c r="H2331" i="14"/>
  <c r="F2332" i="14"/>
  <c r="H2332" i="14"/>
  <c r="F2333" i="14"/>
  <c r="H2333" i="14"/>
  <c r="F2334" i="14"/>
  <c r="H2334" i="14"/>
  <c r="F2335" i="14"/>
  <c r="H2335" i="14"/>
  <c r="F2336" i="14"/>
  <c r="H2336" i="14"/>
  <c r="F2337" i="14"/>
  <c r="H2337" i="14"/>
  <c r="F2338" i="14"/>
  <c r="H2338" i="14"/>
  <c r="F2339" i="14"/>
  <c r="H2339" i="14"/>
  <c r="F2340" i="14"/>
  <c r="H2340" i="14"/>
  <c r="F2341" i="14"/>
  <c r="H2341" i="14"/>
  <c r="F2342" i="14"/>
  <c r="H2342" i="14"/>
  <c r="F2343" i="14"/>
  <c r="H2343" i="14"/>
  <c r="F2344" i="14"/>
  <c r="H2344" i="14"/>
  <c r="F2345" i="14"/>
  <c r="H2345" i="14"/>
  <c r="F2346" i="14"/>
  <c r="H2346" i="14"/>
  <c r="F2347" i="14"/>
  <c r="H2347" i="14"/>
  <c r="F2348" i="14"/>
  <c r="H2348" i="14"/>
  <c r="F2349" i="14"/>
  <c r="H2349" i="14"/>
  <c r="F2350" i="14"/>
  <c r="H2350" i="14"/>
  <c r="F2351" i="14"/>
  <c r="H2351" i="14"/>
  <c r="F2352" i="14"/>
  <c r="H2352" i="14"/>
  <c r="F2353" i="14"/>
  <c r="H2353" i="14"/>
  <c r="F2354" i="14"/>
  <c r="H2354" i="14"/>
  <c r="F2355" i="14"/>
  <c r="H2355" i="14"/>
  <c r="F2356" i="14"/>
  <c r="H2356" i="14"/>
  <c r="F2357" i="14"/>
  <c r="H2357" i="14"/>
  <c r="F2358" i="14"/>
  <c r="H2358" i="14"/>
  <c r="F2359" i="14"/>
  <c r="H2359" i="14"/>
  <c r="F2360" i="14"/>
  <c r="H2360" i="14"/>
  <c r="F2361" i="14"/>
  <c r="H2361" i="14"/>
  <c r="F2362" i="14"/>
  <c r="H2362" i="14"/>
  <c r="F2363" i="14"/>
  <c r="H2363" i="14"/>
  <c r="F2364" i="14"/>
  <c r="H2364" i="14"/>
  <c r="F2365" i="14"/>
  <c r="H2365" i="14"/>
  <c r="F2366" i="14"/>
  <c r="H2366" i="14"/>
  <c r="F2367" i="14"/>
  <c r="H2367" i="14"/>
  <c r="F2368" i="14"/>
  <c r="H2368" i="14"/>
  <c r="F2369" i="14"/>
  <c r="H2369" i="14"/>
  <c r="F2370" i="14"/>
  <c r="H2370" i="14"/>
  <c r="F2371" i="14"/>
  <c r="H2371" i="14"/>
  <c r="F2372" i="14"/>
  <c r="H2372" i="14"/>
  <c r="F2373" i="14"/>
  <c r="H2373" i="14"/>
  <c r="F2374" i="14"/>
  <c r="H2374" i="14"/>
  <c r="F2375" i="14"/>
  <c r="H2375" i="14"/>
  <c r="F2376" i="14"/>
  <c r="H2376" i="14"/>
  <c r="F2377" i="14"/>
  <c r="H2377" i="14"/>
  <c r="F2378" i="14"/>
  <c r="H2378" i="14"/>
  <c r="F2379" i="14"/>
  <c r="H2379" i="14"/>
  <c r="F2380" i="14"/>
  <c r="H2380" i="14"/>
  <c r="F2381" i="14"/>
  <c r="H2381" i="14"/>
  <c r="F2382" i="14"/>
  <c r="H2382" i="14"/>
  <c r="F2383" i="14"/>
  <c r="H2383" i="14"/>
  <c r="F2384" i="14"/>
  <c r="H2384" i="14"/>
  <c r="F2385" i="14"/>
  <c r="H2385" i="14"/>
  <c r="F2386" i="14"/>
  <c r="H2386" i="14"/>
  <c r="F2387" i="14"/>
  <c r="H2387" i="14"/>
  <c r="F2388" i="14"/>
  <c r="H2388" i="14"/>
  <c r="F2389" i="14"/>
  <c r="H2389" i="14"/>
  <c r="F2390" i="14"/>
  <c r="H2390" i="14"/>
  <c r="F2391" i="14"/>
  <c r="H2391" i="14"/>
  <c r="F2392" i="14"/>
  <c r="H2392" i="14"/>
  <c r="F2393" i="14"/>
  <c r="H2393" i="14"/>
  <c r="F2394" i="14"/>
  <c r="H2394" i="14"/>
  <c r="F2395" i="14"/>
  <c r="H2395" i="14"/>
  <c r="F2396" i="14"/>
  <c r="H2396" i="14"/>
  <c r="F2397" i="14"/>
  <c r="H2397" i="14"/>
  <c r="F2398" i="14"/>
  <c r="H2398" i="14"/>
  <c r="F2399" i="14"/>
  <c r="H2399" i="14"/>
  <c r="F2400" i="14"/>
  <c r="H2400" i="14"/>
  <c r="F2401" i="14"/>
  <c r="H2401" i="14"/>
  <c r="F2402" i="14"/>
  <c r="H2402" i="14"/>
  <c r="F2403" i="14"/>
  <c r="H2403" i="14"/>
  <c r="F2404" i="14"/>
  <c r="H2404" i="14"/>
  <c r="F2405" i="14"/>
  <c r="H2405" i="14"/>
  <c r="F2406" i="14"/>
  <c r="H2406" i="14"/>
  <c r="F2407" i="14"/>
  <c r="H2407" i="14"/>
  <c r="F2408" i="14"/>
  <c r="H2408" i="14"/>
  <c r="F2409" i="14"/>
  <c r="H2409" i="14"/>
  <c r="F2410" i="14"/>
  <c r="H2410" i="14"/>
  <c r="F2411" i="14"/>
  <c r="H2411" i="14"/>
  <c r="F2412" i="14"/>
  <c r="H2412" i="14"/>
  <c r="F2413" i="14"/>
  <c r="H2413" i="14"/>
  <c r="F2414" i="14"/>
  <c r="H2414" i="14"/>
  <c r="F2415" i="14"/>
  <c r="H2415" i="14"/>
  <c r="F2416" i="14"/>
  <c r="H2416" i="14"/>
  <c r="F2417" i="14"/>
  <c r="H2417" i="14"/>
  <c r="F2418" i="14"/>
  <c r="H2418" i="14"/>
  <c r="F2419" i="14"/>
  <c r="H2419" i="14"/>
  <c r="F2420" i="14"/>
  <c r="H2420" i="14"/>
  <c r="F2421" i="14"/>
  <c r="H2421" i="14"/>
  <c r="F2422" i="14"/>
  <c r="H2422" i="14"/>
  <c r="F2423" i="14"/>
  <c r="H2423" i="14"/>
  <c r="F2424" i="14"/>
  <c r="H2424" i="14"/>
  <c r="F2425" i="14"/>
  <c r="H2425" i="14"/>
  <c r="F2426" i="14"/>
  <c r="H2426" i="14"/>
  <c r="F2427" i="14"/>
  <c r="H2427" i="14"/>
  <c r="F2428" i="14"/>
  <c r="H2428" i="14"/>
  <c r="F2429" i="14"/>
  <c r="H2429" i="14"/>
  <c r="F2430" i="14"/>
  <c r="H2430" i="14"/>
  <c r="F2431" i="14"/>
  <c r="H2431" i="14"/>
  <c r="F2432" i="14"/>
  <c r="H2432" i="14"/>
  <c r="F2433" i="14"/>
  <c r="H2433" i="14"/>
  <c r="F2434" i="14"/>
  <c r="H2434" i="14"/>
  <c r="F2435" i="14"/>
  <c r="H2435" i="14"/>
  <c r="F2436" i="14"/>
  <c r="H2436" i="14"/>
  <c r="F2437" i="14"/>
  <c r="H2437" i="14"/>
  <c r="F2438" i="14"/>
  <c r="H2438" i="14"/>
  <c r="F2439" i="14"/>
  <c r="H2439" i="14"/>
  <c r="F2440" i="14"/>
  <c r="H2440" i="14"/>
  <c r="F2441" i="14"/>
  <c r="H2441" i="14"/>
  <c r="F2442" i="14"/>
  <c r="H2442" i="14"/>
  <c r="F2443" i="14"/>
  <c r="H2443" i="14"/>
  <c r="F2444" i="14"/>
  <c r="H2444" i="14"/>
  <c r="F2445" i="14"/>
  <c r="H2445" i="14"/>
  <c r="F2446" i="14"/>
  <c r="H2446" i="14"/>
  <c r="F2447" i="14"/>
  <c r="H2447" i="14"/>
  <c r="F2448" i="14"/>
  <c r="H2448" i="14"/>
  <c r="F2449" i="14"/>
  <c r="H2449" i="14"/>
  <c r="F2450" i="14"/>
  <c r="H2450" i="14"/>
  <c r="F2451" i="14"/>
  <c r="H2451" i="14"/>
  <c r="F2452" i="14"/>
  <c r="H2452" i="14"/>
  <c r="F2453" i="14"/>
  <c r="H2453" i="14"/>
  <c r="F2454" i="14"/>
  <c r="H2454" i="14"/>
  <c r="F2455" i="14"/>
  <c r="H2455" i="14"/>
  <c r="F2456" i="14"/>
  <c r="H2456" i="14"/>
  <c r="F2457" i="14"/>
  <c r="H2457" i="14"/>
  <c r="F2458" i="14"/>
  <c r="H2458" i="14"/>
  <c r="F2459" i="14"/>
  <c r="H2459" i="14"/>
  <c r="F2460" i="14"/>
  <c r="H2460" i="14"/>
  <c r="F2461" i="14"/>
  <c r="H2461" i="14"/>
  <c r="F2462" i="14"/>
  <c r="H2462" i="14"/>
  <c r="F2463" i="14"/>
  <c r="H2463" i="14"/>
  <c r="F2464" i="14"/>
  <c r="H2464" i="14"/>
  <c r="F2465" i="14"/>
  <c r="H2465" i="14"/>
  <c r="F2466" i="14"/>
  <c r="H2466" i="14"/>
  <c r="F2467" i="14"/>
  <c r="H2467" i="14"/>
  <c r="F2468" i="14"/>
  <c r="H2468" i="14"/>
  <c r="F2469" i="14"/>
  <c r="H2469" i="14"/>
  <c r="F2470" i="14"/>
  <c r="H2470" i="14"/>
  <c r="F2471" i="14"/>
  <c r="H2471" i="14"/>
  <c r="F2472" i="14"/>
  <c r="H2472" i="14"/>
  <c r="F2473" i="14"/>
  <c r="H2473" i="14"/>
  <c r="F2474" i="14"/>
  <c r="H2474" i="14"/>
  <c r="F2475" i="14"/>
  <c r="H2475" i="14"/>
  <c r="F2476" i="14"/>
  <c r="H2476" i="14"/>
  <c r="F2477" i="14"/>
  <c r="H2477" i="14"/>
  <c r="F2478" i="14"/>
  <c r="H2478" i="14"/>
  <c r="F2479" i="14"/>
  <c r="H2479" i="14"/>
  <c r="F2480" i="14"/>
  <c r="H2480" i="14"/>
  <c r="F2481" i="14"/>
  <c r="H2481" i="14"/>
  <c r="F2482" i="14"/>
  <c r="H2482" i="14"/>
  <c r="F2483" i="14"/>
  <c r="H2483" i="14"/>
  <c r="F2484" i="14"/>
  <c r="H2484" i="14"/>
  <c r="F2485" i="14"/>
  <c r="H2485" i="14"/>
  <c r="F2486" i="14"/>
  <c r="H2486" i="14"/>
  <c r="F2487" i="14"/>
  <c r="H2487" i="14"/>
  <c r="F2488" i="14"/>
  <c r="H2488" i="14"/>
  <c r="F2489" i="14"/>
  <c r="H2489" i="14"/>
  <c r="F2490" i="14"/>
  <c r="H2490" i="14"/>
  <c r="F2491" i="14"/>
  <c r="H2491" i="14"/>
  <c r="F2492" i="14"/>
  <c r="H2492" i="14"/>
  <c r="F2493" i="14"/>
  <c r="H2493" i="14"/>
  <c r="F2494" i="14"/>
  <c r="H2494" i="14"/>
  <c r="F2495" i="14"/>
  <c r="H2495" i="14"/>
  <c r="F2496" i="14"/>
  <c r="H2496" i="14"/>
  <c r="F2497" i="14"/>
  <c r="H2497" i="14"/>
  <c r="F2498" i="14"/>
  <c r="H2498" i="14"/>
  <c r="F2499" i="14"/>
  <c r="H2499" i="14"/>
  <c r="F2500" i="14"/>
  <c r="H2500" i="14"/>
  <c r="F2501" i="14"/>
  <c r="H2501" i="14"/>
  <c r="F2502" i="14"/>
  <c r="H2502" i="14"/>
  <c r="F2503" i="14"/>
  <c r="H2503" i="14"/>
  <c r="F2504" i="14"/>
  <c r="H2504" i="14"/>
  <c r="F2505" i="14"/>
  <c r="H2505" i="14"/>
  <c r="F2506" i="14"/>
  <c r="H2506" i="14"/>
  <c r="F2507" i="14"/>
  <c r="H2507" i="14"/>
  <c r="F2508" i="14"/>
  <c r="H2508" i="14"/>
  <c r="F2509" i="14"/>
  <c r="H2509" i="14"/>
  <c r="F2510" i="14"/>
  <c r="H2510" i="14"/>
  <c r="F2511" i="14"/>
  <c r="H2511" i="14"/>
  <c r="F2512" i="14"/>
  <c r="H2512" i="14"/>
  <c r="F2513" i="14"/>
  <c r="H2513" i="14"/>
  <c r="F2514" i="14"/>
  <c r="H2514" i="14"/>
  <c r="F2515" i="14"/>
  <c r="H2515" i="14"/>
  <c r="F2516" i="14"/>
  <c r="H2516" i="14"/>
  <c r="F2517" i="14"/>
  <c r="H2517" i="14"/>
  <c r="F2518" i="14"/>
  <c r="H2518" i="14"/>
  <c r="F2519" i="14"/>
  <c r="H2519" i="14"/>
  <c r="F2520" i="14"/>
  <c r="H2520" i="14"/>
  <c r="F2521" i="14"/>
  <c r="H2521" i="14"/>
  <c r="F2522" i="14"/>
  <c r="H2522" i="14"/>
  <c r="F2523" i="14"/>
  <c r="H2523" i="14"/>
  <c r="F2524" i="14"/>
  <c r="H2524" i="14"/>
  <c r="F2525" i="14"/>
  <c r="H2525" i="14"/>
  <c r="F2526" i="14"/>
  <c r="H2526" i="14"/>
  <c r="F2527" i="14"/>
  <c r="H2527" i="14"/>
  <c r="F2528" i="14"/>
  <c r="H2528" i="14"/>
  <c r="F2529" i="14"/>
  <c r="H2529" i="14"/>
  <c r="F2530" i="14"/>
  <c r="H2530" i="14"/>
  <c r="F2531" i="14"/>
  <c r="H2531" i="14"/>
  <c r="F2532" i="14"/>
  <c r="H2532" i="14"/>
  <c r="F2533" i="14"/>
  <c r="H2533" i="14"/>
  <c r="F2534" i="14"/>
  <c r="H2534" i="14"/>
  <c r="F2535" i="14"/>
  <c r="H2535" i="14"/>
  <c r="F2536" i="14"/>
  <c r="H2536" i="14"/>
  <c r="F2537" i="14"/>
  <c r="H2537" i="14"/>
  <c r="F2538" i="14"/>
  <c r="H2538" i="14"/>
  <c r="F2539" i="14"/>
  <c r="H2539" i="14"/>
  <c r="F2540" i="14"/>
  <c r="H2540" i="14"/>
  <c r="F2541" i="14"/>
  <c r="H2541" i="14"/>
  <c r="F2542" i="14"/>
  <c r="H2542" i="14"/>
  <c r="F2543" i="14"/>
  <c r="H2543" i="14"/>
  <c r="F2544" i="14"/>
  <c r="H2544" i="14"/>
  <c r="F2545" i="14"/>
  <c r="H2545" i="14"/>
  <c r="F2546" i="14"/>
  <c r="H2546" i="14"/>
  <c r="F2547" i="14"/>
  <c r="H2547" i="14"/>
  <c r="F2548" i="14"/>
  <c r="H2548" i="14"/>
  <c r="F2549" i="14"/>
  <c r="H2549" i="14"/>
  <c r="F2550" i="14"/>
  <c r="H2550" i="14"/>
  <c r="F2551" i="14"/>
  <c r="H2551" i="14"/>
  <c r="F2552" i="14"/>
  <c r="H2552" i="14"/>
  <c r="F2553" i="14"/>
  <c r="H2553" i="14"/>
  <c r="F2554" i="14"/>
  <c r="H2554" i="14"/>
  <c r="F2555" i="14"/>
  <c r="H2555" i="14"/>
  <c r="F2556" i="14"/>
  <c r="H2556" i="14"/>
  <c r="F2557" i="14"/>
  <c r="H2557" i="14"/>
  <c r="F2558" i="14"/>
  <c r="H2558" i="14"/>
  <c r="F2559" i="14"/>
  <c r="H2559" i="14"/>
  <c r="F2560" i="14"/>
  <c r="H2560" i="14"/>
  <c r="F2561" i="14"/>
  <c r="H2561" i="14"/>
  <c r="F2562" i="14"/>
  <c r="H2562" i="14"/>
  <c r="F2563" i="14"/>
  <c r="H2563" i="14"/>
  <c r="F2564" i="14"/>
  <c r="H2564" i="14"/>
  <c r="F2565" i="14"/>
  <c r="H2565" i="14"/>
  <c r="F2566" i="14"/>
  <c r="H2566" i="14"/>
  <c r="F2567" i="14"/>
  <c r="H2567" i="14"/>
  <c r="F2568" i="14"/>
  <c r="H2568" i="14"/>
  <c r="F2569" i="14"/>
  <c r="H2569" i="14"/>
  <c r="F2570" i="14"/>
  <c r="H2570" i="14"/>
  <c r="F2571" i="14"/>
  <c r="H2571" i="14"/>
  <c r="F2572" i="14"/>
  <c r="H2572" i="14"/>
  <c r="F2573" i="14"/>
  <c r="H2573" i="14"/>
  <c r="F2574" i="14"/>
  <c r="H2574" i="14"/>
  <c r="F2575" i="14"/>
  <c r="H2575" i="14"/>
  <c r="F2576" i="14"/>
  <c r="H2576" i="14"/>
  <c r="F2577" i="14"/>
  <c r="H2577" i="14"/>
  <c r="F2578" i="14"/>
  <c r="H2578" i="14"/>
  <c r="F2579" i="14"/>
  <c r="H2579" i="14"/>
  <c r="F2580" i="14"/>
  <c r="H2580" i="14"/>
  <c r="F2581" i="14"/>
  <c r="H2581" i="14"/>
  <c r="F2582" i="14"/>
  <c r="H2582" i="14"/>
  <c r="F2583" i="14"/>
  <c r="H2583" i="14"/>
  <c r="F2584" i="14"/>
  <c r="H2584" i="14"/>
  <c r="F2585" i="14"/>
  <c r="H2585" i="14"/>
  <c r="F2586" i="14"/>
  <c r="H2586" i="14"/>
  <c r="F2587" i="14"/>
  <c r="H2587" i="14"/>
  <c r="F2588" i="14"/>
  <c r="H2588" i="14"/>
  <c r="F2589" i="14"/>
  <c r="H2589" i="14"/>
  <c r="F2590" i="14"/>
  <c r="H2590" i="14"/>
  <c r="F2591" i="14"/>
  <c r="H2591" i="14"/>
  <c r="F2592" i="14"/>
  <c r="H2592" i="14"/>
  <c r="F2593" i="14"/>
  <c r="H2593" i="14"/>
  <c r="F2594" i="14"/>
  <c r="H2594" i="14"/>
  <c r="F2595" i="14"/>
  <c r="H2595" i="14"/>
  <c r="F2596" i="14"/>
  <c r="H2596" i="14"/>
  <c r="F2597" i="14"/>
  <c r="H2597" i="14"/>
  <c r="F2598" i="14"/>
  <c r="H2598" i="14"/>
  <c r="F2599" i="14"/>
  <c r="H2599" i="14"/>
  <c r="F2600" i="14"/>
  <c r="H2600" i="14"/>
  <c r="F2601" i="14"/>
  <c r="H2601" i="14"/>
  <c r="F2602" i="14"/>
  <c r="H2602" i="14"/>
  <c r="F2603" i="14"/>
  <c r="H2603" i="14"/>
  <c r="F2604" i="14"/>
  <c r="H2604" i="14"/>
  <c r="F2605" i="14"/>
  <c r="H2605" i="14"/>
  <c r="F2606" i="14"/>
  <c r="H2606" i="14"/>
  <c r="F2607" i="14"/>
  <c r="H2607" i="14"/>
  <c r="F2608" i="14"/>
  <c r="H2608" i="14"/>
  <c r="F2609" i="14"/>
  <c r="H2609" i="14"/>
  <c r="F2610" i="14"/>
  <c r="H2610" i="14"/>
  <c r="F2611" i="14"/>
  <c r="H2611" i="14"/>
  <c r="F2612" i="14"/>
  <c r="H2612" i="14"/>
  <c r="F2613" i="14"/>
  <c r="H2613" i="14"/>
  <c r="F2614" i="14"/>
  <c r="H2614" i="14"/>
  <c r="F2615" i="14"/>
  <c r="H2615" i="14"/>
  <c r="F2616" i="14"/>
  <c r="H2616" i="14"/>
  <c r="F2617" i="14"/>
  <c r="H2617" i="14"/>
  <c r="F2618" i="14"/>
  <c r="H2618" i="14"/>
  <c r="F2619" i="14"/>
  <c r="H2619" i="14"/>
  <c r="F2620" i="14"/>
  <c r="H2620" i="14"/>
  <c r="F2621" i="14"/>
  <c r="H2621" i="14"/>
  <c r="F2622" i="14"/>
  <c r="H2622" i="14"/>
  <c r="F2623" i="14"/>
  <c r="H2623" i="14"/>
  <c r="F2624" i="14"/>
  <c r="H2624" i="14"/>
  <c r="F2625" i="14"/>
  <c r="H2625" i="14"/>
  <c r="F2626" i="14"/>
  <c r="H2626" i="14"/>
  <c r="F2627" i="14"/>
  <c r="H2627" i="14"/>
  <c r="F2628" i="14"/>
  <c r="H2628" i="14"/>
  <c r="F2629" i="14"/>
  <c r="H2629" i="14"/>
  <c r="F2630" i="14"/>
  <c r="H2630" i="14"/>
  <c r="F2631" i="14"/>
  <c r="H2631" i="14"/>
  <c r="F2632" i="14"/>
  <c r="H2632" i="14"/>
  <c r="F2633" i="14"/>
  <c r="H2633" i="14"/>
  <c r="F2634" i="14"/>
  <c r="H2634" i="14"/>
  <c r="F2635" i="14"/>
  <c r="H2635" i="14"/>
  <c r="F2636" i="14"/>
  <c r="H2636" i="14"/>
  <c r="F2637" i="14"/>
  <c r="H2637" i="14"/>
  <c r="F2638" i="14"/>
  <c r="H2638" i="14"/>
  <c r="F2639" i="14"/>
  <c r="H2639" i="14"/>
  <c r="F2640" i="14"/>
  <c r="H2640" i="14"/>
  <c r="F2641" i="14"/>
  <c r="H2641" i="14"/>
  <c r="F2642" i="14"/>
  <c r="H2642" i="14"/>
  <c r="F2643" i="14"/>
  <c r="H2643" i="14"/>
  <c r="F2644" i="14"/>
  <c r="H2644" i="14"/>
  <c r="F2645" i="14"/>
  <c r="H2645" i="14"/>
  <c r="F2646" i="14"/>
  <c r="H2646" i="14"/>
  <c r="F2647" i="14"/>
  <c r="H2647" i="14"/>
  <c r="F2648" i="14"/>
  <c r="H2648" i="14"/>
  <c r="F2649" i="14"/>
  <c r="H2649" i="14"/>
  <c r="F2650" i="14"/>
  <c r="H2650" i="14"/>
  <c r="F2651" i="14"/>
  <c r="H2651" i="14"/>
  <c r="F2652" i="14"/>
  <c r="H2652" i="14"/>
  <c r="F2653" i="14"/>
  <c r="H2653" i="14"/>
  <c r="F2654" i="14"/>
  <c r="H2654" i="14"/>
  <c r="F2655" i="14"/>
  <c r="H2655" i="14"/>
  <c r="F2656" i="14"/>
  <c r="H2656" i="14"/>
  <c r="F2657" i="14"/>
  <c r="H2657" i="14"/>
  <c r="F2658" i="14"/>
  <c r="H2658" i="14"/>
  <c r="F2659" i="14"/>
  <c r="H2659" i="14"/>
  <c r="F2660" i="14"/>
  <c r="H2660" i="14"/>
  <c r="F2661" i="14"/>
  <c r="H2661" i="14"/>
  <c r="F2662" i="14"/>
  <c r="H2662" i="14"/>
  <c r="F2663" i="14"/>
  <c r="H2663" i="14"/>
  <c r="F2664" i="14"/>
  <c r="H2664" i="14"/>
  <c r="F2665" i="14"/>
  <c r="H2665" i="14"/>
  <c r="F2666" i="14"/>
  <c r="H2666" i="14"/>
  <c r="F2667" i="14"/>
  <c r="H2667" i="14"/>
  <c r="F2668" i="14"/>
  <c r="H2668" i="14"/>
  <c r="F2669" i="14"/>
  <c r="H2669" i="14"/>
  <c r="F2670" i="14"/>
  <c r="H2670" i="14"/>
  <c r="F2671" i="14"/>
  <c r="H2671" i="14"/>
  <c r="F2672" i="14"/>
  <c r="H2672" i="14"/>
  <c r="F2673" i="14"/>
  <c r="H2673" i="14"/>
  <c r="F2674" i="14"/>
  <c r="H2674" i="14"/>
  <c r="F2675" i="14"/>
  <c r="H2675" i="14"/>
  <c r="F2676" i="14"/>
  <c r="H2676" i="14"/>
  <c r="F2677" i="14"/>
  <c r="H2677" i="14"/>
  <c r="F2678" i="14"/>
  <c r="H2678" i="14"/>
  <c r="F2679" i="14"/>
  <c r="H2679" i="14"/>
  <c r="F2680" i="14"/>
  <c r="H2680" i="14"/>
  <c r="F2681" i="14"/>
  <c r="H2681" i="14"/>
  <c r="F2682" i="14"/>
  <c r="H2682" i="14"/>
  <c r="F2683" i="14"/>
  <c r="H2683" i="14"/>
  <c r="F2684" i="14"/>
  <c r="H2684" i="14"/>
  <c r="F2685" i="14"/>
  <c r="H2685" i="14"/>
  <c r="F2686" i="14"/>
  <c r="H2686" i="14"/>
  <c r="F2687" i="14"/>
  <c r="H2687" i="14"/>
  <c r="F2688" i="14"/>
  <c r="H2688" i="14"/>
  <c r="F2689" i="14"/>
  <c r="H2689" i="14"/>
  <c r="F2690" i="14"/>
  <c r="H2690" i="14"/>
  <c r="F2691" i="14"/>
  <c r="H2691" i="14"/>
  <c r="F2692" i="14"/>
  <c r="H2692" i="14"/>
  <c r="F2693" i="14"/>
  <c r="H2693" i="14"/>
  <c r="F2694" i="14"/>
  <c r="H2694" i="14"/>
  <c r="F2695" i="14"/>
  <c r="H2695" i="14"/>
  <c r="F2696" i="14"/>
  <c r="H2696" i="14"/>
  <c r="F2697" i="14"/>
  <c r="H2697" i="14"/>
  <c r="F2698" i="14"/>
  <c r="H2698" i="14"/>
  <c r="F2699" i="14"/>
  <c r="H2699" i="14"/>
  <c r="F2700" i="14"/>
  <c r="H2700" i="14"/>
  <c r="F2701" i="14"/>
  <c r="H2701" i="14"/>
  <c r="F2702" i="14"/>
  <c r="H2702" i="14"/>
  <c r="F2703" i="14"/>
  <c r="H2703" i="14"/>
  <c r="F2704" i="14"/>
  <c r="H2704" i="14"/>
  <c r="F2705" i="14"/>
  <c r="H2705" i="14"/>
  <c r="F2706" i="14"/>
  <c r="H2706" i="14"/>
  <c r="F2707" i="14"/>
  <c r="H2707" i="14"/>
  <c r="F2708" i="14"/>
  <c r="H2708" i="14"/>
  <c r="F2709" i="14"/>
  <c r="H2709" i="14"/>
  <c r="F2710" i="14"/>
  <c r="H2710" i="14"/>
  <c r="F2711" i="14"/>
  <c r="H2711" i="14"/>
  <c r="F2712" i="14"/>
  <c r="H2712" i="14"/>
  <c r="F2713" i="14"/>
  <c r="H2713" i="14"/>
  <c r="F2714" i="14"/>
  <c r="H2714" i="14"/>
  <c r="F2715" i="14"/>
  <c r="H2715" i="14"/>
  <c r="F2716" i="14"/>
  <c r="H2716" i="14"/>
  <c r="F2717" i="14"/>
  <c r="H2717" i="14"/>
  <c r="F2718" i="14"/>
  <c r="H2718" i="14"/>
  <c r="F2719" i="14"/>
  <c r="H2719" i="14"/>
  <c r="F2720" i="14"/>
  <c r="H2720" i="14"/>
  <c r="F2721" i="14"/>
  <c r="H2721" i="14"/>
  <c r="F2722" i="14"/>
  <c r="H2722" i="14"/>
  <c r="F2723" i="14"/>
  <c r="H2723" i="14"/>
  <c r="F2724" i="14"/>
  <c r="H2724" i="14"/>
  <c r="F2725" i="14"/>
  <c r="H2725" i="14"/>
  <c r="F2726" i="14"/>
  <c r="H2726" i="14"/>
  <c r="F2727" i="14"/>
  <c r="H2727" i="14"/>
  <c r="F2728" i="14"/>
  <c r="H2728" i="14"/>
  <c r="F2729" i="14"/>
  <c r="H2729" i="14"/>
  <c r="F2730" i="14"/>
  <c r="H2730" i="14"/>
  <c r="F2731" i="14"/>
  <c r="H2731" i="14"/>
  <c r="F2732" i="14"/>
  <c r="H2732" i="14"/>
  <c r="F2733" i="14"/>
  <c r="H2733" i="14"/>
  <c r="F2734" i="14"/>
  <c r="H2734" i="14"/>
  <c r="F2735" i="14"/>
  <c r="H2735" i="14"/>
  <c r="F2736" i="14"/>
  <c r="H2736" i="14"/>
  <c r="F2737" i="14"/>
  <c r="H2737" i="14"/>
  <c r="F2738" i="14"/>
  <c r="H2738" i="14"/>
  <c r="F2739" i="14"/>
  <c r="H2739" i="14"/>
  <c r="F2740" i="14"/>
  <c r="H2740" i="14"/>
  <c r="F2741" i="14"/>
  <c r="H2741" i="14"/>
  <c r="F2742" i="14"/>
  <c r="H2742" i="14"/>
  <c r="F2743" i="14"/>
  <c r="H2743" i="14"/>
  <c r="F2744" i="14"/>
  <c r="H2744" i="14"/>
  <c r="F2745" i="14"/>
  <c r="H2745" i="14"/>
  <c r="F2746" i="14"/>
  <c r="H2746" i="14"/>
  <c r="F2747" i="14"/>
  <c r="H2747" i="14"/>
  <c r="F2748" i="14"/>
  <c r="H2748" i="14"/>
  <c r="F2749" i="14"/>
  <c r="H2749" i="14"/>
  <c r="F2750" i="14"/>
  <c r="H2750" i="14"/>
  <c r="F2751" i="14"/>
  <c r="H2751" i="14"/>
  <c r="F2752" i="14"/>
  <c r="H2752" i="14"/>
  <c r="F2753" i="14"/>
  <c r="H2753" i="14"/>
  <c r="F2754" i="14"/>
  <c r="H2754" i="14"/>
  <c r="F2755" i="14"/>
  <c r="H2755" i="14"/>
  <c r="F2756" i="14"/>
  <c r="H2756" i="14"/>
  <c r="F2757" i="14"/>
  <c r="H2757" i="14"/>
  <c r="F2758" i="14"/>
  <c r="H2758" i="14"/>
  <c r="F2759" i="14"/>
  <c r="H2759" i="14"/>
  <c r="F2760" i="14"/>
  <c r="H2760" i="14"/>
  <c r="F2761" i="14"/>
  <c r="H2761" i="14"/>
  <c r="F2762" i="14"/>
  <c r="H2762" i="14"/>
  <c r="F2763" i="14"/>
  <c r="H2763" i="14"/>
  <c r="F2764" i="14"/>
  <c r="H2764" i="14"/>
  <c r="F2765" i="14"/>
  <c r="H2765" i="14"/>
  <c r="F2766" i="14"/>
  <c r="H2766" i="14"/>
  <c r="F2767" i="14"/>
  <c r="H2767" i="14"/>
  <c r="F2768" i="14"/>
  <c r="H2768" i="14"/>
  <c r="F2769" i="14"/>
  <c r="H2769" i="14"/>
  <c r="F2770" i="14"/>
  <c r="H2770" i="14"/>
  <c r="F2771" i="14"/>
  <c r="H2771" i="14"/>
  <c r="F2772" i="14"/>
  <c r="H2772" i="14"/>
  <c r="F2773" i="14"/>
  <c r="H2773" i="14"/>
  <c r="F2774" i="14"/>
  <c r="H2774" i="14"/>
  <c r="F2775" i="14"/>
  <c r="H2775" i="14"/>
  <c r="F2776" i="14"/>
  <c r="H2776" i="14"/>
  <c r="F2777" i="14"/>
  <c r="H2777" i="14"/>
  <c r="F2778" i="14"/>
  <c r="H2778" i="14"/>
  <c r="F2779" i="14"/>
  <c r="H2779" i="14"/>
  <c r="F2780" i="14"/>
  <c r="H2780" i="14"/>
  <c r="F2781" i="14"/>
  <c r="H2781" i="14"/>
  <c r="F2782" i="14"/>
  <c r="H2782" i="14"/>
  <c r="F2783" i="14"/>
  <c r="H2783" i="14"/>
  <c r="F2784" i="14"/>
  <c r="H2784" i="14"/>
  <c r="F2785" i="14"/>
  <c r="H2785" i="14"/>
  <c r="F2786" i="14"/>
  <c r="H2786" i="14"/>
  <c r="F2787" i="14"/>
  <c r="H2787" i="14"/>
  <c r="F2788" i="14"/>
  <c r="H2788" i="14"/>
  <c r="F2789" i="14"/>
  <c r="H2789" i="14"/>
  <c r="F2790" i="14"/>
  <c r="H2790" i="14"/>
  <c r="F2791" i="14"/>
  <c r="H2791" i="14"/>
  <c r="F2792" i="14"/>
  <c r="H2792" i="14"/>
  <c r="F2793" i="14"/>
  <c r="H2793" i="14"/>
  <c r="F2794" i="14"/>
  <c r="H2794" i="14"/>
  <c r="F2795" i="14"/>
  <c r="H2795" i="14"/>
  <c r="F2796" i="14"/>
  <c r="H2796" i="14"/>
  <c r="F2797" i="14"/>
  <c r="H2797" i="14"/>
  <c r="F2798" i="14"/>
  <c r="H2798" i="14"/>
  <c r="F2799" i="14"/>
  <c r="H2799" i="14"/>
  <c r="F2800" i="14"/>
  <c r="H2800" i="14"/>
  <c r="F2801" i="14"/>
  <c r="H2801" i="14"/>
  <c r="F2802" i="14"/>
  <c r="H2802" i="14"/>
  <c r="F2803" i="14"/>
  <c r="H2803" i="14"/>
  <c r="F2804" i="14"/>
  <c r="H2804" i="14"/>
  <c r="F2805" i="14"/>
  <c r="H2805" i="14"/>
  <c r="F2806" i="14"/>
  <c r="H2806" i="14"/>
  <c r="F2807" i="14"/>
  <c r="H2807" i="14"/>
  <c r="F2808" i="14"/>
  <c r="H2808" i="14"/>
  <c r="F2809" i="14"/>
  <c r="H2809" i="14"/>
  <c r="F2810" i="14"/>
  <c r="H2810" i="14"/>
  <c r="F2811" i="14"/>
  <c r="H2811" i="14"/>
  <c r="F2812" i="14"/>
  <c r="H2812" i="14"/>
  <c r="F2813" i="14"/>
  <c r="H2813" i="14"/>
  <c r="F2814" i="14"/>
  <c r="H2814" i="14"/>
  <c r="F2815" i="14"/>
  <c r="H2815" i="14"/>
  <c r="F2816" i="14"/>
  <c r="H2816" i="14"/>
  <c r="F2817" i="14"/>
  <c r="H2817" i="14"/>
  <c r="F2818" i="14"/>
  <c r="H2818" i="14"/>
  <c r="F2819" i="14"/>
  <c r="H2819" i="14"/>
  <c r="F2820" i="14"/>
  <c r="H2820" i="14"/>
  <c r="F2821" i="14"/>
  <c r="H2821" i="14"/>
  <c r="F2822" i="14"/>
  <c r="H2822" i="14"/>
  <c r="F2823" i="14"/>
  <c r="H2823" i="14"/>
  <c r="F2824" i="14"/>
  <c r="H2824" i="14"/>
  <c r="F2825" i="14"/>
  <c r="H2825" i="14"/>
  <c r="F2826" i="14"/>
  <c r="H2826" i="14"/>
  <c r="F2827" i="14"/>
  <c r="H2827" i="14"/>
  <c r="F2828" i="14"/>
  <c r="H2828" i="14"/>
  <c r="F2829" i="14"/>
  <c r="H2829" i="14"/>
  <c r="F2830" i="14"/>
  <c r="H2830" i="14"/>
  <c r="F2831" i="14"/>
  <c r="H2831" i="14"/>
  <c r="F2832" i="14"/>
  <c r="H2832" i="14"/>
  <c r="F2833" i="14"/>
  <c r="H2833" i="14"/>
  <c r="F2834" i="14"/>
  <c r="H2834" i="14"/>
  <c r="F2835" i="14"/>
  <c r="H2835" i="14"/>
  <c r="F2836" i="14"/>
  <c r="H2836" i="14"/>
  <c r="F2837" i="14"/>
  <c r="H2837" i="14"/>
  <c r="F2838" i="14"/>
  <c r="H2838" i="14"/>
  <c r="F2839" i="14"/>
  <c r="H2839" i="14"/>
  <c r="F2840" i="14"/>
  <c r="H2840" i="14"/>
  <c r="F2841" i="14"/>
  <c r="H2841" i="14"/>
  <c r="F2842" i="14"/>
  <c r="H2842" i="14"/>
  <c r="F2843" i="14"/>
  <c r="H2843" i="14"/>
  <c r="F2844" i="14"/>
  <c r="H2844" i="14"/>
  <c r="F2845" i="14"/>
  <c r="H2845" i="14"/>
  <c r="F2846" i="14"/>
  <c r="H2846" i="14"/>
  <c r="F2847" i="14"/>
  <c r="H2847" i="14"/>
  <c r="F2848" i="14"/>
  <c r="H2848" i="14"/>
  <c r="F2849" i="14"/>
  <c r="H2849" i="14"/>
  <c r="F2850" i="14"/>
  <c r="H2850" i="14"/>
  <c r="F2851" i="14"/>
  <c r="H2851" i="14"/>
  <c r="F2852" i="14"/>
  <c r="H2852" i="14"/>
  <c r="F2853" i="14"/>
  <c r="H2853" i="14"/>
  <c r="F2854" i="14"/>
  <c r="H2854" i="14"/>
  <c r="F2855" i="14"/>
  <c r="H2855" i="14"/>
  <c r="F2856" i="14"/>
  <c r="H2856" i="14"/>
  <c r="F2857" i="14"/>
  <c r="H2857" i="14"/>
  <c r="F2858" i="14"/>
  <c r="H2858" i="14"/>
  <c r="F2859" i="14"/>
  <c r="H2859" i="14"/>
  <c r="F2860" i="14"/>
  <c r="H2860" i="14"/>
  <c r="F2861" i="14"/>
  <c r="H2861" i="14"/>
  <c r="F2862" i="14"/>
  <c r="H2862" i="14"/>
  <c r="F2863" i="14"/>
  <c r="H2863" i="14"/>
  <c r="F2864" i="14"/>
  <c r="H2864" i="14"/>
  <c r="F2865" i="14"/>
  <c r="H2865" i="14"/>
  <c r="F2866" i="14"/>
  <c r="H2866" i="14"/>
  <c r="F2867" i="14"/>
  <c r="H2867" i="14"/>
  <c r="F2868" i="14"/>
  <c r="H2868" i="14"/>
  <c r="F2869" i="14"/>
  <c r="H2869" i="14"/>
  <c r="F2870" i="14"/>
  <c r="H2870" i="14"/>
  <c r="F2871" i="14"/>
  <c r="H2871" i="14"/>
  <c r="F2872" i="14"/>
  <c r="H2872" i="14"/>
  <c r="F2873" i="14"/>
  <c r="H2873" i="14"/>
  <c r="F2874" i="14"/>
  <c r="H2874" i="14"/>
  <c r="I48" i="10"/>
  <c r="J48" i="10"/>
  <c r="I49" i="10"/>
  <c r="J49" i="10"/>
  <c r="I50" i="10"/>
  <c r="J50" i="10"/>
  <c r="I51" i="10"/>
  <c r="J51" i="10"/>
  <c r="F286" i="5" l="1"/>
  <c r="N284" i="5"/>
  <c r="M284" i="5"/>
  <c r="L284" i="5"/>
  <c r="K284" i="5"/>
  <c r="N283" i="5"/>
  <c r="M283" i="5"/>
  <c r="L283" i="5"/>
  <c r="K283" i="5"/>
  <c r="M280" i="5"/>
  <c r="L280" i="5"/>
  <c r="K280" i="5"/>
  <c r="F278" i="5"/>
  <c r="N276" i="5"/>
  <c r="M276" i="5"/>
  <c r="K276" i="5"/>
  <c r="N275" i="5"/>
  <c r="M275" i="5"/>
  <c r="L275" i="5"/>
  <c r="K275" i="5"/>
  <c r="F274" i="5"/>
  <c r="N274" i="5" s="1"/>
  <c r="N272" i="5"/>
  <c r="M272" i="5"/>
  <c r="L272" i="5"/>
  <c r="K272" i="5"/>
  <c r="F270" i="5"/>
  <c r="N267" i="5"/>
  <c r="M267" i="5"/>
  <c r="L267" i="5"/>
  <c r="K267" i="5"/>
  <c r="N264" i="5"/>
  <c r="M264" i="5"/>
  <c r="L264" i="5"/>
  <c r="K264" i="5"/>
  <c r="V16" i="6"/>
  <c r="M282" i="5" l="1"/>
  <c r="K282" i="5"/>
  <c r="N282" i="5"/>
  <c r="N285" i="5" s="1"/>
  <c r="R285" i="5" s="1"/>
  <c r="M286" i="5"/>
  <c r="Q286" i="5" s="1"/>
  <c r="L274" i="5"/>
  <c r="L278" i="5" s="1"/>
  <c r="P278" i="5" s="1"/>
  <c r="M285" i="5"/>
  <c r="Q285" i="5" s="1"/>
  <c r="N278" i="5"/>
  <c r="R278" i="5" s="1"/>
  <c r="N269" i="5"/>
  <c r="R269" i="5" s="1"/>
  <c r="N270" i="5"/>
  <c r="R270" i="5" s="1"/>
  <c r="L270" i="5"/>
  <c r="P270" i="5" s="1"/>
  <c r="N277" i="5"/>
  <c r="R277" i="5" s="1"/>
  <c r="K274" i="5"/>
  <c r="K278" i="5" s="1"/>
  <c r="O278" i="5" s="1"/>
  <c r="M274" i="5"/>
  <c r="M277" i="5" s="1"/>
  <c r="Q277" i="5" s="1"/>
  <c r="L282" i="5"/>
  <c r="L286" i="5" s="1"/>
  <c r="P286" i="5" s="1"/>
  <c r="K269" i="5"/>
  <c r="O269" i="5" s="1"/>
  <c r="K285" i="5"/>
  <c r="O285" i="5" s="1"/>
  <c r="AK16" i="6"/>
  <c r="Y16" i="6"/>
  <c r="U16" i="6"/>
  <c r="AL16" i="6" s="1"/>
  <c r="W16" i="6"/>
  <c r="AJ16" i="6" s="1"/>
  <c r="T16" i="6"/>
  <c r="AM16" i="6" s="1"/>
  <c r="Q13" i="6"/>
  <c r="P14" i="6"/>
  <c r="O15" i="6"/>
  <c r="N15" i="6"/>
  <c r="N16" i="6"/>
  <c r="N286" i="5" l="1"/>
  <c r="R286" i="5" s="1"/>
  <c r="L277" i="5"/>
  <c r="P277" i="5" s="1"/>
  <c r="K277" i="5"/>
  <c r="O277" i="5" s="1"/>
  <c r="L269" i="5"/>
  <c r="P269" i="5" s="1"/>
  <c r="K286" i="5"/>
  <c r="O286" i="5" s="1"/>
  <c r="M269" i="5"/>
  <c r="Q269" i="5" s="1"/>
  <c r="M270" i="5"/>
  <c r="Q270" i="5" s="1"/>
  <c r="L285" i="5"/>
  <c r="P285" i="5" s="1"/>
  <c r="M278" i="5"/>
  <c r="Q278" i="5" s="1"/>
  <c r="K270" i="5"/>
  <c r="O270" i="5" s="1"/>
  <c r="H58" i="11"/>
  <c r="F16" i="6"/>
  <c r="G16" i="6"/>
  <c r="H16" i="6"/>
  <c r="I16" i="6"/>
  <c r="J16" i="6"/>
  <c r="J47" i="10"/>
  <c r="I47" i="10"/>
  <c r="J46" i="10"/>
  <c r="I46" i="10"/>
  <c r="J45" i="10"/>
  <c r="I45" i="10"/>
  <c r="J44" i="10"/>
  <c r="I44" i="10"/>
  <c r="H57" i="11"/>
  <c r="K57" i="11"/>
  <c r="K58" i="11"/>
  <c r="H59" i="11"/>
  <c r="K59" i="11"/>
  <c r="H60" i="11"/>
  <c r="K60" i="11"/>
  <c r="G57" i="11"/>
  <c r="G58" i="11"/>
  <c r="G59" i="11"/>
  <c r="G60" i="11"/>
  <c r="F58" i="11"/>
  <c r="F59" i="11"/>
  <c r="F60" i="11"/>
  <c r="F54" i="11"/>
  <c r="F261" i="5" l="1"/>
  <c r="N259" i="5"/>
  <c r="M259" i="5"/>
  <c r="L259" i="5"/>
  <c r="K259" i="5"/>
  <c r="N258" i="5"/>
  <c r="M258" i="5"/>
  <c r="L258" i="5"/>
  <c r="K258" i="5"/>
  <c r="F257" i="5"/>
  <c r="K257" i="5" s="1"/>
  <c r="N255" i="5"/>
  <c r="M255" i="5"/>
  <c r="L255" i="5"/>
  <c r="K255" i="5"/>
  <c r="F253" i="5"/>
  <c r="N251" i="5"/>
  <c r="M251" i="5"/>
  <c r="L251" i="5"/>
  <c r="N250" i="5"/>
  <c r="M250" i="5"/>
  <c r="L250" i="5"/>
  <c r="K250" i="5"/>
  <c r="F249" i="5"/>
  <c r="K249" i="5" s="1"/>
  <c r="N247" i="5"/>
  <c r="M247" i="5"/>
  <c r="L247" i="5"/>
  <c r="K247" i="5"/>
  <c r="K260" i="5" l="1"/>
  <c r="O260" i="5" s="1"/>
  <c r="K252" i="5"/>
  <c r="O252" i="5" s="1"/>
  <c r="L257" i="5"/>
  <c r="L261" i="5" s="1"/>
  <c r="P261" i="5" s="1"/>
  <c r="L249" i="5"/>
  <c r="L253" i="5" s="1"/>
  <c r="P253" i="5" s="1"/>
  <c r="M249" i="5"/>
  <c r="M253" i="5" s="1"/>
  <c r="Q253" i="5" s="1"/>
  <c r="K253" i="5"/>
  <c r="O253" i="5" s="1"/>
  <c r="K261" i="5"/>
  <c r="O261" i="5" s="1"/>
  <c r="M257" i="5"/>
  <c r="M261" i="5" s="1"/>
  <c r="Q261" i="5" s="1"/>
  <c r="N257" i="5"/>
  <c r="N261" i="5" s="1"/>
  <c r="R261" i="5" s="1"/>
  <c r="N249" i="5"/>
  <c r="N253" i="5" s="1"/>
  <c r="R253" i="5" s="1"/>
  <c r="L252" i="5" l="1"/>
  <c r="P252" i="5" s="1"/>
  <c r="M260" i="5"/>
  <c r="Q260" i="5" s="1"/>
  <c r="L260" i="5"/>
  <c r="P260" i="5" s="1"/>
  <c r="M252" i="5"/>
  <c r="Q252" i="5" s="1"/>
  <c r="N260" i="5"/>
  <c r="R260" i="5" s="1"/>
  <c r="N252" i="5"/>
  <c r="R252" i="5" s="1"/>
  <c r="F245" i="5" l="1"/>
  <c r="N243" i="5"/>
  <c r="M243" i="5"/>
  <c r="L243" i="5"/>
  <c r="N242" i="5"/>
  <c r="M242" i="5"/>
  <c r="L242" i="5"/>
  <c r="K242" i="5"/>
  <c r="F241" i="5"/>
  <c r="N241" i="5" s="1"/>
  <c r="N239" i="5"/>
  <c r="M239" i="5"/>
  <c r="L239" i="5"/>
  <c r="K239" i="5"/>
  <c r="K241" i="5" l="1"/>
  <c r="K244" i="5" s="1"/>
  <c r="O244" i="5" s="1"/>
  <c r="L241" i="5"/>
  <c r="L244" i="5" s="1"/>
  <c r="P244" i="5" s="1"/>
  <c r="N245" i="5"/>
  <c r="R245" i="5" s="1"/>
  <c r="M241" i="5"/>
  <c r="M245" i="5" s="1"/>
  <c r="Q245" i="5" s="1"/>
  <c r="N244" i="5"/>
  <c r="R244" i="5" s="1"/>
  <c r="Y15" i="6"/>
  <c r="W15" i="6"/>
  <c r="AI15" i="6" s="1"/>
  <c r="V15" i="6"/>
  <c r="AJ15" i="6" s="1"/>
  <c r="U15" i="6"/>
  <c r="AK15" i="6" s="1"/>
  <c r="T15" i="6"/>
  <c r="AL15" i="6" s="1"/>
  <c r="Q12" i="6"/>
  <c r="P13" i="6"/>
  <c r="O14" i="6"/>
  <c r="N14" i="6"/>
  <c r="J15" i="6"/>
  <c r="I15" i="6"/>
  <c r="H15" i="6"/>
  <c r="G15" i="6"/>
  <c r="G14" i="6"/>
  <c r="F15" i="6"/>
  <c r="F58" i="2"/>
  <c r="N56" i="2"/>
  <c r="M56" i="2"/>
  <c r="L56" i="2"/>
  <c r="K56" i="2"/>
  <c r="N55" i="2"/>
  <c r="M55" i="2"/>
  <c r="L55" i="2"/>
  <c r="K55" i="2"/>
  <c r="M54" i="2"/>
  <c r="F54" i="2"/>
  <c r="K54" i="2" s="1"/>
  <c r="N53" i="2"/>
  <c r="M53" i="2"/>
  <c r="L53" i="2"/>
  <c r="K53" i="2"/>
  <c r="F50" i="2"/>
  <c r="N48" i="2"/>
  <c r="M48" i="2"/>
  <c r="L48" i="2"/>
  <c r="K48" i="2"/>
  <c r="N47" i="2"/>
  <c r="M47" i="2"/>
  <c r="L47" i="2"/>
  <c r="K47" i="2"/>
  <c r="F46" i="2"/>
  <c r="M46" i="2" s="1"/>
  <c r="N45" i="2"/>
  <c r="M45" i="2"/>
  <c r="L45" i="2"/>
  <c r="K45" i="2"/>
  <c r="N44" i="2"/>
  <c r="M44" i="2"/>
  <c r="M49" i="2" s="1"/>
  <c r="L44" i="2"/>
  <c r="K44" i="2"/>
  <c r="K50" i="2" s="1"/>
  <c r="F42" i="2"/>
  <c r="N40" i="2"/>
  <c r="M40" i="2"/>
  <c r="L40" i="2"/>
  <c r="K40" i="2"/>
  <c r="N39" i="2"/>
  <c r="M39" i="2"/>
  <c r="L39" i="2"/>
  <c r="K39" i="2"/>
  <c r="F38" i="2"/>
  <c r="K38" i="2" s="1"/>
  <c r="N37" i="2"/>
  <c r="M37" i="2"/>
  <c r="L37" i="2"/>
  <c r="K37" i="2"/>
  <c r="N36" i="2"/>
  <c r="M36" i="2"/>
  <c r="L36" i="2"/>
  <c r="L42" i="2" s="1"/>
  <c r="K36" i="2"/>
  <c r="L38" i="2" l="1"/>
  <c r="M38" i="2"/>
  <c r="L54" i="2"/>
  <c r="L58" i="2" s="1"/>
  <c r="L50" i="2"/>
  <c r="K41" i="2"/>
  <c r="N49" i="2"/>
  <c r="M42" i="2"/>
  <c r="M50" i="2"/>
  <c r="K57" i="2"/>
  <c r="K42" i="2"/>
  <c r="N42" i="2"/>
  <c r="L41" i="2"/>
  <c r="N50" i="2"/>
  <c r="M58" i="2"/>
  <c r="K58" i="2"/>
  <c r="L245" i="5"/>
  <c r="P245" i="5" s="1"/>
  <c r="M244" i="5"/>
  <c r="Q244" i="5" s="1"/>
  <c r="K245" i="5"/>
  <c r="O245" i="5" s="1"/>
  <c r="N46" i="2"/>
  <c r="L57" i="2"/>
  <c r="M41" i="2"/>
  <c r="K46" i="2"/>
  <c r="K49" i="2"/>
  <c r="M57" i="2"/>
  <c r="N38" i="2"/>
  <c r="N41" i="2"/>
  <c r="L46" i="2"/>
  <c r="L49" i="2"/>
  <c r="N54" i="2"/>
  <c r="N58" i="2" s="1"/>
  <c r="N57" i="2" l="1"/>
  <c r="K52" i="11" l="1"/>
  <c r="K53" i="11"/>
  <c r="K54" i="11"/>
  <c r="K55" i="11"/>
  <c r="H52" i="11"/>
  <c r="H53" i="11"/>
  <c r="H54" i="11"/>
  <c r="H55" i="11"/>
  <c r="F48" i="11"/>
  <c r="G48" i="11"/>
  <c r="F49" i="11"/>
  <c r="G49" i="11"/>
  <c r="F50" i="11"/>
  <c r="G50" i="11"/>
  <c r="F52" i="11"/>
  <c r="G52" i="11"/>
  <c r="F53" i="11"/>
  <c r="G53" i="11"/>
  <c r="G54" i="11"/>
  <c r="F55" i="11"/>
  <c r="G55" i="11"/>
  <c r="J41" i="10" l="1"/>
  <c r="J42" i="10"/>
  <c r="J43" i="10"/>
  <c r="J40" i="10"/>
  <c r="I40" i="10"/>
  <c r="I41" i="10"/>
  <c r="I42" i="10"/>
  <c r="I43" i="10"/>
  <c r="L233" i="5"/>
  <c r="L230" i="5"/>
  <c r="K230" i="5"/>
  <c r="M234" i="5"/>
  <c r="K234" i="5"/>
  <c r="L234" i="5"/>
  <c r="N233" i="5"/>
  <c r="M233" i="5"/>
  <c r="K233" i="5"/>
  <c r="F232" i="5"/>
  <c r="M232" i="5" s="1"/>
  <c r="N230" i="5"/>
  <c r="M230" i="5"/>
  <c r="M236" i="5" l="1"/>
  <c r="L232" i="5"/>
  <c r="M235" i="5"/>
  <c r="Q235" i="5" s="1"/>
  <c r="N232" i="5"/>
  <c r="K232" i="5"/>
  <c r="K236" i="5" s="1"/>
  <c r="N234" i="5"/>
  <c r="L236" i="5"/>
  <c r="F236" i="5"/>
  <c r="N188" i="5"/>
  <c r="K8" i="11"/>
  <c r="K9" i="11"/>
  <c r="K10" i="11"/>
  <c r="K12" i="11"/>
  <c r="K13" i="11"/>
  <c r="K14" i="11"/>
  <c r="K17" i="11"/>
  <c r="K18" i="11"/>
  <c r="K19" i="11"/>
  <c r="K20" i="11"/>
  <c r="K22" i="11"/>
  <c r="K23" i="11"/>
  <c r="K24" i="11"/>
  <c r="K25" i="11"/>
  <c r="K27" i="11"/>
  <c r="K28" i="11"/>
  <c r="K29" i="11"/>
  <c r="K30" i="11"/>
  <c r="K32" i="11"/>
  <c r="K33" i="11"/>
  <c r="K34" i="11"/>
  <c r="K35" i="11"/>
  <c r="K37" i="11"/>
  <c r="K38" i="11"/>
  <c r="K39" i="11"/>
  <c r="K40" i="11"/>
  <c r="K42" i="11"/>
  <c r="K43" i="11"/>
  <c r="K44" i="11"/>
  <c r="K45" i="11"/>
  <c r="K46" i="11"/>
  <c r="K47" i="11"/>
  <c r="K48" i="11"/>
  <c r="K49" i="11"/>
  <c r="K50" i="11"/>
  <c r="K7" i="11"/>
  <c r="Q236" i="5" l="1"/>
  <c r="O236" i="5"/>
  <c r="N236" i="5"/>
  <c r="R236" i="5" s="1"/>
  <c r="K235" i="5"/>
  <c r="O235" i="5" s="1"/>
  <c r="N235" i="5"/>
  <c r="R235" i="5" s="1"/>
  <c r="L235" i="5"/>
  <c r="P235" i="5" s="1"/>
  <c r="P236" i="5"/>
  <c r="F209" i="5"/>
  <c r="K209" i="5" s="1"/>
  <c r="F217" i="5"/>
  <c r="N180" i="5" l="1"/>
  <c r="M180" i="5"/>
  <c r="K180" i="5"/>
  <c r="L188" i="5"/>
  <c r="Q11" i="6" l="1"/>
  <c r="P12" i="6"/>
  <c r="O13" i="6"/>
  <c r="H14" i="6"/>
  <c r="I14" i="6"/>
  <c r="J14" i="6"/>
  <c r="F14" i="6"/>
  <c r="W14" i="6"/>
  <c r="AH14" i="6" s="1"/>
  <c r="V14" i="6"/>
  <c r="AI14" i="6" s="1"/>
  <c r="U14" i="6"/>
  <c r="AJ14" i="6" s="1"/>
  <c r="T14" i="6"/>
  <c r="AK14" i="6" s="1"/>
  <c r="Y14" i="6"/>
  <c r="M222" i="5"/>
  <c r="N222" i="5"/>
  <c r="L191" i="5"/>
  <c r="N213" i="5" l="1"/>
  <c r="M213" i="5"/>
  <c r="L213" i="5"/>
  <c r="K213" i="5"/>
  <c r="L205" i="5"/>
  <c r="K205" i="5"/>
  <c r="H47" i="11" l="1"/>
  <c r="H48" i="11"/>
  <c r="H49" i="11"/>
  <c r="H50" i="11"/>
  <c r="G47" i="11"/>
  <c r="F47" i="11"/>
  <c r="J39" i="10" l="1"/>
  <c r="I39" i="10"/>
  <c r="J38" i="10"/>
  <c r="I38" i="10"/>
  <c r="J37" i="10"/>
  <c r="I37" i="10"/>
  <c r="J36" i="10"/>
  <c r="I36" i="10"/>
  <c r="F227" i="5"/>
  <c r="N225" i="5"/>
  <c r="M225" i="5"/>
  <c r="L225" i="5"/>
  <c r="N224" i="5"/>
  <c r="M224" i="5"/>
  <c r="L224" i="5"/>
  <c r="K224" i="5"/>
  <c r="F223" i="5"/>
  <c r="K223" i="5" s="1"/>
  <c r="F219" i="5"/>
  <c r="N217" i="5"/>
  <c r="M217" i="5"/>
  <c r="L217" i="5"/>
  <c r="K217" i="5"/>
  <c r="N216" i="5"/>
  <c r="M216" i="5"/>
  <c r="L216" i="5"/>
  <c r="K216" i="5"/>
  <c r="F215" i="5"/>
  <c r="M215" i="5" s="1"/>
  <c r="N214" i="5"/>
  <c r="M214" i="5"/>
  <c r="L214" i="5"/>
  <c r="K214" i="5"/>
  <c r="F211" i="5"/>
  <c r="N209" i="5"/>
  <c r="M209" i="5"/>
  <c r="L209" i="5"/>
  <c r="N208" i="5"/>
  <c r="M208" i="5"/>
  <c r="K208" i="5"/>
  <c r="F207" i="5"/>
  <c r="K207" i="5" s="1"/>
  <c r="N206" i="5"/>
  <c r="M206" i="5"/>
  <c r="L206" i="5"/>
  <c r="K206" i="5"/>
  <c r="N205" i="5"/>
  <c r="M205" i="5"/>
  <c r="M218" i="5" l="1"/>
  <c r="Q218" i="5" s="1"/>
  <c r="M207" i="5"/>
  <c r="M211" i="5" s="1"/>
  <c r="Q211" i="5" s="1"/>
  <c r="L223" i="5"/>
  <c r="L227" i="5" s="1"/>
  <c r="P227" i="5" s="1"/>
  <c r="M223" i="5"/>
  <c r="M227" i="5" s="1"/>
  <c r="Q227" i="5" s="1"/>
  <c r="M219" i="5"/>
  <c r="Q219" i="5" s="1"/>
  <c r="K211" i="5"/>
  <c r="O211" i="5" s="1"/>
  <c r="L207" i="5"/>
  <c r="L210" i="5" s="1"/>
  <c r="P210" i="5" s="1"/>
  <c r="K210" i="5"/>
  <c r="O210" i="5" s="1"/>
  <c r="K226" i="5"/>
  <c r="O226" i="5" s="1"/>
  <c r="K227" i="5"/>
  <c r="O227" i="5" s="1"/>
  <c r="N207" i="5"/>
  <c r="N211" i="5" s="1"/>
  <c r="R211" i="5" s="1"/>
  <c r="L215" i="5"/>
  <c r="L218" i="5" s="1"/>
  <c r="P218" i="5" s="1"/>
  <c r="N223" i="5"/>
  <c r="N215" i="5"/>
  <c r="K215" i="5"/>
  <c r="K218" i="5" s="1"/>
  <c r="O218" i="5" s="1"/>
  <c r="M188" i="5"/>
  <c r="K192" i="5"/>
  <c r="K189" i="5"/>
  <c r="K191" i="5"/>
  <c r="L42" i="11"/>
  <c r="H30" i="11"/>
  <c r="L30" i="11" s="1"/>
  <c r="H24" i="11"/>
  <c r="L24" i="11" s="1"/>
  <c r="H18" i="11"/>
  <c r="L18" i="11" s="1"/>
  <c r="G18" i="11"/>
  <c r="G24" i="11"/>
  <c r="G30" i="11"/>
  <c r="G42" i="11"/>
  <c r="F42" i="11"/>
  <c r="F30" i="11"/>
  <c r="F24" i="11"/>
  <c r="F18" i="11"/>
  <c r="F12" i="11"/>
  <c r="H12" i="11"/>
  <c r="L12" i="11" s="1"/>
  <c r="H13" i="11"/>
  <c r="L13" i="11" s="1"/>
  <c r="H10" i="11"/>
  <c r="L10" i="11" s="1"/>
  <c r="H9" i="11"/>
  <c r="L9" i="11" s="1"/>
  <c r="H7" i="11"/>
  <c r="L7" i="11" s="1"/>
  <c r="F7" i="11"/>
  <c r="H45" i="11"/>
  <c r="L45" i="11" s="1"/>
  <c r="G45" i="11"/>
  <c r="F45" i="11"/>
  <c r="H44" i="11"/>
  <c r="L44" i="11" s="1"/>
  <c r="G44" i="11"/>
  <c r="F44" i="11"/>
  <c r="H43" i="11"/>
  <c r="L43" i="11" s="1"/>
  <c r="G43" i="11"/>
  <c r="F43" i="11"/>
  <c r="H40" i="11"/>
  <c r="L40" i="11" s="1"/>
  <c r="G40" i="11"/>
  <c r="F40" i="11"/>
  <c r="H39" i="11"/>
  <c r="L39" i="11" s="1"/>
  <c r="G39" i="11"/>
  <c r="F39" i="11"/>
  <c r="H38" i="11"/>
  <c r="L38" i="11" s="1"/>
  <c r="G38" i="11"/>
  <c r="F38" i="11"/>
  <c r="H37" i="11"/>
  <c r="L37" i="11" s="1"/>
  <c r="G37" i="11"/>
  <c r="F37" i="11"/>
  <c r="H35" i="11"/>
  <c r="L35" i="11" s="1"/>
  <c r="G35" i="11"/>
  <c r="F35" i="11"/>
  <c r="H34" i="11"/>
  <c r="L34" i="11" s="1"/>
  <c r="G34" i="11"/>
  <c r="F34" i="11"/>
  <c r="H33" i="11"/>
  <c r="L33" i="11" s="1"/>
  <c r="G33" i="11"/>
  <c r="F33" i="11"/>
  <c r="H32" i="11"/>
  <c r="L32" i="11" s="1"/>
  <c r="G32" i="11"/>
  <c r="F32" i="11"/>
  <c r="H29" i="11"/>
  <c r="L29" i="11" s="1"/>
  <c r="G29" i="11"/>
  <c r="F29" i="11"/>
  <c r="H28" i="11"/>
  <c r="L28" i="11" s="1"/>
  <c r="G28" i="11"/>
  <c r="F28" i="11"/>
  <c r="H27" i="11"/>
  <c r="L27" i="11" s="1"/>
  <c r="G27" i="11"/>
  <c r="F27" i="11"/>
  <c r="H25" i="11"/>
  <c r="L25" i="11" s="1"/>
  <c r="G25" i="11"/>
  <c r="F25" i="11"/>
  <c r="H23" i="11"/>
  <c r="L23" i="11" s="1"/>
  <c r="G23" i="11"/>
  <c r="F23" i="11"/>
  <c r="H22" i="11"/>
  <c r="L22" i="11" s="1"/>
  <c r="G22" i="11"/>
  <c r="F22" i="11"/>
  <c r="H20" i="11"/>
  <c r="L20" i="11" s="1"/>
  <c r="G20" i="11"/>
  <c r="F20" i="11"/>
  <c r="H19" i="11"/>
  <c r="L19" i="11" s="1"/>
  <c r="G19" i="11"/>
  <c r="F19" i="11"/>
  <c r="H17" i="11"/>
  <c r="L17" i="11" s="1"/>
  <c r="G17" i="11"/>
  <c r="F17" i="11"/>
  <c r="H15" i="11"/>
  <c r="L15" i="11" s="1"/>
  <c r="G15" i="11"/>
  <c r="F15" i="11"/>
  <c r="H14" i="11"/>
  <c r="L14" i="11" s="1"/>
  <c r="G14" i="11"/>
  <c r="F14" i="11"/>
  <c r="G13" i="11"/>
  <c r="F13" i="11"/>
  <c r="G12" i="11"/>
  <c r="G10" i="11"/>
  <c r="F10" i="11"/>
  <c r="G9" i="11"/>
  <c r="F9" i="11"/>
  <c r="H8" i="11"/>
  <c r="L8" i="11" s="1"/>
  <c r="G8" i="11"/>
  <c r="F8" i="11"/>
  <c r="G7" i="11"/>
  <c r="J35" i="10"/>
  <c r="I35" i="10"/>
  <c r="J34" i="10"/>
  <c r="I34" i="10"/>
  <c r="J33" i="10"/>
  <c r="I33" i="10"/>
  <c r="J32" i="10"/>
  <c r="I32" i="10"/>
  <c r="J31" i="10"/>
  <c r="I31" i="10"/>
  <c r="J30" i="10"/>
  <c r="I30" i="10"/>
  <c r="J29" i="10"/>
  <c r="I29" i="10"/>
  <c r="J28" i="10"/>
  <c r="I28" i="10"/>
  <c r="J27" i="10"/>
  <c r="I27" i="10"/>
  <c r="J26" i="10"/>
  <c r="I26" i="10"/>
  <c r="J25" i="10"/>
  <c r="I25" i="10"/>
  <c r="J24" i="10"/>
  <c r="I24" i="10"/>
  <c r="J23" i="10"/>
  <c r="I23" i="10"/>
  <c r="J22" i="10"/>
  <c r="I22" i="10"/>
  <c r="J21" i="10"/>
  <c r="I21" i="10"/>
  <c r="J20" i="10"/>
  <c r="I20" i="10"/>
  <c r="J19" i="10"/>
  <c r="I19" i="10"/>
  <c r="J18" i="10"/>
  <c r="I18" i="10"/>
  <c r="J17" i="10"/>
  <c r="I17" i="10"/>
  <c r="J16" i="10"/>
  <c r="I16" i="10"/>
  <c r="J15" i="10"/>
  <c r="I15" i="10"/>
  <c r="J14" i="10"/>
  <c r="I14" i="10"/>
  <c r="J13" i="10"/>
  <c r="I13" i="10"/>
  <c r="J12" i="10"/>
  <c r="I12" i="10"/>
  <c r="J11" i="10"/>
  <c r="I11" i="10"/>
  <c r="J10" i="10"/>
  <c r="I10" i="10"/>
  <c r="J9" i="10"/>
  <c r="I9" i="10"/>
  <c r="J8" i="10"/>
  <c r="I8" i="10"/>
  <c r="J7" i="10"/>
  <c r="I7" i="10"/>
  <c r="J6" i="10"/>
  <c r="I6" i="10"/>
  <c r="J5" i="10"/>
  <c r="I5" i="10"/>
  <c r="J4" i="10"/>
  <c r="I4" i="10"/>
  <c r="AA16" i="10"/>
  <c r="AA15" i="10"/>
  <c r="AA14" i="10"/>
  <c r="BC9" i="6"/>
  <c r="BB9" i="6"/>
  <c r="BA9" i="6"/>
  <c r="AZ9" i="6"/>
  <c r="BC8" i="6"/>
  <c r="BB8" i="6"/>
  <c r="BA8" i="6"/>
  <c r="AZ8" i="6"/>
  <c r="AZ7" i="6"/>
  <c r="BC6" i="6"/>
  <c r="BB6" i="6"/>
  <c r="BA6" i="6"/>
  <c r="BA7" i="6"/>
  <c r="BB7" i="6"/>
  <c r="BC7" i="6"/>
  <c r="Y11" i="6"/>
  <c r="Y12" i="6"/>
  <c r="Y13" i="6"/>
  <c r="V6" i="6"/>
  <c r="AA6" i="6" s="1"/>
  <c r="S6" i="6"/>
  <c r="Y6" i="6" s="1"/>
  <c r="T6" i="6"/>
  <c r="AC6" i="6" s="1"/>
  <c r="U6" i="6"/>
  <c r="AB6" i="6" s="1"/>
  <c r="W6" i="6"/>
  <c r="Z6" i="6" s="1"/>
  <c r="S7" i="6"/>
  <c r="Y7" i="6" s="1"/>
  <c r="T7" i="6"/>
  <c r="AD7" i="6" s="1"/>
  <c r="U7" i="6"/>
  <c r="AC7" i="6" s="1"/>
  <c r="V7" i="6"/>
  <c r="AB7" i="6" s="1"/>
  <c r="W7" i="6"/>
  <c r="AA7" i="6" s="1"/>
  <c r="S8" i="6"/>
  <c r="Y8" i="6" s="1"/>
  <c r="T8" i="6"/>
  <c r="AE8" i="6" s="1"/>
  <c r="U8" i="6"/>
  <c r="AD8" i="6" s="1"/>
  <c r="V8" i="6"/>
  <c r="AC8" i="6" s="1"/>
  <c r="W8" i="6"/>
  <c r="AB8" i="6" s="1"/>
  <c r="S9" i="6"/>
  <c r="Y9" i="6" s="1"/>
  <c r="T9" i="6"/>
  <c r="AF9" i="6" s="1"/>
  <c r="U9" i="6"/>
  <c r="AE9" i="6" s="1"/>
  <c r="V9" i="6"/>
  <c r="AD9" i="6" s="1"/>
  <c r="W9" i="6"/>
  <c r="AC9" i="6" s="1"/>
  <c r="S10" i="6"/>
  <c r="Y10" i="6" s="1"/>
  <c r="T10" i="6"/>
  <c r="AG10" i="6" s="1"/>
  <c r="U10" i="6"/>
  <c r="AF10" i="6" s="1"/>
  <c r="V10" i="6"/>
  <c r="AE10" i="6" s="1"/>
  <c r="W10" i="6"/>
  <c r="AD10" i="6" s="1"/>
  <c r="T11" i="6"/>
  <c r="AH11" i="6" s="1"/>
  <c r="U11" i="6"/>
  <c r="AG11" i="6" s="1"/>
  <c r="V11" i="6"/>
  <c r="AF11" i="6" s="1"/>
  <c r="W11" i="6"/>
  <c r="AE11" i="6" s="1"/>
  <c r="T12" i="6"/>
  <c r="AI12" i="6" s="1"/>
  <c r="U12" i="6"/>
  <c r="AH12" i="6" s="1"/>
  <c r="V12" i="6"/>
  <c r="AG12" i="6" s="1"/>
  <c r="W12" i="6"/>
  <c r="AF12" i="6" s="1"/>
  <c r="T13" i="6"/>
  <c r="AJ13" i="6" s="1"/>
  <c r="U13" i="6"/>
  <c r="AI13" i="6" s="1"/>
  <c r="V13" i="6"/>
  <c r="AH13" i="6" s="1"/>
  <c r="W13" i="6"/>
  <c r="AG13" i="6" s="1"/>
  <c r="Q7" i="6"/>
  <c r="Q8" i="6"/>
  <c r="Q9" i="6"/>
  <c r="Q10" i="6"/>
  <c r="P7" i="6"/>
  <c r="P8" i="6"/>
  <c r="P9" i="6"/>
  <c r="P10" i="6"/>
  <c r="P11" i="6"/>
  <c r="O7" i="6"/>
  <c r="O8" i="6"/>
  <c r="O9" i="6"/>
  <c r="O10" i="6"/>
  <c r="O11" i="6"/>
  <c r="O12" i="6"/>
  <c r="Q6" i="6"/>
  <c r="P6" i="6"/>
  <c r="O6" i="6"/>
  <c r="N7" i="6"/>
  <c r="N8" i="6"/>
  <c r="N9" i="6"/>
  <c r="N10" i="6"/>
  <c r="N11" i="6"/>
  <c r="N12" i="6"/>
  <c r="N13" i="6"/>
  <c r="N6" i="6"/>
  <c r="G7" i="6"/>
  <c r="H7" i="6"/>
  <c r="I7" i="6"/>
  <c r="J7" i="6"/>
  <c r="G8" i="6"/>
  <c r="H8" i="6"/>
  <c r="I8" i="6"/>
  <c r="J8" i="6"/>
  <c r="G9" i="6"/>
  <c r="H9" i="6"/>
  <c r="I9" i="6"/>
  <c r="J9" i="6"/>
  <c r="G10" i="6"/>
  <c r="H10" i="6"/>
  <c r="I10" i="6"/>
  <c r="J10" i="6"/>
  <c r="G11" i="6"/>
  <c r="H11" i="6"/>
  <c r="I11" i="6"/>
  <c r="J11" i="6"/>
  <c r="G12" i="6"/>
  <c r="H12" i="6"/>
  <c r="I12" i="6"/>
  <c r="J12" i="6"/>
  <c r="G13" i="6"/>
  <c r="H13" i="6"/>
  <c r="I13" i="6"/>
  <c r="J13" i="6"/>
  <c r="H6" i="6"/>
  <c r="I6" i="6"/>
  <c r="J6" i="6"/>
  <c r="G6" i="6"/>
  <c r="F10" i="6"/>
  <c r="F7" i="6"/>
  <c r="F8" i="6"/>
  <c r="F9" i="6"/>
  <c r="F11" i="6"/>
  <c r="F12" i="6"/>
  <c r="F13" i="6"/>
  <c r="F6" i="6"/>
  <c r="AA5" i="6"/>
  <c r="AB5" i="6" s="1"/>
  <c r="AC5" i="6" s="1"/>
  <c r="AD5" i="6" s="1"/>
  <c r="AE5" i="6" s="1"/>
  <c r="AF5" i="6" s="1"/>
  <c r="AG5" i="6" s="1"/>
  <c r="K77" i="5"/>
  <c r="N200" i="5"/>
  <c r="M200" i="5"/>
  <c r="L200" i="5"/>
  <c r="K200" i="5"/>
  <c r="N199" i="5"/>
  <c r="M199" i="5"/>
  <c r="L199" i="5"/>
  <c r="K199" i="5"/>
  <c r="N192" i="5"/>
  <c r="M192" i="5"/>
  <c r="L192" i="5"/>
  <c r="N191" i="5"/>
  <c r="M191" i="5"/>
  <c r="N189" i="5"/>
  <c r="M189" i="5"/>
  <c r="L189" i="5"/>
  <c r="N184" i="5"/>
  <c r="M184" i="5"/>
  <c r="L184" i="5"/>
  <c r="K184" i="5"/>
  <c r="N183" i="5"/>
  <c r="M183" i="5"/>
  <c r="L183" i="5"/>
  <c r="K183" i="5"/>
  <c r="N181" i="5"/>
  <c r="M181" i="5"/>
  <c r="L181" i="5"/>
  <c r="K181" i="5"/>
  <c r="N175" i="5"/>
  <c r="M175" i="5"/>
  <c r="L175" i="5"/>
  <c r="N174" i="5"/>
  <c r="M174" i="5"/>
  <c r="L174" i="5"/>
  <c r="K174" i="5"/>
  <c r="N167" i="5"/>
  <c r="M167" i="5"/>
  <c r="L167" i="5"/>
  <c r="K167" i="5"/>
  <c r="N166" i="5"/>
  <c r="M166" i="5"/>
  <c r="L166" i="5"/>
  <c r="K166" i="5"/>
  <c r="N164" i="5"/>
  <c r="M164" i="5"/>
  <c r="L164" i="5"/>
  <c r="K164" i="5"/>
  <c r="N159" i="5"/>
  <c r="M159" i="5"/>
  <c r="L159" i="5"/>
  <c r="K159" i="5"/>
  <c r="N158" i="5"/>
  <c r="M158" i="5"/>
  <c r="L158" i="5"/>
  <c r="K158" i="5"/>
  <c r="N156" i="5"/>
  <c r="M156" i="5"/>
  <c r="L156" i="5"/>
  <c r="K156" i="5"/>
  <c r="N150" i="5"/>
  <c r="M150" i="5"/>
  <c r="L150" i="5"/>
  <c r="K150" i="5"/>
  <c r="N149" i="5"/>
  <c r="M149" i="5"/>
  <c r="L149" i="5"/>
  <c r="K149" i="5"/>
  <c r="N142" i="5"/>
  <c r="M142" i="5"/>
  <c r="L142" i="5"/>
  <c r="K142" i="5"/>
  <c r="N141" i="5"/>
  <c r="M141" i="5"/>
  <c r="L141" i="5"/>
  <c r="K141" i="5"/>
  <c r="N139" i="5"/>
  <c r="M139" i="5"/>
  <c r="L139" i="5"/>
  <c r="K139" i="5"/>
  <c r="N134" i="5"/>
  <c r="M134" i="5"/>
  <c r="L134" i="5"/>
  <c r="N133" i="5"/>
  <c r="M133" i="5"/>
  <c r="L133" i="5"/>
  <c r="K133" i="5"/>
  <c r="N131" i="5"/>
  <c r="M131" i="5"/>
  <c r="L131" i="5"/>
  <c r="K131" i="5"/>
  <c r="N125" i="5"/>
  <c r="M125" i="5"/>
  <c r="L125" i="5"/>
  <c r="K125" i="5"/>
  <c r="N124" i="5"/>
  <c r="M124" i="5"/>
  <c r="L124" i="5"/>
  <c r="K124" i="5"/>
  <c r="N117" i="5"/>
  <c r="M117" i="5"/>
  <c r="L117" i="5"/>
  <c r="K117" i="5"/>
  <c r="N116" i="5"/>
  <c r="M116" i="5"/>
  <c r="L116" i="5"/>
  <c r="K116" i="5"/>
  <c r="N114" i="5"/>
  <c r="M114" i="5"/>
  <c r="L114" i="5"/>
  <c r="K114" i="5"/>
  <c r="N109" i="5"/>
  <c r="M109" i="5"/>
  <c r="L109" i="5"/>
  <c r="K109" i="5"/>
  <c r="N108" i="5"/>
  <c r="M108" i="5"/>
  <c r="L108" i="5"/>
  <c r="K108" i="5"/>
  <c r="N106" i="5"/>
  <c r="M106" i="5"/>
  <c r="L106" i="5"/>
  <c r="K106" i="5"/>
  <c r="N101" i="5"/>
  <c r="M101" i="5"/>
  <c r="L101" i="5"/>
  <c r="K101" i="5"/>
  <c r="N100" i="5"/>
  <c r="M100" i="5"/>
  <c r="L100" i="5"/>
  <c r="K100" i="5"/>
  <c r="N98" i="5"/>
  <c r="M98" i="5"/>
  <c r="L98" i="5"/>
  <c r="K98" i="5"/>
  <c r="N93" i="5"/>
  <c r="M93" i="5"/>
  <c r="L93" i="5"/>
  <c r="K93" i="5"/>
  <c r="N92" i="5"/>
  <c r="M92" i="5"/>
  <c r="L92" i="5"/>
  <c r="K92" i="5"/>
  <c r="N90" i="5"/>
  <c r="M90" i="5"/>
  <c r="L90" i="5"/>
  <c r="K90" i="5"/>
  <c r="N85" i="5"/>
  <c r="M85" i="5"/>
  <c r="L85" i="5"/>
  <c r="K85" i="5"/>
  <c r="N84" i="5"/>
  <c r="M84" i="5"/>
  <c r="L84" i="5"/>
  <c r="K84" i="5"/>
  <c r="N82" i="5"/>
  <c r="M82" i="5"/>
  <c r="L82" i="5"/>
  <c r="K82" i="5"/>
  <c r="N77" i="5"/>
  <c r="M77" i="5"/>
  <c r="L77" i="5"/>
  <c r="N76" i="5"/>
  <c r="M76" i="5"/>
  <c r="L76" i="5"/>
  <c r="K76" i="5"/>
  <c r="N69" i="5"/>
  <c r="M69" i="5"/>
  <c r="L69" i="5"/>
  <c r="K69" i="5"/>
  <c r="N68" i="5"/>
  <c r="M68" i="5"/>
  <c r="L68" i="5"/>
  <c r="K68" i="5"/>
  <c r="N66" i="5"/>
  <c r="M66" i="5"/>
  <c r="L66" i="5"/>
  <c r="K66" i="5"/>
  <c r="N61" i="5"/>
  <c r="M61" i="5"/>
  <c r="L61" i="5"/>
  <c r="K61" i="5"/>
  <c r="N60" i="5"/>
  <c r="M60" i="5"/>
  <c r="L60" i="5"/>
  <c r="K60" i="5"/>
  <c r="N58" i="5"/>
  <c r="M58" i="5"/>
  <c r="L58" i="5"/>
  <c r="K58" i="5"/>
  <c r="N53" i="5"/>
  <c r="M53" i="5"/>
  <c r="L53" i="5"/>
  <c r="K53" i="5"/>
  <c r="N52" i="5"/>
  <c r="M52" i="5"/>
  <c r="L52" i="5"/>
  <c r="K52" i="5"/>
  <c r="N37" i="5"/>
  <c r="M37" i="5"/>
  <c r="L37" i="5"/>
  <c r="K37" i="5"/>
  <c r="N36" i="5"/>
  <c r="M36" i="5"/>
  <c r="L36" i="5"/>
  <c r="K36" i="5"/>
  <c r="N34" i="5"/>
  <c r="M34" i="5"/>
  <c r="L34" i="5"/>
  <c r="K34" i="5"/>
  <c r="N29" i="5"/>
  <c r="M29" i="5"/>
  <c r="L29" i="5"/>
  <c r="K29" i="5"/>
  <c r="N28" i="5"/>
  <c r="M28" i="5"/>
  <c r="L28" i="5"/>
  <c r="K28" i="5"/>
  <c r="N26" i="5"/>
  <c r="M26" i="5"/>
  <c r="L26" i="5"/>
  <c r="K26" i="5"/>
  <c r="N21" i="5"/>
  <c r="M21" i="5"/>
  <c r="L21" i="5"/>
  <c r="K21" i="5"/>
  <c r="N20" i="5"/>
  <c r="M20" i="5"/>
  <c r="L20" i="5"/>
  <c r="K20" i="5"/>
  <c r="N18" i="5"/>
  <c r="M18" i="5"/>
  <c r="L18" i="5"/>
  <c r="K18" i="5"/>
  <c r="N13" i="5"/>
  <c r="M13" i="5"/>
  <c r="L13" i="5"/>
  <c r="N12" i="5"/>
  <c r="M12" i="5"/>
  <c r="L12" i="5"/>
  <c r="K12" i="5"/>
  <c r="N10" i="5"/>
  <c r="M10" i="5"/>
  <c r="L10" i="5"/>
  <c r="N45" i="5"/>
  <c r="M45" i="5"/>
  <c r="L45" i="5"/>
  <c r="K45" i="5"/>
  <c r="K44" i="5"/>
  <c r="F15" i="5"/>
  <c r="N44" i="5"/>
  <c r="M44" i="5"/>
  <c r="L44" i="5"/>
  <c r="N42" i="5"/>
  <c r="M42" i="5"/>
  <c r="L42" i="5"/>
  <c r="K42" i="5"/>
  <c r="F202" i="5"/>
  <c r="F198" i="5"/>
  <c r="N198" i="5" s="1"/>
  <c r="F194" i="5"/>
  <c r="F190" i="5"/>
  <c r="M190" i="5" s="1"/>
  <c r="F186" i="5"/>
  <c r="F182" i="5"/>
  <c r="K182" i="5" s="1"/>
  <c r="F169" i="5"/>
  <c r="F165" i="5"/>
  <c r="K165" i="5" s="1"/>
  <c r="F161" i="5"/>
  <c r="F157" i="5"/>
  <c r="K157" i="5" s="1"/>
  <c r="F152" i="5"/>
  <c r="F148" i="5"/>
  <c r="K148" i="5" s="1"/>
  <c r="K151" i="5" s="1"/>
  <c r="F144" i="5"/>
  <c r="F140" i="5"/>
  <c r="K140" i="5" s="1"/>
  <c r="F136" i="5"/>
  <c r="F132" i="5"/>
  <c r="K132" i="5" s="1"/>
  <c r="F127" i="5"/>
  <c r="F123" i="5"/>
  <c r="K123" i="5" s="1"/>
  <c r="K126" i="5" s="1"/>
  <c r="F119" i="5"/>
  <c r="F115" i="5"/>
  <c r="K115" i="5" s="1"/>
  <c r="F111" i="5"/>
  <c r="F107" i="5"/>
  <c r="K107" i="5" s="1"/>
  <c r="F103" i="5"/>
  <c r="F99" i="5"/>
  <c r="K99" i="5" s="1"/>
  <c r="F95" i="5"/>
  <c r="F91" i="5"/>
  <c r="L91" i="5" s="1"/>
  <c r="F87" i="5"/>
  <c r="F83" i="5"/>
  <c r="L83" i="5" s="1"/>
  <c r="F79" i="5"/>
  <c r="F75" i="5"/>
  <c r="K75" i="5" s="1"/>
  <c r="K78" i="5" s="1"/>
  <c r="O78" i="5" s="1"/>
  <c r="F71" i="5"/>
  <c r="F67" i="5"/>
  <c r="K67" i="5" s="1"/>
  <c r="F63" i="5"/>
  <c r="F59" i="5"/>
  <c r="K59" i="5" s="1"/>
  <c r="F55" i="5"/>
  <c r="F51" i="5"/>
  <c r="K51" i="5" s="1"/>
  <c r="F47" i="5"/>
  <c r="F43" i="5"/>
  <c r="K43" i="5" s="1"/>
  <c r="F39" i="5"/>
  <c r="F35" i="5"/>
  <c r="K35" i="5" s="1"/>
  <c r="F31" i="5"/>
  <c r="F27" i="5"/>
  <c r="K27" i="5" s="1"/>
  <c r="F23" i="5"/>
  <c r="F19" i="5"/>
  <c r="K19" i="5" s="1"/>
  <c r="F11" i="5"/>
  <c r="K11" i="5" s="1"/>
  <c r="R7" i="5"/>
  <c r="Q7" i="5"/>
  <c r="P7" i="5"/>
  <c r="O7" i="5"/>
  <c r="O63" i="10" l="1"/>
  <c r="L62" i="10" s="1"/>
  <c r="I79" i="11" s="1"/>
  <c r="J79" i="11" s="1"/>
  <c r="N63" i="10"/>
  <c r="L61" i="10" s="1"/>
  <c r="I78" i="11" s="1"/>
  <c r="J78" i="11" s="1"/>
  <c r="M63" i="10"/>
  <c r="L60" i="10" s="1"/>
  <c r="I77" i="11" s="1"/>
  <c r="J77" i="11" s="1"/>
  <c r="P63" i="10"/>
  <c r="L63" i="10" s="1"/>
  <c r="I80" i="11" s="1"/>
  <c r="J80" i="11" s="1"/>
  <c r="M59" i="10"/>
  <c r="N57" i="10"/>
  <c r="M57" i="10"/>
  <c r="O57" i="10"/>
  <c r="P57" i="10"/>
  <c r="O58" i="10"/>
  <c r="N58" i="10"/>
  <c r="M58" i="10"/>
  <c r="P58" i="10"/>
  <c r="N59" i="10"/>
  <c r="P59" i="10"/>
  <c r="O59" i="10"/>
  <c r="K53" i="10"/>
  <c r="K55" i="10"/>
  <c r="K54" i="10"/>
  <c r="I7" i="11"/>
  <c r="J7" i="11" s="1"/>
  <c r="K49" i="10"/>
  <c r="K51" i="10"/>
  <c r="P51" i="10" s="1"/>
  <c r="K48" i="10"/>
  <c r="M48" i="10" s="1"/>
  <c r="K50" i="10"/>
  <c r="K46" i="10"/>
  <c r="K45" i="10"/>
  <c r="K47" i="10"/>
  <c r="K44" i="10"/>
  <c r="K5" i="10"/>
  <c r="K17" i="10"/>
  <c r="K27" i="10"/>
  <c r="K31" i="10"/>
  <c r="K40" i="10"/>
  <c r="K41" i="10"/>
  <c r="K43" i="10"/>
  <c r="K42" i="10"/>
  <c r="K38" i="10"/>
  <c r="K36" i="10"/>
  <c r="K37" i="10"/>
  <c r="K10" i="10"/>
  <c r="K18" i="10"/>
  <c r="K20" i="10"/>
  <c r="K34" i="10"/>
  <c r="K39" i="10"/>
  <c r="L59" i="5"/>
  <c r="L62" i="5" s="1"/>
  <c r="P62" i="5" s="1"/>
  <c r="M91" i="5"/>
  <c r="M94" i="5" s="1"/>
  <c r="Q94" i="5" s="1"/>
  <c r="L123" i="5"/>
  <c r="L127" i="5" s="1"/>
  <c r="P127" i="5" s="1"/>
  <c r="L157" i="5"/>
  <c r="L160" i="5" s="1"/>
  <c r="P160" i="5" s="1"/>
  <c r="K55" i="5"/>
  <c r="O55" i="5" s="1"/>
  <c r="K47" i="5"/>
  <c r="O47" i="5" s="1"/>
  <c r="K198" i="5"/>
  <c r="K202" i="5" s="1"/>
  <c r="O202" i="5" s="1"/>
  <c r="L51" i="5"/>
  <c r="L55" i="5" s="1"/>
  <c r="P55" i="5" s="1"/>
  <c r="L19" i="5"/>
  <c r="L23" i="5" s="1"/>
  <c r="P23" i="5" s="1"/>
  <c r="L99" i="5"/>
  <c r="L103" i="5" s="1"/>
  <c r="P103" i="5" s="1"/>
  <c r="L132" i="5"/>
  <c r="L136" i="5" s="1"/>
  <c r="P136" i="5" s="1"/>
  <c r="L165" i="5"/>
  <c r="L27" i="5"/>
  <c r="L31" i="5" s="1"/>
  <c r="P31" i="5" s="1"/>
  <c r="L67" i="5"/>
  <c r="L71" i="5" s="1"/>
  <c r="P71" i="5" s="1"/>
  <c r="L107" i="5"/>
  <c r="L140" i="5"/>
  <c r="L144" i="5" s="1"/>
  <c r="P144" i="5" s="1"/>
  <c r="L182" i="5"/>
  <c r="N190" i="5"/>
  <c r="N194" i="5" s="1"/>
  <c r="R194" i="5" s="1"/>
  <c r="L35" i="5"/>
  <c r="L39" i="5" s="1"/>
  <c r="P39" i="5" s="1"/>
  <c r="L75" i="5"/>
  <c r="L79" i="5" s="1"/>
  <c r="P79" i="5" s="1"/>
  <c r="M83" i="5"/>
  <c r="M86" i="5" s="1"/>
  <c r="Q86" i="5" s="1"/>
  <c r="L115" i="5"/>
  <c r="L118" i="5" s="1"/>
  <c r="P118" i="5" s="1"/>
  <c r="L148" i="5"/>
  <c r="L152" i="5" s="1"/>
  <c r="P152" i="5" s="1"/>
  <c r="K6" i="10"/>
  <c r="K12" i="10"/>
  <c r="K22" i="10"/>
  <c r="K32" i="10"/>
  <c r="K19" i="10"/>
  <c r="K33" i="10"/>
  <c r="K23" i="10"/>
  <c r="K4" i="10"/>
  <c r="K8" i="10"/>
  <c r="K14" i="10"/>
  <c r="K24" i="10"/>
  <c r="K28" i="10"/>
  <c r="L226" i="5"/>
  <c r="P226" i="5" s="1"/>
  <c r="N202" i="5"/>
  <c r="N201" i="5"/>
  <c r="R201" i="5" s="1"/>
  <c r="M194" i="5"/>
  <c r="Q194" i="5" s="1"/>
  <c r="M11" i="5"/>
  <c r="M15" i="5" s="1"/>
  <c r="Q15" i="5" s="1"/>
  <c r="M19" i="5"/>
  <c r="M23" i="5" s="1"/>
  <c r="Q23" i="5" s="1"/>
  <c r="M27" i="5"/>
  <c r="M31" i="5" s="1"/>
  <c r="Q31" i="5" s="1"/>
  <c r="M35" i="5"/>
  <c r="M39" i="5" s="1"/>
  <c r="Q39" i="5" s="1"/>
  <c r="M51" i="5"/>
  <c r="M55" i="5" s="1"/>
  <c r="Q55" i="5" s="1"/>
  <c r="M59" i="5"/>
  <c r="M63" i="5" s="1"/>
  <c r="Q63" i="5" s="1"/>
  <c r="M67" i="5"/>
  <c r="M71" i="5" s="1"/>
  <c r="Q71" i="5" s="1"/>
  <c r="M75" i="5"/>
  <c r="M79" i="5" s="1"/>
  <c r="Q79" i="5" s="1"/>
  <c r="N83" i="5"/>
  <c r="N91" i="5"/>
  <c r="N95" i="5" s="1"/>
  <c r="R95" i="5" s="1"/>
  <c r="M99" i="5"/>
  <c r="M103" i="5" s="1"/>
  <c r="Q103" i="5" s="1"/>
  <c r="M107" i="5"/>
  <c r="M115" i="5"/>
  <c r="M119" i="5" s="1"/>
  <c r="Q119" i="5" s="1"/>
  <c r="M123" i="5"/>
  <c r="M127" i="5" s="1"/>
  <c r="Q127" i="5" s="1"/>
  <c r="M132" i="5"/>
  <c r="M136" i="5" s="1"/>
  <c r="Q136" i="5" s="1"/>
  <c r="M140" i="5"/>
  <c r="M144" i="5" s="1"/>
  <c r="Q144" i="5" s="1"/>
  <c r="M148" i="5"/>
  <c r="M152" i="5" s="1"/>
  <c r="Q152" i="5" s="1"/>
  <c r="M157" i="5"/>
  <c r="M161" i="5" s="1"/>
  <c r="Q161" i="5" s="1"/>
  <c r="M165" i="5"/>
  <c r="M169" i="5" s="1"/>
  <c r="Q169" i="5" s="1"/>
  <c r="M182" i="5"/>
  <c r="M186" i="5" s="1"/>
  <c r="Q186" i="5" s="1"/>
  <c r="L198" i="5"/>
  <c r="K190" i="5"/>
  <c r="K193" i="5" s="1"/>
  <c r="O193" i="5" s="1"/>
  <c r="N193" i="5"/>
  <c r="R193" i="5" s="1"/>
  <c r="M193" i="5"/>
  <c r="Q193" i="5" s="1"/>
  <c r="N11" i="5"/>
  <c r="N15" i="5" s="1"/>
  <c r="R15" i="5" s="1"/>
  <c r="N19" i="5"/>
  <c r="N23" i="5" s="1"/>
  <c r="R23" i="5" s="1"/>
  <c r="N27" i="5"/>
  <c r="N31" i="5" s="1"/>
  <c r="R31" i="5" s="1"/>
  <c r="N35" i="5"/>
  <c r="N51" i="5"/>
  <c r="N55" i="5" s="1"/>
  <c r="R55" i="5" s="1"/>
  <c r="N59" i="5"/>
  <c r="N62" i="5" s="1"/>
  <c r="R62" i="5" s="1"/>
  <c r="N67" i="5"/>
  <c r="N75" i="5"/>
  <c r="N79" i="5" s="1"/>
  <c r="R79" i="5" s="1"/>
  <c r="K83" i="5"/>
  <c r="K86" i="5" s="1"/>
  <c r="O86" i="5" s="1"/>
  <c r="K91" i="5"/>
  <c r="K95" i="5" s="1"/>
  <c r="O95" i="5" s="1"/>
  <c r="N99" i="5"/>
  <c r="N103" i="5" s="1"/>
  <c r="R103" i="5" s="1"/>
  <c r="N107" i="5"/>
  <c r="N111" i="5" s="1"/>
  <c r="R111" i="5" s="1"/>
  <c r="N115" i="5"/>
  <c r="N123" i="5"/>
  <c r="N127" i="5" s="1"/>
  <c r="R127" i="5" s="1"/>
  <c r="N132" i="5"/>
  <c r="N136" i="5" s="1"/>
  <c r="R136" i="5" s="1"/>
  <c r="N140" i="5"/>
  <c r="N143" i="5" s="1"/>
  <c r="R143" i="5" s="1"/>
  <c r="N148" i="5"/>
  <c r="N152" i="5" s="1"/>
  <c r="R152" i="5" s="1"/>
  <c r="N157" i="5"/>
  <c r="N161" i="5" s="1"/>
  <c r="R161" i="5" s="1"/>
  <c r="N165" i="5"/>
  <c r="N182" i="5"/>
  <c r="N186" i="5" s="1"/>
  <c r="R186" i="5" s="1"/>
  <c r="L190" i="5"/>
  <c r="L194" i="5" s="1"/>
  <c r="P194" i="5" s="1"/>
  <c r="M198" i="5"/>
  <c r="L11" i="5"/>
  <c r="K14" i="5"/>
  <c r="O14" i="5" s="1"/>
  <c r="K22" i="5"/>
  <c r="O22" i="5" s="1"/>
  <c r="K31" i="5"/>
  <c r="O31" i="5" s="1"/>
  <c r="K39" i="5"/>
  <c r="K62" i="5"/>
  <c r="O62" i="5" s="1"/>
  <c r="K70" i="5"/>
  <c r="O70" i="5" s="1"/>
  <c r="L87" i="5"/>
  <c r="P87" i="5" s="1"/>
  <c r="L95" i="5"/>
  <c r="P95" i="5" s="1"/>
  <c r="K102" i="5"/>
  <c r="O102" i="5" s="1"/>
  <c r="K110" i="5"/>
  <c r="O110" i="5" s="1"/>
  <c r="K118" i="5"/>
  <c r="O118" i="5" s="1"/>
  <c r="K135" i="5"/>
  <c r="K143" i="5"/>
  <c r="O143" i="5" s="1"/>
  <c r="K160" i="5"/>
  <c r="K168" i="5"/>
  <c r="O168" i="5" s="1"/>
  <c r="K185" i="5"/>
  <c r="O185" i="5" s="1"/>
  <c r="L211" i="5"/>
  <c r="P211" i="5" s="1"/>
  <c r="M210" i="5"/>
  <c r="Q210" i="5" s="1"/>
  <c r="K219" i="5"/>
  <c r="O219" i="5" s="1"/>
  <c r="L219" i="5"/>
  <c r="P219" i="5" s="1"/>
  <c r="M226" i="5"/>
  <c r="Q226" i="5" s="1"/>
  <c r="N210" i="5"/>
  <c r="R210" i="5" s="1"/>
  <c r="N227" i="5"/>
  <c r="R227" i="5" s="1"/>
  <c r="N226" i="5"/>
  <c r="R226" i="5" s="1"/>
  <c r="N218" i="5"/>
  <c r="R218" i="5" s="1"/>
  <c r="N219" i="5"/>
  <c r="R219" i="5" s="1"/>
  <c r="K9" i="10"/>
  <c r="K15" i="10"/>
  <c r="K25" i="10"/>
  <c r="K29" i="10"/>
  <c r="K16" i="10"/>
  <c r="K26" i="10"/>
  <c r="K30" i="10"/>
  <c r="K7" i="10"/>
  <c r="K11" i="10"/>
  <c r="K13" i="10"/>
  <c r="K21" i="10"/>
  <c r="K35" i="10"/>
  <c r="K194" i="5"/>
  <c r="O194" i="5" s="1"/>
  <c r="L27" i="10"/>
  <c r="I35" i="11" s="1"/>
  <c r="J35" i="11" s="1"/>
  <c r="L21" i="10"/>
  <c r="I28" i="11" s="1"/>
  <c r="J28" i="11" s="1"/>
  <c r="L19" i="10"/>
  <c r="I25" i="11" s="1"/>
  <c r="J25" i="11" s="1"/>
  <c r="L13" i="10"/>
  <c r="I18" i="11" s="1"/>
  <c r="J18" i="11" s="1"/>
  <c r="L11" i="10"/>
  <c r="I15" i="11" s="1"/>
  <c r="J15" i="11" s="1"/>
  <c r="L5" i="10"/>
  <c r="I8" i="11" s="1"/>
  <c r="J8" i="11" s="1"/>
  <c r="L25" i="10"/>
  <c r="I33" i="11" s="1"/>
  <c r="J33" i="11" s="1"/>
  <c r="L23" i="10"/>
  <c r="I30" i="11" s="1"/>
  <c r="J30" i="11" s="1"/>
  <c r="L17" i="10"/>
  <c r="I23" i="11" s="1"/>
  <c r="J23" i="11" s="1"/>
  <c r="L15" i="10"/>
  <c r="I20" i="11" s="1"/>
  <c r="J20" i="11" s="1"/>
  <c r="L9" i="10"/>
  <c r="I13" i="11" s="1"/>
  <c r="J13" i="11" s="1"/>
  <c r="L7" i="10"/>
  <c r="I10" i="11" s="1"/>
  <c r="J10" i="11" s="1"/>
  <c r="L26" i="10"/>
  <c r="I34" i="11" s="1"/>
  <c r="J34" i="11" s="1"/>
  <c r="L22" i="10"/>
  <c r="I29" i="11" s="1"/>
  <c r="J29" i="11" s="1"/>
  <c r="L18" i="10"/>
  <c r="I24" i="11" s="1"/>
  <c r="J24" i="11" s="1"/>
  <c r="L14" i="10"/>
  <c r="I19" i="11" s="1"/>
  <c r="J19" i="11" s="1"/>
  <c r="L10" i="10"/>
  <c r="I14" i="11" s="1"/>
  <c r="J14" i="11" s="1"/>
  <c r="L6" i="10"/>
  <c r="I9" i="11" s="1"/>
  <c r="J9" i="11" s="1"/>
  <c r="L24" i="10"/>
  <c r="I32" i="11" s="1"/>
  <c r="J32" i="11" s="1"/>
  <c r="L20" i="10"/>
  <c r="I27" i="11" s="1"/>
  <c r="J27" i="11" s="1"/>
  <c r="L16" i="10"/>
  <c r="I22" i="11" s="1"/>
  <c r="J22" i="11" s="1"/>
  <c r="L12" i="10"/>
  <c r="I17" i="11" s="1"/>
  <c r="J17" i="11" s="1"/>
  <c r="L8" i="10"/>
  <c r="I12" i="11" s="1"/>
  <c r="J12" i="11" s="1"/>
  <c r="BH6" i="6"/>
  <c r="BH8" i="6"/>
  <c r="BI6" i="6"/>
  <c r="BI7" i="6"/>
  <c r="BI8" i="6"/>
  <c r="BI9" i="6"/>
  <c r="BJ6" i="6"/>
  <c r="BJ7" i="6"/>
  <c r="BJ8" i="6"/>
  <c r="BJ9" i="6"/>
  <c r="BK6" i="6"/>
  <c r="BK7" i="6"/>
  <c r="BK8" i="6"/>
  <c r="BK9" i="6"/>
  <c r="BH7" i="6"/>
  <c r="BH9" i="6"/>
  <c r="BG6" i="6"/>
  <c r="BG7" i="6"/>
  <c r="BG8" i="6"/>
  <c r="BG9" i="6"/>
  <c r="BD6" i="6"/>
  <c r="BD7" i="6"/>
  <c r="BD8" i="6"/>
  <c r="BD9" i="6"/>
  <c r="BE6" i="6"/>
  <c r="BE7" i="6"/>
  <c r="BE8" i="6"/>
  <c r="BE9" i="6"/>
  <c r="BF6" i="6"/>
  <c r="BF7" i="6"/>
  <c r="BF8" i="6"/>
  <c r="BF9" i="6"/>
  <c r="K186" i="5"/>
  <c r="O186" i="5" s="1"/>
  <c r="K169" i="5"/>
  <c r="O169" i="5" s="1"/>
  <c r="K161" i="5"/>
  <c r="O161" i="5" s="1"/>
  <c r="K152" i="5"/>
  <c r="O152" i="5" s="1"/>
  <c r="K144" i="5"/>
  <c r="O144" i="5" s="1"/>
  <c r="K136" i="5"/>
  <c r="O136" i="5" s="1"/>
  <c r="N135" i="5"/>
  <c r="R135" i="5" s="1"/>
  <c r="K127" i="5"/>
  <c r="O127" i="5" s="1"/>
  <c r="K119" i="5"/>
  <c r="O119" i="5" s="1"/>
  <c r="K111" i="5"/>
  <c r="O111" i="5" s="1"/>
  <c r="K103" i="5"/>
  <c r="O103" i="5" s="1"/>
  <c r="N102" i="5"/>
  <c r="R102" i="5" s="1"/>
  <c r="L94" i="5"/>
  <c r="P94" i="5" s="1"/>
  <c r="L86" i="5"/>
  <c r="P86" i="5" s="1"/>
  <c r="K79" i="5"/>
  <c r="O79" i="5" s="1"/>
  <c r="K71" i="5"/>
  <c r="O71" i="5" s="1"/>
  <c r="L70" i="5"/>
  <c r="P70" i="5" s="1"/>
  <c r="K63" i="5"/>
  <c r="O63" i="5" s="1"/>
  <c r="K54" i="5"/>
  <c r="O54" i="5" s="1"/>
  <c r="K38" i="5"/>
  <c r="O38" i="5" s="1"/>
  <c r="K30" i="5"/>
  <c r="O30" i="5" s="1"/>
  <c r="N30" i="5"/>
  <c r="R30" i="5" s="1"/>
  <c r="K23" i="5"/>
  <c r="O23" i="5" s="1"/>
  <c r="K15" i="5"/>
  <c r="O15" i="5" s="1"/>
  <c r="R202" i="5"/>
  <c r="O39" i="5"/>
  <c r="M43" i="5"/>
  <c r="M47" i="5" s="1"/>
  <c r="Q47" i="5" s="1"/>
  <c r="N43" i="5"/>
  <c r="N47" i="5" s="1"/>
  <c r="R47" i="5" s="1"/>
  <c r="L43" i="5"/>
  <c r="L47" i="5" s="1"/>
  <c r="P47" i="5" s="1"/>
  <c r="O160" i="5"/>
  <c r="O151" i="5"/>
  <c r="O135" i="5"/>
  <c r="O126" i="5"/>
  <c r="K46" i="5"/>
  <c r="O46" i="5" s="1"/>
  <c r="F177" i="5"/>
  <c r="F173" i="5"/>
  <c r="L59" i="10" l="1"/>
  <c r="I75" i="11" s="1"/>
  <c r="J75" i="11" s="1"/>
  <c r="L56" i="10"/>
  <c r="I72" i="11" s="1"/>
  <c r="J72" i="11" s="1"/>
  <c r="L58" i="10"/>
  <c r="I74" i="11" s="1"/>
  <c r="J74" i="11" s="1"/>
  <c r="L57" i="10"/>
  <c r="I73" i="11" s="1"/>
  <c r="J73" i="11" s="1"/>
  <c r="P35" i="10"/>
  <c r="O35" i="10"/>
  <c r="N35" i="10"/>
  <c r="M35" i="10"/>
  <c r="M32" i="10"/>
  <c r="N32" i="10"/>
  <c r="O32" i="10"/>
  <c r="P32" i="10"/>
  <c r="N34" i="10"/>
  <c r="M34" i="10"/>
  <c r="O34" i="10"/>
  <c r="P34" i="10"/>
  <c r="N33" i="10"/>
  <c r="M33" i="10"/>
  <c r="O33" i="10"/>
  <c r="P33" i="10"/>
  <c r="N94" i="5"/>
  <c r="R94" i="5" s="1"/>
  <c r="M22" i="5"/>
  <c r="Q22" i="5" s="1"/>
  <c r="N37" i="10"/>
  <c r="P37" i="10"/>
  <c r="O37" i="10"/>
  <c r="M37" i="10"/>
  <c r="N36" i="10"/>
  <c r="M36" i="10"/>
  <c r="P36" i="10"/>
  <c r="O36" i="10"/>
  <c r="N38" i="10"/>
  <c r="O38" i="10"/>
  <c r="M38" i="10"/>
  <c r="P38" i="10"/>
  <c r="O39" i="10"/>
  <c r="P39" i="10"/>
  <c r="N39" i="10"/>
  <c r="M39" i="10"/>
  <c r="N42" i="10"/>
  <c r="M42" i="10"/>
  <c r="P42" i="10"/>
  <c r="O42" i="10"/>
  <c r="O44" i="10"/>
  <c r="N44" i="10"/>
  <c r="M44" i="10"/>
  <c r="P44" i="10"/>
  <c r="P43" i="10"/>
  <c r="O43" i="10"/>
  <c r="N43" i="10"/>
  <c r="M43" i="10"/>
  <c r="P47" i="10"/>
  <c r="O47" i="10"/>
  <c r="N47" i="10"/>
  <c r="M47" i="10"/>
  <c r="P41" i="10"/>
  <c r="O41" i="10"/>
  <c r="N41" i="10"/>
  <c r="M41" i="10"/>
  <c r="P45" i="10"/>
  <c r="O45" i="10"/>
  <c r="N45" i="10"/>
  <c r="M45" i="10"/>
  <c r="N40" i="10"/>
  <c r="M40" i="10"/>
  <c r="O40" i="10"/>
  <c r="P40" i="10"/>
  <c r="O46" i="10"/>
  <c r="N46" i="10"/>
  <c r="M46" i="10"/>
  <c r="P46" i="10"/>
  <c r="N54" i="10"/>
  <c r="P54" i="10"/>
  <c r="M54" i="10"/>
  <c r="O54" i="10"/>
  <c r="N51" i="10"/>
  <c r="M51" i="10"/>
  <c r="N55" i="10"/>
  <c r="M55" i="10"/>
  <c r="O55" i="10"/>
  <c r="P55" i="10"/>
  <c r="O50" i="10"/>
  <c r="N50" i="10"/>
  <c r="N53" i="10"/>
  <c r="M53" i="10"/>
  <c r="O53" i="10"/>
  <c r="P53" i="10"/>
  <c r="N185" i="5"/>
  <c r="R185" i="5" s="1"/>
  <c r="M38" i="5"/>
  <c r="Q38" i="5" s="1"/>
  <c r="N110" i="5"/>
  <c r="R110" i="5" s="1"/>
  <c r="M118" i="5"/>
  <c r="Q118" i="5" s="1"/>
  <c r="P50" i="10"/>
  <c r="M50" i="10"/>
  <c r="M143" i="5"/>
  <c r="Q143" i="5" s="1"/>
  <c r="N48" i="10"/>
  <c r="O48" i="10"/>
  <c r="P48" i="10"/>
  <c r="L143" i="5"/>
  <c r="P143" i="5" s="1"/>
  <c r="L63" i="5"/>
  <c r="P63" i="5" s="1"/>
  <c r="N49" i="10"/>
  <c r="O49" i="10"/>
  <c r="M49" i="10"/>
  <c r="P49" i="10"/>
  <c r="N46" i="5"/>
  <c r="R46" i="5" s="1"/>
  <c r="L151" i="5"/>
  <c r="P151" i="5" s="1"/>
  <c r="O51" i="10"/>
  <c r="N78" i="5"/>
  <c r="R78" i="5" s="1"/>
  <c r="L102" i="5"/>
  <c r="P102" i="5" s="1"/>
  <c r="M95" i="5"/>
  <c r="Q95" i="5" s="1"/>
  <c r="M46" i="5"/>
  <c r="Q46" i="5" s="1"/>
  <c r="N14" i="5"/>
  <c r="R14" i="5" s="1"/>
  <c r="N54" i="5"/>
  <c r="R54" i="5" s="1"/>
  <c r="M70" i="5"/>
  <c r="Q70" i="5" s="1"/>
  <c r="L78" i="5"/>
  <c r="P78" i="5" s="1"/>
  <c r="M135" i="5"/>
  <c r="Q135" i="5" s="1"/>
  <c r="M160" i="5"/>
  <c r="Q160" i="5" s="1"/>
  <c r="K201" i="5"/>
  <c r="O201" i="5" s="1"/>
  <c r="L161" i="5"/>
  <c r="P161" i="5" s="1"/>
  <c r="L126" i="5"/>
  <c r="P126" i="5" s="1"/>
  <c r="N151" i="5"/>
  <c r="R151" i="5" s="1"/>
  <c r="N22" i="5"/>
  <c r="R22" i="5" s="1"/>
  <c r="M62" i="5"/>
  <c r="Q62" i="5" s="1"/>
  <c r="M151" i="5"/>
  <c r="Q151" i="5" s="1"/>
  <c r="M54" i="5"/>
  <c r="Q54" i="5" s="1"/>
  <c r="M126" i="5"/>
  <c r="Q126" i="5" s="1"/>
  <c r="M185" i="5"/>
  <c r="Q185" i="5" s="1"/>
  <c r="L119" i="5"/>
  <c r="P119" i="5" s="1"/>
  <c r="M87" i="5"/>
  <c r="Q87" i="5" s="1"/>
  <c r="L38" i="5"/>
  <c r="P38" i="5" s="1"/>
  <c r="L54" i="5"/>
  <c r="P54" i="5" s="1"/>
  <c r="K87" i="5"/>
  <c r="O87" i="5" s="1"/>
  <c r="L135" i="5"/>
  <c r="P135" i="5" s="1"/>
  <c r="M168" i="5"/>
  <c r="Q168" i="5" s="1"/>
  <c r="N38" i="5"/>
  <c r="R38" i="5" s="1"/>
  <c r="N39" i="5"/>
  <c r="R39" i="5" s="1"/>
  <c r="N86" i="5"/>
  <c r="R86" i="5" s="1"/>
  <c r="N87" i="5"/>
  <c r="R87" i="5" s="1"/>
  <c r="L15" i="5"/>
  <c r="P15" i="5" s="1"/>
  <c r="L14" i="5"/>
  <c r="P14" i="5" s="1"/>
  <c r="N168" i="5"/>
  <c r="R168" i="5" s="1"/>
  <c r="N169" i="5"/>
  <c r="R169" i="5" s="1"/>
  <c r="N71" i="5"/>
  <c r="R71" i="5" s="1"/>
  <c r="N70" i="5"/>
  <c r="R70" i="5" s="1"/>
  <c r="M111" i="5"/>
  <c r="Q111" i="5" s="1"/>
  <c r="M110" i="5"/>
  <c r="Q110" i="5" s="1"/>
  <c r="L186" i="5"/>
  <c r="P186" i="5" s="1"/>
  <c r="L185" i="5"/>
  <c r="P185" i="5" s="1"/>
  <c r="L169" i="5"/>
  <c r="P169" i="5" s="1"/>
  <c r="L168" i="5"/>
  <c r="P168" i="5" s="1"/>
  <c r="N119" i="5"/>
  <c r="R119" i="5" s="1"/>
  <c r="N118" i="5"/>
  <c r="R118" i="5" s="1"/>
  <c r="L110" i="5"/>
  <c r="P110" i="5" s="1"/>
  <c r="L111" i="5"/>
  <c r="P111" i="5" s="1"/>
  <c r="L22" i="5"/>
  <c r="P22" i="5" s="1"/>
  <c r="L30" i="5"/>
  <c r="P30" i="5" s="1"/>
  <c r="M102" i="5"/>
  <c r="Q102" i="5" s="1"/>
  <c r="N63" i="5"/>
  <c r="R63" i="5" s="1"/>
  <c r="N160" i="5"/>
  <c r="R160" i="5" s="1"/>
  <c r="L193" i="5"/>
  <c r="P193" i="5" s="1"/>
  <c r="K173" i="5"/>
  <c r="N173" i="5"/>
  <c r="M173" i="5"/>
  <c r="L173" i="5"/>
  <c r="M14" i="5"/>
  <c r="Q14" i="5" s="1"/>
  <c r="M30" i="5"/>
  <c r="Q30" i="5" s="1"/>
  <c r="M78" i="5"/>
  <c r="Q78" i="5" s="1"/>
  <c r="N144" i="5"/>
  <c r="R144" i="5" s="1"/>
  <c r="K94" i="5"/>
  <c r="O94" i="5" s="1"/>
  <c r="L202" i="5"/>
  <c r="P202" i="5" s="1"/>
  <c r="L201" i="5"/>
  <c r="P201" i="5" s="1"/>
  <c r="L46" i="5"/>
  <c r="P46" i="5" s="1"/>
  <c r="N126" i="5"/>
  <c r="R126" i="5" s="1"/>
  <c r="M202" i="5"/>
  <c r="Q202" i="5" s="1"/>
  <c r="M201" i="5"/>
  <c r="Q201" i="5" s="1"/>
  <c r="L28" i="10"/>
  <c r="I37" i="11" s="1"/>
  <c r="J37" i="11" s="1"/>
  <c r="L29" i="10"/>
  <c r="I38" i="11" s="1"/>
  <c r="J38" i="11" s="1"/>
  <c r="L30" i="10"/>
  <c r="I39" i="11" s="1"/>
  <c r="J39" i="11" s="1"/>
  <c r="L31" i="10"/>
  <c r="I40" i="11" s="1"/>
  <c r="J40" i="11" s="1"/>
  <c r="L33" i="10" l="1"/>
  <c r="I43" i="11" s="1"/>
  <c r="J43" i="11" s="1"/>
  <c r="L35" i="10"/>
  <c r="I45" i="11" s="1"/>
  <c r="J45" i="11" s="1"/>
  <c r="L34" i="10"/>
  <c r="I44" i="11" s="1"/>
  <c r="J44" i="11" s="1"/>
  <c r="L32" i="10"/>
  <c r="I42" i="11" s="1"/>
  <c r="J42" i="11" s="1"/>
  <c r="L48" i="10"/>
  <c r="I62" i="11" s="1"/>
  <c r="J62" i="11" s="1"/>
  <c r="L52" i="10"/>
  <c r="L36" i="10"/>
  <c r="L53" i="10"/>
  <c r="I68" i="11" s="1"/>
  <c r="J68" i="11" s="1"/>
  <c r="L43" i="10"/>
  <c r="I55" i="11" s="1"/>
  <c r="J55" i="11" s="1"/>
  <c r="L54" i="10"/>
  <c r="I69" i="11" s="1"/>
  <c r="J69" i="11" s="1"/>
  <c r="L42" i="10"/>
  <c r="I54" i="11" s="1"/>
  <c r="J54" i="11" s="1"/>
  <c r="L44" i="10"/>
  <c r="I57" i="11" s="1"/>
  <c r="J57" i="11" s="1"/>
  <c r="L39" i="10"/>
  <c r="I50" i="11" s="1"/>
  <c r="J50" i="11" s="1"/>
  <c r="L45" i="10"/>
  <c r="I58" i="11" s="1"/>
  <c r="J58" i="11" s="1"/>
  <c r="L46" i="10"/>
  <c r="I59" i="11" s="1"/>
  <c r="J59" i="11" s="1"/>
  <c r="L37" i="10"/>
  <c r="I48" i="11" s="1"/>
  <c r="J48" i="11" s="1"/>
  <c r="L51" i="10"/>
  <c r="I65" i="11" s="1"/>
  <c r="J65" i="11" s="1"/>
  <c r="L50" i="10"/>
  <c r="I64" i="11" s="1"/>
  <c r="J64" i="11" s="1"/>
  <c r="L40" i="10"/>
  <c r="I52" i="11" s="1"/>
  <c r="J52" i="11" s="1"/>
  <c r="L49" i="10"/>
  <c r="I63" i="11" s="1"/>
  <c r="J63" i="11" s="1"/>
  <c r="L41" i="10"/>
  <c r="L55" i="10"/>
  <c r="I70" i="11" s="1"/>
  <c r="J70" i="11" s="1"/>
  <c r="L47" i="10"/>
  <c r="I60" i="11" s="1"/>
  <c r="J60" i="11" s="1"/>
  <c r="L38" i="10"/>
  <c r="I49" i="11" s="1"/>
  <c r="J49" i="11" s="1"/>
  <c r="I53" i="11"/>
  <c r="J53" i="11" s="1"/>
  <c r="I47" i="11"/>
  <c r="J47" i="11" s="1"/>
  <c r="N177" i="5"/>
  <c r="R177" i="5" s="1"/>
  <c r="N176" i="5"/>
  <c r="R176" i="5" s="1"/>
  <c r="M177" i="5"/>
  <c r="Q177" i="5" s="1"/>
  <c r="M176" i="5"/>
  <c r="Q176" i="5" s="1"/>
  <c r="K176" i="5"/>
  <c r="O176" i="5" s="1"/>
  <c r="K177" i="5"/>
  <c r="O177" i="5" s="1"/>
  <c r="L177" i="5"/>
  <c r="P177" i="5" s="1"/>
  <c r="L176" i="5"/>
  <c r="P176" i="5" s="1"/>
  <c r="I67" i="11" l="1"/>
  <c r="J6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DFO-MPO</author>
    <author>tc={D17EDF3D-B49E-4AFD-88BC-EC3D4C3C1EAA}</author>
    <author>Martin, Sara</author>
    <author>Turcotte, Luc</author>
    <author>tc={BBB57278-2317-4464-A6D0-CDBCD56F969A}</author>
    <author>tc={DA5C99D8-4EFB-4630-9F79-B855624BAEEB}</author>
    <author>tc={FC720594-1003-40EE-9A64-A08749BC30BA}</author>
    <author>tc={686B3023-FAB4-4CB7-AFCA-F4DA89F5441A}</author>
    <author>tc={1DD15BC9-3B71-43E6-BA00-11F1A69395B7}</author>
    <author>tc={BBA9B6DA-23D7-464A-8FBF-CEC5B16AA01F}</author>
    <author>tc={8D8087D5-A3AD-425E-B9A5-E62EE7C61CA8}</author>
  </authors>
  <commentList>
    <comment ref="F156" authorId="0" shapeId="0" xr:uid="{00000000-0006-0000-0000-000001000000}">
      <text>
        <r>
          <rPr>
            <b/>
            <sz val="9"/>
            <color indexed="81"/>
            <rFont val="Tahoma"/>
            <family val="2"/>
          </rPr>
          <t>DFO-MPO:</t>
        </r>
        <r>
          <rPr>
            <sz val="9"/>
            <color indexed="81"/>
            <rFont val="Tahoma"/>
            <family val="2"/>
          </rPr>
          <t xml:space="preserve">
sex corrected</t>
        </r>
      </text>
    </comment>
    <comment ref="F164" authorId="0" shapeId="0" xr:uid="{00000000-0006-0000-0000-000002000000}">
      <text>
        <r>
          <rPr>
            <b/>
            <sz val="9"/>
            <color indexed="81"/>
            <rFont val="Tahoma"/>
            <family val="2"/>
          </rPr>
          <t>DFO-MPO:</t>
        </r>
        <r>
          <rPr>
            <sz val="9"/>
            <color indexed="81"/>
            <rFont val="Tahoma"/>
            <family val="2"/>
          </rPr>
          <t xml:space="preserve">
sex corrected</t>
        </r>
      </text>
    </comment>
    <comment ref="G180" authorId="1" shapeId="0" xr:uid="{D17EDF3D-B49E-4AFD-88BC-EC3D4C3C1EAA}">
      <text>
        <t>[Threaded comment]
Your version of Excel allows you to read this threaded comment; however, any edits to it will get removed if the file is opened in a newer version of Excel. Learn more: https://go.microsoft.com/fwlink/?linkid=870924
Comment:
    Arbeider 2023-01-26: CWT Spreadsheet had a recovery AND only Age 3 are possible for clipped fish. Not sure why this cell was left empty prior.</t>
      </text>
    </comment>
    <comment ref="F181" authorId="0" shapeId="0" xr:uid="{00000000-0006-0000-0000-000003000000}">
      <text>
        <r>
          <rPr>
            <b/>
            <sz val="9"/>
            <color indexed="81"/>
            <rFont val="Tahoma"/>
            <family val="2"/>
          </rPr>
          <t>DFO-MPO:</t>
        </r>
        <r>
          <rPr>
            <sz val="9"/>
            <color indexed="81"/>
            <rFont val="Tahoma"/>
            <family val="2"/>
          </rPr>
          <t xml:space="preserve">
sex corrected</t>
        </r>
      </text>
    </comment>
    <comment ref="G183" authorId="0" shapeId="0" xr:uid="{00000000-0006-0000-0000-000004000000}">
      <text>
        <r>
          <rPr>
            <b/>
            <sz val="9"/>
            <color indexed="81"/>
            <rFont val="Tahoma"/>
            <family val="2"/>
          </rPr>
          <t>DFO-MPO:</t>
        </r>
        <r>
          <rPr>
            <sz val="9"/>
            <color indexed="81"/>
            <rFont val="Tahoma"/>
            <family val="2"/>
          </rPr>
          <t xml:space="preserve">
sacrificed by STAD staff during application</t>
        </r>
      </text>
    </comment>
    <comment ref="F189" authorId="0" shapeId="0" xr:uid="{00000000-0006-0000-0000-000005000000}">
      <text>
        <r>
          <rPr>
            <b/>
            <sz val="9"/>
            <color indexed="81"/>
            <rFont val="Tahoma"/>
            <family val="2"/>
          </rPr>
          <t>DFO-MPO:</t>
        </r>
        <r>
          <rPr>
            <sz val="9"/>
            <color indexed="81"/>
            <rFont val="Tahoma"/>
            <family val="2"/>
          </rPr>
          <t xml:space="preserve">
sex corrected</t>
        </r>
      </text>
    </comment>
    <comment ref="F206" authorId="0" shapeId="0" xr:uid="{00000000-0006-0000-0000-000006000000}">
      <text>
        <r>
          <rPr>
            <b/>
            <sz val="9"/>
            <color indexed="81"/>
            <rFont val="Tahoma"/>
            <family val="2"/>
          </rPr>
          <t>DFO-MPO:</t>
        </r>
        <r>
          <rPr>
            <sz val="9"/>
            <color indexed="81"/>
            <rFont val="Tahoma"/>
            <family val="2"/>
          </rPr>
          <t xml:space="preserve">
sex corrected</t>
        </r>
      </text>
    </comment>
    <comment ref="H208" authorId="0" shapeId="0" xr:uid="{00000000-0006-0000-0000-000007000000}">
      <text>
        <r>
          <rPr>
            <b/>
            <sz val="9"/>
            <color indexed="81"/>
            <rFont val="Tahoma"/>
            <family val="2"/>
          </rPr>
          <t>DFO-MPO:</t>
        </r>
        <r>
          <rPr>
            <sz val="9"/>
            <color indexed="81"/>
            <rFont val="Tahoma"/>
            <family val="2"/>
          </rPr>
          <t xml:space="preserve">
sacrificed by STAD during tag application</t>
        </r>
      </text>
    </comment>
    <comment ref="F214" authorId="0" shapeId="0" xr:uid="{00000000-0006-0000-0000-000008000000}">
      <text>
        <r>
          <rPr>
            <b/>
            <sz val="9"/>
            <color indexed="81"/>
            <rFont val="Tahoma"/>
            <family val="2"/>
          </rPr>
          <t>DFO-MPO:</t>
        </r>
        <r>
          <rPr>
            <sz val="9"/>
            <color indexed="81"/>
            <rFont val="Tahoma"/>
            <family val="2"/>
          </rPr>
          <t xml:space="preserve">
sex corrected</t>
        </r>
      </text>
    </comment>
    <comment ref="H216" authorId="0" shapeId="0" xr:uid="{00000000-0006-0000-0000-000009000000}">
      <text>
        <r>
          <rPr>
            <b/>
            <sz val="9"/>
            <color indexed="81"/>
            <rFont val="Tahoma"/>
            <family val="2"/>
          </rPr>
          <t>DFO-MPO:</t>
        </r>
        <r>
          <rPr>
            <sz val="9"/>
            <color indexed="81"/>
            <rFont val="Tahoma"/>
            <family val="2"/>
          </rPr>
          <t xml:space="preserve">
sacrificed by STAD during tag application</t>
        </r>
      </text>
    </comment>
    <comment ref="F231" authorId="0" shapeId="0" xr:uid="{00000000-0006-0000-0000-00000A000000}">
      <text>
        <r>
          <rPr>
            <b/>
            <sz val="9"/>
            <color indexed="81"/>
            <rFont val="Tahoma"/>
            <family val="2"/>
          </rPr>
          <t>DFO-MPO:</t>
        </r>
        <r>
          <rPr>
            <sz val="9"/>
            <color indexed="81"/>
            <rFont val="Tahoma"/>
            <family val="2"/>
          </rPr>
          <t xml:space="preserve">
No mark-recapture conducted</t>
        </r>
      </text>
    </comment>
    <comment ref="G232" authorId="0" shapeId="0" xr:uid="{00000000-0006-0000-0000-00000B000000}">
      <text>
        <r>
          <rPr>
            <b/>
            <sz val="9"/>
            <color indexed="81"/>
            <rFont val="Tahoma"/>
            <family val="2"/>
          </rPr>
          <t>DFO-MPO:</t>
        </r>
        <r>
          <rPr>
            <sz val="9"/>
            <color indexed="81"/>
            <rFont val="Tahoma"/>
            <family val="2"/>
          </rPr>
          <t xml:space="preserve">
One age 32 jack.  Not included as no estimate for jacks</t>
        </r>
      </text>
    </comment>
    <comment ref="I232" authorId="0" shapeId="0" xr:uid="{00000000-0006-0000-0000-00000C000000}">
      <text>
        <r>
          <rPr>
            <b/>
            <sz val="9"/>
            <color indexed="81"/>
            <rFont val="Tahoma"/>
            <family val="2"/>
          </rPr>
          <t>DFO-MPO:</t>
        </r>
        <r>
          <rPr>
            <sz val="9"/>
            <color indexed="81"/>
            <rFont val="Tahoma"/>
            <family val="2"/>
          </rPr>
          <t xml:space="preserve">
Four age 41 not included, re-read pending</t>
        </r>
      </text>
    </comment>
    <comment ref="F240" authorId="2" shapeId="0" xr:uid="{00000000-0006-0000-0000-00000D000000}">
      <text>
        <r>
          <rPr>
            <b/>
            <sz val="9"/>
            <color indexed="81"/>
            <rFont val="Tahoma"/>
            <family val="2"/>
          </rPr>
          <t>Martin, Sara:</t>
        </r>
        <r>
          <rPr>
            <sz val="9"/>
            <color indexed="81"/>
            <rFont val="Tahoma"/>
            <family val="2"/>
          </rPr>
          <t xml:space="preserve">
sex corrected</t>
        </r>
      </text>
    </comment>
    <comment ref="H240" authorId="3" shapeId="0" xr:uid="{00000000-0006-0000-0000-00000E000000}">
      <text>
        <r>
          <rPr>
            <b/>
            <sz val="9"/>
            <color indexed="81"/>
            <rFont val="Tahoma"/>
            <family val="2"/>
          </rPr>
          <t>Turcotte, Luc:</t>
        </r>
        <r>
          <rPr>
            <sz val="9"/>
            <color indexed="81"/>
            <rFont val="Tahoma"/>
            <family val="2"/>
          </rPr>
          <t xml:space="preserve">
removed one 4-1 ocean type fish. 
</t>
        </r>
      </text>
    </comment>
    <comment ref="G241" authorId="3" shapeId="0" xr:uid="{00000000-0006-0000-0000-00000F000000}">
      <text>
        <r>
          <rPr>
            <b/>
            <sz val="9"/>
            <color indexed="81"/>
            <rFont val="Tahoma"/>
            <family val="2"/>
          </rPr>
          <t>Turcotte, Luc:</t>
        </r>
        <r>
          <rPr>
            <sz val="9"/>
            <color indexed="81"/>
            <rFont val="Tahoma"/>
            <family val="2"/>
          </rPr>
          <t xml:space="preserve">
removed one 3-1 ocean type </t>
        </r>
      </text>
    </comment>
    <comment ref="F243" authorId="4" shapeId="0" xr:uid="{00000000-0006-0000-0000-000010000000}">
      <text>
        <t>[Threaded comment]
Your version of Excel allows you to read this threaded comment; however, any edits to it will get removed if the file is opened in a newer version of Excel. Learn more: https://go.microsoft.com/fwlink/?linkid=870924
Comment:
    Do the hatchery numbers need to be revised for 2020?
Reply:
    Entered 46 M and 42 F from the Daily Field Activity excel. Not showing in SEP EPAD database. Will follow-up</t>
      </text>
    </comment>
    <comment ref="F248" authorId="2" shapeId="0" xr:uid="{00000000-0006-0000-0000-000011000000}">
      <text>
        <r>
          <rPr>
            <b/>
            <sz val="9"/>
            <color indexed="81"/>
            <rFont val="Tahoma"/>
            <family val="2"/>
          </rPr>
          <t>Martin, Sara:</t>
        </r>
        <r>
          <rPr>
            <sz val="9"/>
            <color indexed="81"/>
            <rFont val="Tahoma"/>
            <family val="2"/>
          </rPr>
          <t xml:space="preserve">
sex corrected</t>
        </r>
      </text>
    </comment>
    <comment ref="H249" authorId="3" shapeId="0" xr:uid="{00000000-0006-0000-0000-000012000000}">
      <text>
        <r>
          <rPr>
            <b/>
            <sz val="9"/>
            <color indexed="81"/>
            <rFont val="Tahoma"/>
            <family val="2"/>
          </rPr>
          <t>Turcotte, Luc:</t>
        </r>
        <r>
          <rPr>
            <sz val="9"/>
            <color indexed="81"/>
            <rFont val="Tahoma"/>
            <family val="2"/>
          </rPr>
          <t xml:space="preserve">
dropped 2 age 4-1 ocean type fish </t>
        </r>
      </text>
    </comment>
    <comment ref="F267" authorId="5" shapeId="0" xr:uid="{00000000-0006-0000-0000-000013000000}">
      <text>
        <t>[Threaded comment]
Your version of Excel allows you to read this threaded comment; however, any edits to it will get removed if the file is opened in a newer version of Excel. Learn more: https://go.microsoft.com/fwlink/?linkid=870924
Comment:
    'Broodstock' numbers used from the SEP file for 2021, is that correct? In 2020 'sacrifices and morts' data was used (there was no 'broodstock' data in the SEP file in 2020).
Reply:
    2020 is weird. 2021 is good. Verified.</t>
      </text>
    </comment>
    <comment ref="G281" authorId="6" shapeId="0" xr:uid="{FC720594-1003-40EE-9A64-A08749BC30BA}">
      <text>
        <t>[Threaded comment]
Your version of Excel allows you to read this threaded comment; however, any edits to it will get removed if the file is opened in a newer version of Excel. Learn more: https://go.microsoft.com/fwlink/?linkid=870924
Comment:
    No recoveries. Leave cells blank as columns K:N require blanks to operate in this case.</t>
      </text>
    </comment>
    <comment ref="K281" authorId="7" shapeId="0" xr:uid="{686B3023-FAB4-4CB7-AFCA-F4DA89F5441A}">
      <text>
        <t>[Threaded comment]
Your version of Excel allows you to read this threaded comment; however, any edits to it will get removed if the file is opened in a newer version of Excel. Learn more: https://go.microsoft.com/fwlink/?linkid=870924
Comment:
    Arbeider Edit 2023-01-25: Assuming that Petersen Tagged "Jacks" had the same age structure as recovered, untagged "Jacks".
NOTE THAT THIS IS DIFFERENT APPROACH THAN ALL OTHER YEARS.</t>
      </text>
    </comment>
    <comment ref="F290" authorId="8" shapeId="0" xr:uid="{1DD15BC9-3B71-43E6-BA00-11F1A69395B7}">
      <text>
        <t>[Threaded comment]
Your version of Excel allows you to read this threaded comment; however, any edits to it will get removed if the file is opened in a newer version of Excel. Learn more: https://go.microsoft.com/fwlink/?linkid=870924
Comment:
    Sex Corrected, includes 1 NR Adipose Status, but all Absent were Sacrificed.</t>
      </text>
    </comment>
    <comment ref="H297" authorId="9" shapeId="0" xr:uid="{BBA9B6DA-23D7-464A-8FBF-CEC5B16AA01F}">
      <text>
        <t>[Threaded comment]
Your version of Excel allows you to read this threaded comment; however, any edits to it will get removed if the file is opened in a newer version of Excel. Learn more: https://go.microsoft.com/fwlink/?linkid=870924
Comment:
    Yes, Males and Females really were both 77!!</t>
      </text>
    </comment>
    <comment ref="F298" authorId="10" shapeId="0" xr:uid="{8D8087D5-A3AD-425E-B9A5-E62EE7C61CA8}">
      <text>
        <t>[Threaded comment]
Your version of Excel allows you to read this threaded comment; however, any edits to it will get removed if the file is opened in a newer version of Excel. Learn more: https://go.microsoft.com/fwlink/?linkid=870924
Comment:
    Sex Corrected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tc={B03701B7-F760-47A7-96D5-4B0FB094DFA4}</author>
    <author>tc={840BC59C-D5B8-4ADA-828E-7578F43FA680}</author>
  </authors>
  <commentList>
    <comment ref="G36" authorId="0" shapeId="0" xr:uid="{B03701B7-F760-47A7-96D5-4B0FB094DFA4}">
      <text>
        <t>[Threaded comment]
Your version of Excel allows you to read this threaded comment; however, any edits to it will get removed if the file is opened in a newer version of Excel. Learn more: https://go.microsoft.com/fwlink/?linkid=870924
Comment:
    No Age 5 or 6 CWT possible.</t>
      </text>
    </comment>
    <comment ref="H40" authorId="1" shapeId="0" xr:uid="{840BC59C-D5B8-4ADA-828E-7578F43FA680}">
      <text>
        <t>[Threaded comment]
Your version of Excel allows you to read this threaded comment; however, any edits to it will get removed if the file is opened in a newer version of Excel. Learn more: https://go.microsoft.com/fwlink/?linkid=870924
Comment:
    No Age 6 CWT possible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DFO-MPO</author>
  </authors>
  <commentList>
    <comment ref="I38" authorId="0" shapeId="0" xr:uid="{00000000-0006-0000-0500-000001000000}">
      <text>
        <r>
          <rPr>
            <b/>
            <sz val="9"/>
            <color indexed="81"/>
            <rFont val="Tahoma"/>
            <family val="2"/>
          </rPr>
          <t>DFO-MPO:</t>
        </r>
        <r>
          <rPr>
            <sz val="9"/>
            <color indexed="81"/>
            <rFont val="Tahoma"/>
            <family val="2"/>
          </rPr>
          <t xml:space="preserve">
one age 41 not included, re-read pending</t>
        </r>
      </text>
    </comment>
    <comment ref="I46" authorId="0" shapeId="0" xr:uid="{00000000-0006-0000-0500-000002000000}">
      <text>
        <r>
          <rPr>
            <b/>
            <sz val="9"/>
            <color indexed="81"/>
            <rFont val="Tahoma"/>
            <family val="2"/>
          </rPr>
          <t>DFO-MPO:</t>
        </r>
        <r>
          <rPr>
            <sz val="9"/>
            <color indexed="81"/>
            <rFont val="Tahoma"/>
            <family val="2"/>
          </rPr>
          <t xml:space="preserve">
3 age 41 excluded, re-reads pending
</t>
        </r>
      </text>
    </comment>
  </commentList>
</comments>
</file>

<file path=xl/sharedStrings.xml><?xml version="1.0" encoding="utf-8"?>
<sst xmlns="http://schemas.openxmlformats.org/spreadsheetml/2006/main" count="13105" uniqueCount="3142">
  <si>
    <t>Year</t>
  </si>
  <si>
    <t>Stratum Estimate</t>
  </si>
  <si>
    <t>River</t>
  </si>
  <si>
    <t>I have not added calculations for precision or to correct scale aging error</t>
  </si>
  <si>
    <t>Age Samples from Scales or CWTs (only for AFC strata)</t>
  </si>
  <si>
    <t>Green are CWT ages</t>
  </si>
  <si>
    <t>Unclipped petersen tagged stratum Estimate = tags applied</t>
  </si>
  <si>
    <t>Clipped aged totals may also be petersen tagged</t>
  </si>
  <si>
    <t>Grand Total</t>
  </si>
  <si>
    <t>(Multiple Items)</t>
  </si>
  <si>
    <t>Values</t>
  </si>
  <si>
    <t>Chilko</t>
  </si>
  <si>
    <r>
      <t>Age-3</t>
    </r>
    <r>
      <rPr>
        <vertAlign val="subscript"/>
        <sz val="11"/>
        <color theme="1"/>
        <rFont val="Calibri"/>
        <family val="2"/>
        <scheme val="minor"/>
      </rPr>
      <t>2</t>
    </r>
  </si>
  <si>
    <r>
      <t>Age-4</t>
    </r>
    <r>
      <rPr>
        <vertAlign val="subscript"/>
        <sz val="11"/>
        <color theme="1"/>
        <rFont val="Calibri"/>
        <family val="2"/>
        <scheme val="minor"/>
      </rPr>
      <t>2</t>
    </r>
  </si>
  <si>
    <r>
      <t>Age-5</t>
    </r>
    <r>
      <rPr>
        <vertAlign val="subscript"/>
        <sz val="11"/>
        <color theme="1"/>
        <rFont val="Calibri"/>
        <family val="2"/>
        <scheme val="minor"/>
      </rPr>
      <t>2</t>
    </r>
  </si>
  <si>
    <r>
      <t>Age-6</t>
    </r>
    <r>
      <rPr>
        <vertAlign val="subscript"/>
        <sz val="11"/>
        <color theme="1"/>
        <rFont val="Calibri"/>
        <family val="2"/>
        <scheme val="minor"/>
      </rPr>
      <t>2</t>
    </r>
  </si>
  <si>
    <t>percent</t>
  </si>
  <si>
    <t>total</t>
  </si>
  <si>
    <t>Brood Year</t>
  </si>
  <si>
    <t>Return Year</t>
  </si>
  <si>
    <t>Age 3</t>
  </si>
  <si>
    <t>Age 4</t>
  </si>
  <si>
    <t>Age 5</t>
  </si>
  <si>
    <t>Age 6</t>
  </si>
  <si>
    <t>By Sex</t>
  </si>
  <si>
    <t>By Cohort Escapement</t>
  </si>
  <si>
    <t>Males</t>
  </si>
  <si>
    <t>Females</t>
  </si>
  <si>
    <t>Stuff in blue is calculated, but will change when real data is added</t>
  </si>
  <si>
    <t>Uncorrected Escapement by Age and Stratum</t>
  </si>
  <si>
    <t>Location</t>
  </si>
  <si>
    <t>Stratum</t>
  </si>
  <si>
    <t>AFC Status</t>
  </si>
  <si>
    <t>Petersen Tagged</t>
  </si>
  <si>
    <t>Age-3</t>
  </si>
  <si>
    <t>Age-4</t>
  </si>
  <si>
    <t>Age-5</t>
  </si>
  <si>
    <t>Age-6</t>
  </si>
  <si>
    <t>Raw_ESC_Age-3</t>
  </si>
  <si>
    <t>Raw_ESC_Age-4</t>
  </si>
  <si>
    <t>Raw_ESC_Age-5</t>
  </si>
  <si>
    <t>Raw_ESC_Age-6</t>
  </si>
  <si>
    <t>Adult Males</t>
  </si>
  <si>
    <t>Clipped</t>
  </si>
  <si>
    <t>NA</t>
  </si>
  <si>
    <t>Unclipped</t>
  </si>
  <si>
    <t>No Petersen Tag</t>
  </si>
  <si>
    <t>Hatchery</t>
  </si>
  <si>
    <t>both</t>
  </si>
  <si>
    <t>River and Hatchery</t>
  </si>
  <si>
    <t>Adult Females</t>
  </si>
  <si>
    <t>Jacks</t>
  </si>
  <si>
    <t>2015 sex correction</t>
  </si>
  <si>
    <t>2016 sex correction</t>
  </si>
  <si>
    <t>2017 sex correction</t>
  </si>
  <si>
    <t>One CWT was recovered.  This fish was caught while seining and culled to sample the head.  The fish was 50.1 cm, making it fall into the large male category.  Age results showed the fish to be a jack, which was expected due to the first cwt release being from the 2014 brood.</t>
  </si>
  <si>
    <t>Sum of Raw_ESC_Age-4</t>
  </si>
  <si>
    <t>Sum of Raw_ESC_Age-3</t>
  </si>
  <si>
    <t>Sum of Raw_ESC_Age-5</t>
  </si>
  <si>
    <t>Sum of Raw_ESC_Age-6</t>
  </si>
  <si>
    <t>Only fish with paired scales and CWTs to estimate correction factors</t>
  </si>
  <si>
    <t>UNCLIPPED</t>
  </si>
  <si>
    <t>See next tab for corrected esc by age</t>
  </si>
  <si>
    <t>cwt age</t>
  </si>
  <si>
    <t>Corrected</t>
  </si>
  <si>
    <t>corrected ages</t>
  </si>
  <si>
    <t>scale age</t>
  </si>
  <si>
    <t>Total</t>
  </si>
  <si>
    <t>Identified</t>
  </si>
  <si>
    <t>Uncorrected ages</t>
  </si>
  <si>
    <t>checks</t>
  </si>
  <si>
    <t>Row Labels</t>
  </si>
  <si>
    <t>Sum of 3</t>
  </si>
  <si>
    <t>Sum of 4</t>
  </si>
  <si>
    <t>Sum of 5</t>
  </si>
  <si>
    <t>Sum of 6</t>
  </si>
  <si>
    <t>Column Labels</t>
  </si>
  <si>
    <t>year</t>
  </si>
  <si>
    <t>age</t>
  </si>
  <si>
    <t>brood year</t>
  </si>
  <si>
    <t>unique</t>
  </si>
  <si>
    <t xml:space="preserve">uncorrected </t>
  </si>
  <si>
    <t>Corrected_Unclipped</t>
  </si>
  <si>
    <t>Corrected_unclipped &amp;clipped</t>
  </si>
  <si>
    <t>identifier</t>
  </si>
  <si>
    <t>unclipped fish</t>
  </si>
  <si>
    <t>Unclipped Fish</t>
  </si>
  <si>
    <t>spreadsheet converted to this version.  Old sheet did not have any hatchery info or scale/cwt correction</t>
  </si>
  <si>
    <t>2018 sex correction</t>
  </si>
  <si>
    <t>Count of GR-Age</t>
  </si>
  <si>
    <t>31</t>
  </si>
  <si>
    <t>41</t>
  </si>
  <si>
    <t>42</t>
  </si>
  <si>
    <t>52</t>
  </si>
  <si>
    <t>62</t>
  </si>
  <si>
    <t>F</t>
  </si>
  <si>
    <t>J</t>
  </si>
  <si>
    <t>M</t>
  </si>
  <si>
    <t>the one jack with scale sample results says it was age 42.  The poh was 38cm, the age does not seem right.  This causes all the jacks to correct to age 42</t>
  </si>
  <si>
    <t>scale results show high number of 31 and 41 ages.  These ages are NOT included in this spreadsheet.  Scale re-reads of the sub 1s were done by the lab, only a few were changed</t>
  </si>
  <si>
    <t>53</t>
  </si>
  <si>
    <t>the three aged 31 females had poh lengths of over 57cm, which does not seem to match the age results.  These fish are not used in the spreadsheet anyways as they are sub 1's</t>
  </si>
  <si>
    <t>Fish sacrificed at application are included in the hatchery removals rows</t>
  </si>
  <si>
    <t>(blank)</t>
  </si>
  <si>
    <t>2010.3</t>
  </si>
  <si>
    <t>2010.4</t>
  </si>
  <si>
    <t>2010.5</t>
  </si>
  <si>
    <t>2010.6</t>
  </si>
  <si>
    <t>2011.3</t>
  </si>
  <si>
    <t>2011.4</t>
  </si>
  <si>
    <t>2011.5</t>
  </si>
  <si>
    <t>2011.6</t>
  </si>
  <si>
    <t>2012.3</t>
  </si>
  <si>
    <t>2012.4</t>
  </si>
  <si>
    <t>2012.5</t>
  </si>
  <si>
    <t>2012.6</t>
  </si>
  <si>
    <t>2013.3</t>
  </si>
  <si>
    <t>2013.4</t>
  </si>
  <si>
    <t>2013.5</t>
  </si>
  <si>
    <t>2013.6</t>
  </si>
  <si>
    <t>2014.3</t>
  </si>
  <si>
    <t>2014.4</t>
  </si>
  <si>
    <t>2014.5</t>
  </si>
  <si>
    <t>2014.6</t>
  </si>
  <si>
    <t>2015.3</t>
  </si>
  <si>
    <t>2015.4</t>
  </si>
  <si>
    <t>2015.5</t>
  </si>
  <si>
    <t>2015.6</t>
  </si>
  <si>
    <t>2016.3</t>
  </si>
  <si>
    <t>2016.4</t>
  </si>
  <si>
    <t>2016.5</t>
  </si>
  <si>
    <t>2016.6</t>
  </si>
  <si>
    <t>2017.3</t>
  </si>
  <si>
    <t>2017.4</t>
  </si>
  <si>
    <t>2017.5</t>
  </si>
  <si>
    <t>2017.6</t>
  </si>
  <si>
    <t>2018.3</t>
  </si>
  <si>
    <t>2018.4</t>
  </si>
  <si>
    <t>2018.5</t>
  </si>
  <si>
    <t>2018.6</t>
  </si>
  <si>
    <t>Average of unclipped fish</t>
  </si>
  <si>
    <t>2019 sex correction</t>
  </si>
  <si>
    <t>No mark recapture conducted due to Big Bar Slide.  Calibrated peak count estimate used.</t>
  </si>
  <si>
    <t>No estimate by sex.</t>
  </si>
  <si>
    <t>See below for age breakdown by sex</t>
  </si>
  <si>
    <t>Adults</t>
  </si>
  <si>
    <t>One 32 (jack) not included due to no jack estimate</t>
  </si>
  <si>
    <t>2019.3</t>
  </si>
  <si>
    <t>2019.4</t>
  </si>
  <si>
    <t>2019.5</t>
  </si>
  <si>
    <t>2019.6</t>
  </si>
  <si>
    <t>2020 sex correction</t>
  </si>
  <si>
    <t>2021 sex correction</t>
  </si>
  <si>
    <t>185267</t>
  </si>
  <si>
    <t>185298</t>
  </si>
  <si>
    <t>185673</t>
  </si>
  <si>
    <t>185980</t>
  </si>
  <si>
    <t>184683</t>
  </si>
  <si>
    <t>184989</t>
  </si>
  <si>
    <t>Yes</t>
  </si>
  <si>
    <t>5000</t>
  </si>
  <si>
    <t>186572</t>
  </si>
  <si>
    <t>SHU</t>
  </si>
  <si>
    <t>186563</t>
  </si>
  <si>
    <t>NIC</t>
  </si>
  <si>
    <t>186562</t>
  </si>
  <si>
    <t>186561</t>
  </si>
  <si>
    <t>184988</t>
  </si>
  <si>
    <t>CKO</t>
  </si>
  <si>
    <t>183969</t>
  </si>
  <si>
    <t>184178</t>
  </si>
  <si>
    <t>082749</t>
  </si>
  <si>
    <t>020155</t>
  </si>
  <si>
    <t>020325</t>
  </si>
  <si>
    <t>020324</t>
  </si>
  <si>
    <t>185623</t>
  </si>
  <si>
    <t>185622</t>
  </si>
  <si>
    <t>020326</t>
  </si>
  <si>
    <t>180777</t>
  </si>
  <si>
    <t>020323</t>
  </si>
  <si>
    <t>181927</t>
  </si>
  <si>
    <t>181792</t>
  </si>
  <si>
    <t>181791</t>
  </si>
  <si>
    <t>082750</t>
  </si>
  <si>
    <t>025520</t>
  </si>
  <si>
    <t>020321</t>
  </si>
  <si>
    <t>024214</t>
  </si>
  <si>
    <t>025539</t>
  </si>
  <si>
    <t>020322</t>
  </si>
  <si>
    <t>024216</t>
  </si>
  <si>
    <t>020327</t>
  </si>
  <si>
    <t>023809</t>
  </si>
  <si>
    <t>024252</t>
  </si>
  <si>
    <t>024251</t>
  </si>
  <si>
    <t>180778</t>
  </si>
  <si>
    <t>185977</t>
  </si>
  <si>
    <t>181742</t>
  </si>
  <si>
    <t>185978</t>
  </si>
  <si>
    <t>024756</t>
  </si>
  <si>
    <t>024754</t>
  </si>
  <si>
    <t>024753</t>
  </si>
  <si>
    <t>185791</t>
  </si>
  <si>
    <t>183364</t>
  </si>
  <si>
    <t>020320</t>
  </si>
  <si>
    <t>183289</t>
  </si>
  <si>
    <t>023810</t>
  </si>
  <si>
    <t>024213</t>
  </si>
  <si>
    <t>020156</t>
  </si>
  <si>
    <t>024215</t>
  </si>
  <si>
    <t>024755</t>
  </si>
  <si>
    <t>020328</t>
  </si>
  <si>
    <t>184895</t>
  </si>
  <si>
    <t>RBT</t>
  </si>
  <si>
    <t>184894</t>
  </si>
  <si>
    <t>184685</t>
  </si>
  <si>
    <t>182059</t>
  </si>
  <si>
    <t>181680</t>
  </si>
  <si>
    <t>185092</t>
  </si>
  <si>
    <t>185091</t>
  </si>
  <si>
    <t>185090</t>
  </si>
  <si>
    <t>185089</t>
  </si>
  <si>
    <t>185088</t>
  </si>
  <si>
    <t>185087</t>
  </si>
  <si>
    <t>185086</t>
  </si>
  <si>
    <t>185085</t>
  </si>
  <si>
    <t>185084</t>
  </si>
  <si>
    <t>184364</t>
  </si>
  <si>
    <t>180191</t>
  </si>
  <si>
    <t>184365</t>
  </si>
  <si>
    <t>184366</t>
  </si>
  <si>
    <t>184367</t>
  </si>
  <si>
    <t>184368</t>
  </si>
  <si>
    <t>184369</t>
  </si>
  <si>
    <t>184578</t>
  </si>
  <si>
    <t>184579</t>
  </si>
  <si>
    <t>183979</t>
  </si>
  <si>
    <t>183974</t>
  </si>
  <si>
    <t>183975</t>
  </si>
  <si>
    <t>184180</t>
  </si>
  <si>
    <t>184181</t>
  </si>
  <si>
    <t>183687</t>
  </si>
  <si>
    <t>183973</t>
  </si>
  <si>
    <t>183970</t>
  </si>
  <si>
    <t>183971</t>
  </si>
  <si>
    <t>183972</t>
  </si>
  <si>
    <t>183280</t>
  </si>
  <si>
    <t>183279</t>
  </si>
  <si>
    <t>183390</t>
  </si>
  <si>
    <t>183389</t>
  </si>
  <si>
    <t>183388</t>
  </si>
  <si>
    <t>183387</t>
  </si>
  <si>
    <t>183386</t>
  </si>
  <si>
    <t>183385</t>
  </si>
  <si>
    <t>183688</t>
  </si>
  <si>
    <t>183570</t>
  </si>
  <si>
    <t>183569</t>
  </si>
  <si>
    <t>182790</t>
  </si>
  <si>
    <t>182789</t>
  </si>
  <si>
    <t>182781</t>
  </si>
  <si>
    <t>182780</t>
  </si>
  <si>
    <t>182779</t>
  </si>
  <si>
    <t>182778</t>
  </si>
  <si>
    <t>182575</t>
  </si>
  <si>
    <t>182574</t>
  </si>
  <si>
    <t>182892</t>
  </si>
  <si>
    <t>182395</t>
  </si>
  <si>
    <t>182394</t>
  </si>
  <si>
    <t>181469</t>
  </si>
  <si>
    <t>181468</t>
  </si>
  <si>
    <t>181467</t>
  </si>
  <si>
    <t>181466</t>
  </si>
  <si>
    <t>181465</t>
  </si>
  <si>
    <t>181464</t>
  </si>
  <si>
    <t>181199</t>
  </si>
  <si>
    <t>184931</t>
  </si>
  <si>
    <t>182387</t>
  </si>
  <si>
    <t>182386</t>
  </si>
  <si>
    <t>182089</t>
  </si>
  <si>
    <t>182088</t>
  </si>
  <si>
    <t>181491</t>
  </si>
  <si>
    <t>181490</t>
  </si>
  <si>
    <t>181489</t>
  </si>
  <si>
    <t>181488</t>
  </si>
  <si>
    <t>181487</t>
  </si>
  <si>
    <t>181486</t>
  </si>
  <si>
    <t>181586</t>
  </si>
  <si>
    <t>181585</t>
  </si>
  <si>
    <t>181386</t>
  </si>
  <si>
    <t>181385</t>
  </si>
  <si>
    <t>181384</t>
  </si>
  <si>
    <t>181383</t>
  </si>
  <si>
    <t>181382</t>
  </si>
  <si>
    <t>181381</t>
  </si>
  <si>
    <t>181198</t>
  </si>
  <si>
    <t>181197</t>
  </si>
  <si>
    <t>181196</t>
  </si>
  <si>
    <t>186338</t>
  </si>
  <si>
    <t>180996</t>
  </si>
  <si>
    <t>180972</t>
  </si>
  <si>
    <t>180971</t>
  </si>
  <si>
    <t>180970</t>
  </si>
  <si>
    <t>180969</t>
  </si>
  <si>
    <t>180897</t>
  </si>
  <si>
    <t>180478</t>
  </si>
  <si>
    <t>180385</t>
  </si>
  <si>
    <t>180384</t>
  </si>
  <si>
    <t>180383</t>
  </si>
  <si>
    <t>180382</t>
  </si>
  <si>
    <t>180381</t>
  </si>
  <si>
    <t>180380</t>
  </si>
  <si>
    <t>180277</t>
  </si>
  <si>
    <t>180276</t>
  </si>
  <si>
    <t>186361</t>
  </si>
  <si>
    <t>186360</t>
  </si>
  <si>
    <t>186359</t>
  </si>
  <si>
    <t>186358</t>
  </si>
  <si>
    <t>186357</t>
  </si>
  <si>
    <t>186356</t>
  </si>
  <si>
    <t>186355</t>
  </si>
  <si>
    <t>186354</t>
  </si>
  <si>
    <t>186353</t>
  </si>
  <si>
    <t>186352</t>
  </si>
  <si>
    <t>186162</t>
  </si>
  <si>
    <t>186062</t>
  </si>
  <si>
    <t>186061</t>
  </si>
  <si>
    <t>185225</t>
  </si>
  <si>
    <t>185224</t>
  </si>
  <si>
    <t>185223</t>
  </si>
  <si>
    <t>185222</t>
  </si>
  <si>
    <t>185055</t>
  </si>
  <si>
    <t>185054</t>
  </si>
  <si>
    <t>184907</t>
  </si>
  <si>
    <t>025659</t>
  </si>
  <si>
    <t>025652</t>
  </si>
  <si>
    <t>185158</t>
  </si>
  <si>
    <t>185157</t>
  </si>
  <si>
    <t>185156</t>
  </si>
  <si>
    <t>185155</t>
  </si>
  <si>
    <t>185608</t>
  </si>
  <si>
    <t>185426</t>
  </si>
  <si>
    <t>185207</t>
  </si>
  <si>
    <t>185206</t>
  </si>
  <si>
    <t>185205</t>
  </si>
  <si>
    <t>185204</t>
  </si>
  <si>
    <t>185148</t>
  </si>
  <si>
    <t>184710</t>
  </si>
  <si>
    <t>184709</t>
  </si>
  <si>
    <t>184708</t>
  </si>
  <si>
    <t>184707</t>
  </si>
  <si>
    <t>184507</t>
  </si>
  <si>
    <t>184506</t>
  </si>
  <si>
    <t>184505</t>
  </si>
  <si>
    <t>184504</t>
  </si>
  <si>
    <t>182207</t>
  </si>
  <si>
    <t>182206</t>
  </si>
  <si>
    <t>182205</t>
  </si>
  <si>
    <t>182204</t>
  </si>
  <si>
    <t>184209</t>
  </si>
  <si>
    <t>184208</t>
  </si>
  <si>
    <t>184216</t>
  </si>
  <si>
    <t>183149</t>
  </si>
  <si>
    <t>182462</t>
  </si>
  <si>
    <t>181641</t>
  </si>
  <si>
    <t>181441</t>
  </si>
  <si>
    <t>180855</t>
  </si>
  <si>
    <t>180341</t>
  </si>
  <si>
    <t>180326</t>
  </si>
  <si>
    <t>021532</t>
  </si>
  <si>
    <t>020422</t>
  </si>
  <si>
    <t>020421</t>
  </si>
  <si>
    <t>025828</t>
  </si>
  <si>
    <t>025827</t>
  </si>
  <si>
    <t>025343</t>
  </si>
  <si>
    <t>025342</t>
  </si>
  <si>
    <t>024610</t>
  </si>
  <si>
    <t>024316</t>
  </si>
  <si>
    <t>023553</t>
  </si>
  <si>
    <t>023552</t>
  </si>
  <si>
    <t>023549</t>
  </si>
  <si>
    <t>023548</t>
  </si>
  <si>
    <t>023421</t>
  </si>
  <si>
    <t>023055</t>
  </si>
  <si>
    <t>023054</t>
  </si>
  <si>
    <t>021755</t>
  </si>
  <si>
    <t>021601</t>
  </si>
  <si>
    <t>021638</t>
  </si>
  <si>
    <t>021625</t>
  </si>
  <si>
    <t>185888</t>
  </si>
  <si>
    <t>185790</t>
  </si>
  <si>
    <t>184893</t>
  </si>
  <si>
    <t>184892</t>
  </si>
  <si>
    <t>184891</t>
  </si>
  <si>
    <t>184890</t>
  </si>
  <si>
    <t>184091</t>
  </si>
  <si>
    <t>183980</t>
  </si>
  <si>
    <t>182191</t>
  </si>
  <si>
    <t>181387</t>
  </si>
  <si>
    <t>185094</t>
  </si>
  <si>
    <t>185097</t>
  </si>
  <si>
    <t>185096</t>
  </si>
  <si>
    <t>185095</t>
  </si>
  <si>
    <t>185295</t>
  </si>
  <si>
    <t>185294</t>
  </si>
  <si>
    <t>183888</t>
  </si>
  <si>
    <t>183887</t>
  </si>
  <si>
    <t>183679</t>
  </si>
  <si>
    <t>184885</t>
  </si>
  <si>
    <t>184884</t>
  </si>
  <si>
    <t>184883</t>
  </si>
  <si>
    <t>184882</t>
  </si>
  <si>
    <t>184381</t>
  </si>
  <si>
    <t>184583</t>
  </si>
  <si>
    <t>184582</t>
  </si>
  <si>
    <t>181883</t>
  </si>
  <si>
    <t>181882</t>
  </si>
  <si>
    <t>181881</t>
  </si>
  <si>
    <t>182092</t>
  </si>
  <si>
    <t>182091</t>
  </si>
  <si>
    <t>180264</t>
  </si>
  <si>
    <t>184379</t>
  </si>
  <si>
    <t>184380</t>
  </si>
  <si>
    <t>184764</t>
  </si>
  <si>
    <t>184378</t>
  </si>
  <si>
    <t>184699</t>
  </si>
  <si>
    <t>183695</t>
  </si>
  <si>
    <t>184185</t>
  </si>
  <si>
    <t>184184</t>
  </si>
  <si>
    <t>183799</t>
  </si>
  <si>
    <t>183476</t>
  </si>
  <si>
    <t>183475</t>
  </si>
  <si>
    <t>183474</t>
  </si>
  <si>
    <t>183473</t>
  </si>
  <si>
    <t>184072</t>
  </si>
  <si>
    <t>184071</t>
  </si>
  <si>
    <t>184070</t>
  </si>
  <si>
    <t>184069</t>
  </si>
  <si>
    <t>182488</t>
  </si>
  <si>
    <t>182487</t>
  </si>
  <si>
    <t>183694</t>
  </si>
  <si>
    <t>183693</t>
  </si>
  <si>
    <t>183797</t>
  </si>
  <si>
    <t>182482</t>
  </si>
  <si>
    <t>182481</t>
  </si>
  <si>
    <t>183676</t>
  </si>
  <si>
    <t>183070</t>
  </si>
  <si>
    <t>183069</t>
  </si>
  <si>
    <t>183798</t>
  </si>
  <si>
    <t>183398</t>
  </si>
  <si>
    <t>183397</t>
  </si>
  <si>
    <t>183396</t>
  </si>
  <si>
    <t>183395</t>
  </si>
  <si>
    <t>183072</t>
  </si>
  <si>
    <t>183071</t>
  </si>
  <si>
    <t>183484</t>
  </si>
  <si>
    <t>183384</t>
  </si>
  <si>
    <t>183383</t>
  </si>
  <si>
    <t>183382</t>
  </si>
  <si>
    <t>183381</t>
  </si>
  <si>
    <t>183276</t>
  </si>
  <si>
    <t>183275</t>
  </si>
  <si>
    <t>181997</t>
  </si>
  <si>
    <t>181699</t>
  </si>
  <si>
    <t>182566</t>
  </si>
  <si>
    <t>182565</t>
  </si>
  <si>
    <t>182564</t>
  </si>
  <si>
    <t>182465</t>
  </si>
  <si>
    <t>182464</t>
  </si>
  <si>
    <t>182086</t>
  </si>
  <si>
    <t>181989</t>
  </si>
  <si>
    <t>181988</t>
  </si>
  <si>
    <t>181895</t>
  </si>
  <si>
    <t>181894</t>
  </si>
  <si>
    <t>180690</t>
  </si>
  <si>
    <t>180684</t>
  </si>
  <si>
    <t>182389</t>
  </si>
  <si>
    <t>182388</t>
  </si>
  <si>
    <t>181495</t>
  </si>
  <si>
    <t>181494</t>
  </si>
  <si>
    <t>181493</t>
  </si>
  <si>
    <t>181492</t>
  </si>
  <si>
    <t>181283</t>
  </si>
  <si>
    <t>181274</t>
  </si>
  <si>
    <t>181273</t>
  </si>
  <si>
    <t>181272</t>
  </si>
  <si>
    <t>181093</t>
  </si>
  <si>
    <t>181092</t>
  </si>
  <si>
    <t>181799</t>
  </si>
  <si>
    <t>181798</t>
  </si>
  <si>
    <t>181695</t>
  </si>
  <si>
    <t>181694</t>
  </si>
  <si>
    <t>181485</t>
  </si>
  <si>
    <t>181484</t>
  </si>
  <si>
    <t>181483</t>
  </si>
  <si>
    <t>181482</t>
  </si>
  <si>
    <t>180195</t>
  </si>
  <si>
    <t>180194</t>
  </si>
  <si>
    <t>181271</t>
  </si>
  <si>
    <t>181270</t>
  </si>
  <si>
    <t>181269</t>
  </si>
  <si>
    <t>181088</t>
  </si>
  <si>
    <t>181087</t>
  </si>
  <si>
    <t>181086</t>
  </si>
  <si>
    <t>181085</t>
  </si>
  <si>
    <t>181084</t>
  </si>
  <si>
    <t>181083</t>
  </si>
  <si>
    <t>181082</t>
  </si>
  <si>
    <t>181081</t>
  </si>
  <si>
    <t>181080</t>
  </si>
  <si>
    <t>180982</t>
  </si>
  <si>
    <t>180981</t>
  </si>
  <si>
    <t>180567</t>
  </si>
  <si>
    <t>180175</t>
  </si>
  <si>
    <t>180174</t>
  </si>
  <si>
    <t>185962</t>
  </si>
  <si>
    <t>185961</t>
  </si>
  <si>
    <t>185960</t>
  </si>
  <si>
    <t>180885</t>
  </si>
  <si>
    <t>180884</t>
  </si>
  <si>
    <t>180883</t>
  </si>
  <si>
    <t>180882</t>
  </si>
  <si>
    <t>180881</t>
  </si>
  <si>
    <t>180685</t>
  </si>
  <si>
    <t>180394</t>
  </si>
  <si>
    <t>180393</t>
  </si>
  <si>
    <t>180392</t>
  </si>
  <si>
    <t>180391</t>
  </si>
  <si>
    <t>180390</t>
  </si>
  <si>
    <t>180389</t>
  </si>
  <si>
    <t>180388</t>
  </si>
  <si>
    <t>180387</t>
  </si>
  <si>
    <t>180386</t>
  </si>
  <si>
    <t>186344</t>
  </si>
  <si>
    <t>186343</t>
  </si>
  <si>
    <t>186306</t>
  </si>
  <si>
    <t>186305</t>
  </si>
  <si>
    <t>186304</t>
  </si>
  <si>
    <t>186303</t>
  </si>
  <si>
    <t>186302</t>
  </si>
  <si>
    <t>186301</t>
  </si>
  <si>
    <t>186134</t>
  </si>
  <si>
    <t>185828</t>
  </si>
  <si>
    <t>185827</t>
  </si>
  <si>
    <t>185826</t>
  </si>
  <si>
    <t>185825</t>
  </si>
  <si>
    <t>185824</t>
  </si>
  <si>
    <t>185823</t>
  </si>
  <si>
    <t>185822</t>
  </si>
  <si>
    <t>185821</t>
  </si>
  <si>
    <t>185951</t>
  </si>
  <si>
    <t>185950</t>
  </si>
  <si>
    <t>185949</t>
  </si>
  <si>
    <t>185948</t>
  </si>
  <si>
    <t>185260</t>
  </si>
  <si>
    <t>185259</t>
  </si>
  <si>
    <t>185258</t>
  </si>
  <si>
    <t>185257</t>
  </si>
  <si>
    <t>185807</t>
  </si>
  <si>
    <t>185806</t>
  </si>
  <si>
    <t>185805</t>
  </si>
  <si>
    <t>185804</t>
  </si>
  <si>
    <t>185213</t>
  </si>
  <si>
    <t>185212</t>
  </si>
  <si>
    <t>185211</t>
  </si>
  <si>
    <t>184447</t>
  </si>
  <si>
    <t>185563</t>
  </si>
  <si>
    <t>185562</t>
  </si>
  <si>
    <t>185561</t>
  </si>
  <si>
    <t>185420</t>
  </si>
  <si>
    <t>185416</t>
  </si>
  <si>
    <t>185415</t>
  </si>
  <si>
    <t>185414</t>
  </si>
  <si>
    <t>185413</t>
  </si>
  <si>
    <t>185136</t>
  </si>
  <si>
    <t>185135</t>
  </si>
  <si>
    <t>185134</t>
  </si>
  <si>
    <t>185133</t>
  </si>
  <si>
    <t>185036</t>
  </si>
  <si>
    <t>185035</t>
  </si>
  <si>
    <t>185034</t>
  </si>
  <si>
    <t>185033</t>
  </si>
  <si>
    <t>185024</t>
  </si>
  <si>
    <t>185023</t>
  </si>
  <si>
    <t>185022</t>
  </si>
  <si>
    <t>185021</t>
  </si>
  <si>
    <t>185012</t>
  </si>
  <si>
    <t>185011</t>
  </si>
  <si>
    <t>185010</t>
  </si>
  <si>
    <t>185009</t>
  </si>
  <si>
    <t>184638</t>
  </si>
  <si>
    <t>184637</t>
  </si>
  <si>
    <t>184636</t>
  </si>
  <si>
    <t>184635</t>
  </si>
  <si>
    <t>184634</t>
  </si>
  <si>
    <t>184633</t>
  </si>
  <si>
    <t>184632</t>
  </si>
  <si>
    <t>184631</t>
  </si>
  <si>
    <t>184606</t>
  </si>
  <si>
    <t>184605</t>
  </si>
  <si>
    <t>184541</t>
  </si>
  <si>
    <t>182163</t>
  </si>
  <si>
    <t>182162</t>
  </si>
  <si>
    <t>182161</t>
  </si>
  <si>
    <t>182160</t>
  </si>
  <si>
    <t>183831</t>
  </si>
  <si>
    <t>183434</t>
  </si>
  <si>
    <t>183433</t>
  </si>
  <si>
    <t>183432</t>
  </si>
  <si>
    <t>180363</t>
  </si>
  <si>
    <t>180362</t>
  </si>
  <si>
    <t>183156</t>
  </si>
  <si>
    <t>183155</t>
  </si>
  <si>
    <t>183154</t>
  </si>
  <si>
    <t>183153</t>
  </si>
  <si>
    <t>182817</t>
  </si>
  <si>
    <t>182816</t>
  </si>
  <si>
    <t>182815</t>
  </si>
  <si>
    <t>182814</t>
  </si>
  <si>
    <t>182547</t>
  </si>
  <si>
    <t>182546</t>
  </si>
  <si>
    <t>182545</t>
  </si>
  <si>
    <t>182544</t>
  </si>
  <si>
    <t>182543</t>
  </si>
  <si>
    <t>182542</t>
  </si>
  <si>
    <t>182541</t>
  </si>
  <si>
    <t>182237</t>
  </si>
  <si>
    <t>182236</t>
  </si>
  <si>
    <t>182235</t>
  </si>
  <si>
    <t>182234</t>
  </si>
  <si>
    <t>182233</t>
  </si>
  <si>
    <t>182232</t>
  </si>
  <si>
    <t>182508</t>
  </si>
  <si>
    <t>182507</t>
  </si>
  <si>
    <t>182506</t>
  </si>
  <si>
    <t>182505</t>
  </si>
  <si>
    <t>182504</t>
  </si>
  <si>
    <t>182503</t>
  </si>
  <si>
    <t>182502</t>
  </si>
  <si>
    <t>182231</t>
  </si>
  <si>
    <t>182230</t>
  </si>
  <si>
    <t>182229</t>
  </si>
  <si>
    <t>182228</t>
  </si>
  <si>
    <t>182227</t>
  </si>
  <si>
    <t>182226</t>
  </si>
  <si>
    <t>182225</t>
  </si>
  <si>
    <t>182224</t>
  </si>
  <si>
    <t>182223</t>
  </si>
  <si>
    <t>182222</t>
  </si>
  <si>
    <t>182221</t>
  </si>
  <si>
    <t>182220</t>
  </si>
  <si>
    <t>181460</t>
  </si>
  <si>
    <t>181459</t>
  </si>
  <si>
    <t>181458</t>
  </si>
  <si>
    <t>181457</t>
  </si>
  <si>
    <t>181456</t>
  </si>
  <si>
    <t>181455</t>
  </si>
  <si>
    <t>181546</t>
  </si>
  <si>
    <t>181545</t>
  </si>
  <si>
    <t>181544</t>
  </si>
  <si>
    <t>181543</t>
  </si>
  <si>
    <t>181542</t>
  </si>
  <si>
    <t>181541</t>
  </si>
  <si>
    <t>181540</t>
  </si>
  <si>
    <t>181539</t>
  </si>
  <si>
    <t>180627</t>
  </si>
  <si>
    <t>180626</t>
  </si>
  <si>
    <t>180625</t>
  </si>
  <si>
    <t>180624</t>
  </si>
  <si>
    <t>180262</t>
  </si>
  <si>
    <t>180261</t>
  </si>
  <si>
    <t>180260</t>
  </si>
  <si>
    <t>180259</t>
  </si>
  <si>
    <t>180805</t>
  </si>
  <si>
    <t>180804</t>
  </si>
  <si>
    <t>180803</t>
  </si>
  <si>
    <t>180802</t>
  </si>
  <si>
    <t>180623</t>
  </si>
  <si>
    <t>180622</t>
  </si>
  <si>
    <t>180621</t>
  </si>
  <si>
    <t>180620</t>
  </si>
  <si>
    <t>180227</t>
  </si>
  <si>
    <t>180226</t>
  </si>
  <si>
    <t>021553</t>
  </si>
  <si>
    <t>021552</t>
  </si>
  <si>
    <t>021551</t>
  </si>
  <si>
    <t>021550</t>
  </si>
  <si>
    <t>021549</t>
  </si>
  <si>
    <t>021209</t>
  </si>
  <si>
    <t>021208</t>
  </si>
  <si>
    <t>020951</t>
  </si>
  <si>
    <t>020950</t>
  </si>
  <si>
    <t>020949</t>
  </si>
  <si>
    <t>020948</t>
  </si>
  <si>
    <t>020648</t>
  </si>
  <si>
    <t>020647</t>
  </si>
  <si>
    <t>020646</t>
  </si>
  <si>
    <t>020645</t>
  </si>
  <si>
    <t>020153</t>
  </si>
  <si>
    <t>020152</t>
  </si>
  <si>
    <t>020151</t>
  </si>
  <si>
    <t>026057</t>
  </si>
  <si>
    <t>026056</t>
  </si>
  <si>
    <t>026055</t>
  </si>
  <si>
    <t>025839</t>
  </si>
  <si>
    <t>025838</t>
  </si>
  <si>
    <t>025837</t>
  </si>
  <si>
    <t>025836</t>
  </si>
  <si>
    <t>025014</t>
  </si>
  <si>
    <t>025329</t>
  </si>
  <si>
    <t>025328</t>
  </si>
  <si>
    <t>025327</t>
  </si>
  <si>
    <t>025326</t>
  </si>
  <si>
    <t>024961</t>
  </si>
  <si>
    <t>024960</t>
  </si>
  <si>
    <t>024959</t>
  </si>
  <si>
    <t>024958</t>
  </si>
  <si>
    <t>024952</t>
  </si>
  <si>
    <t>024951</t>
  </si>
  <si>
    <t>024810</t>
  </si>
  <si>
    <t>024809</t>
  </si>
  <si>
    <t>024806</t>
  </si>
  <si>
    <t>024805</t>
  </si>
  <si>
    <t>024804</t>
  </si>
  <si>
    <t>024803</t>
  </si>
  <si>
    <t>024802</t>
  </si>
  <si>
    <t>024311</t>
  </si>
  <si>
    <t>024648</t>
  </si>
  <si>
    <t>024647</t>
  </si>
  <si>
    <t>024646</t>
  </si>
  <si>
    <t>024645</t>
  </si>
  <si>
    <t>024644</t>
  </si>
  <si>
    <t>024520</t>
  </si>
  <si>
    <t>024519</t>
  </si>
  <si>
    <t>024518</t>
  </si>
  <si>
    <t>024517</t>
  </si>
  <si>
    <t>024516</t>
  </si>
  <si>
    <t>024515</t>
  </si>
  <si>
    <t>024514</t>
  </si>
  <si>
    <t>024401</t>
  </si>
  <si>
    <t>024363</t>
  </si>
  <si>
    <t>024362</t>
  </si>
  <si>
    <t>024361</t>
  </si>
  <si>
    <t>024257</t>
  </si>
  <si>
    <t>024256</t>
  </si>
  <si>
    <t>023741</t>
  </si>
  <si>
    <t>023740</t>
  </si>
  <si>
    <t>023739</t>
  </si>
  <si>
    <t>023738</t>
  </si>
  <si>
    <t>023737</t>
  </si>
  <si>
    <t>023736</t>
  </si>
  <si>
    <t>023735</t>
  </si>
  <si>
    <t>023734</t>
  </si>
  <si>
    <t>023304</t>
  </si>
  <si>
    <t>023208</t>
  </si>
  <si>
    <t>023206</t>
  </si>
  <si>
    <t>023204</t>
  </si>
  <si>
    <t>023203</t>
  </si>
  <si>
    <t>023151</t>
  </si>
  <si>
    <t>023145</t>
  </si>
  <si>
    <t>023144</t>
  </si>
  <si>
    <t>023143</t>
  </si>
  <si>
    <t>023142</t>
  </si>
  <si>
    <t>023136</t>
  </si>
  <si>
    <t>023135</t>
  </si>
  <si>
    <t>023134</t>
  </si>
  <si>
    <t>023133</t>
  </si>
  <si>
    <t>023132</t>
  </si>
  <si>
    <t>023131</t>
  </si>
  <si>
    <t>082248</t>
  </si>
  <si>
    <t>082247</t>
  </si>
  <si>
    <t>022753</t>
  </si>
  <si>
    <t>022708</t>
  </si>
  <si>
    <t>022663</t>
  </si>
  <si>
    <t>022662</t>
  </si>
  <si>
    <t>082228</t>
  </si>
  <si>
    <t>082227</t>
  </si>
  <si>
    <t>082226</t>
  </si>
  <si>
    <t>082225</t>
  </si>
  <si>
    <t>082224</t>
  </si>
  <si>
    <t>082223</t>
  </si>
  <si>
    <t>082222</t>
  </si>
  <si>
    <t>022541</t>
  </si>
  <si>
    <t>022405</t>
  </si>
  <si>
    <t>022356</t>
  </si>
  <si>
    <t>022355</t>
  </si>
  <si>
    <t>022354</t>
  </si>
  <si>
    <t>022202</t>
  </si>
  <si>
    <t>021937</t>
  </si>
  <si>
    <t>021936</t>
  </si>
  <si>
    <t>021908</t>
  </si>
  <si>
    <t>021661</t>
  </si>
  <si>
    <t>021829</t>
  </si>
  <si>
    <t>021827</t>
  </si>
  <si>
    <t>021807</t>
  </si>
  <si>
    <t>021806</t>
  </si>
  <si>
    <t>021805</t>
  </si>
  <si>
    <t>021715</t>
  </si>
  <si>
    <t>022003</t>
  </si>
  <si>
    <t>021751</t>
  </si>
  <si>
    <t>021635</t>
  </si>
  <si>
    <t>021615</t>
  </si>
  <si>
    <t>021606</t>
  </si>
  <si>
    <t>022218</t>
  </si>
  <si>
    <t>022217</t>
  </si>
  <si>
    <t>021631</t>
  </si>
  <si>
    <t>021630</t>
  </si>
  <si>
    <t>021629</t>
  </si>
  <si>
    <t>021305</t>
  </si>
  <si>
    <t>020409</t>
  </si>
  <si>
    <t>020408</t>
  </si>
  <si>
    <t>021206</t>
  </si>
  <si>
    <t>020906</t>
  </si>
  <si>
    <t>020606</t>
  </si>
  <si>
    <t>020602</t>
  </si>
  <si>
    <t>020506</t>
  </si>
  <si>
    <t>020406</t>
  </si>
  <si>
    <t>020203</t>
  </si>
  <si>
    <t>185893</t>
  </si>
  <si>
    <t>QUI</t>
  </si>
  <si>
    <t>185892</t>
  </si>
  <si>
    <t>185891</t>
  </si>
  <si>
    <t>185176</t>
  </si>
  <si>
    <t>185175</t>
  </si>
  <si>
    <t>185174</t>
  </si>
  <si>
    <t>184387</t>
  </si>
  <si>
    <t>184386</t>
  </si>
  <si>
    <t>185269</t>
  </si>
  <si>
    <t>184995</t>
  </si>
  <si>
    <t>184994</t>
  </si>
  <si>
    <t>184993</t>
  </si>
  <si>
    <t>184992</t>
  </si>
  <si>
    <t>184991</t>
  </si>
  <si>
    <t>183674</t>
  </si>
  <si>
    <t>183673</t>
  </si>
  <si>
    <t>181664</t>
  </si>
  <si>
    <t>181599</t>
  </si>
  <si>
    <t>181598</t>
  </si>
  <si>
    <t>182785</t>
  </si>
  <si>
    <t>181672</t>
  </si>
  <si>
    <t>181671</t>
  </si>
  <si>
    <t>183477</t>
  </si>
  <si>
    <t>184394</t>
  </si>
  <si>
    <t>184393</t>
  </si>
  <si>
    <t>184392</t>
  </si>
  <si>
    <t>184391</t>
  </si>
  <si>
    <t>183179</t>
  </si>
  <si>
    <t>183678</t>
  </si>
  <si>
    <t>182485</t>
  </si>
  <si>
    <t>182486</t>
  </si>
  <si>
    <t>184066</t>
  </si>
  <si>
    <t>184067</t>
  </si>
  <si>
    <t>184068</t>
  </si>
  <si>
    <t>182066</t>
  </si>
  <si>
    <t>183899</t>
  </si>
  <si>
    <t>181987</t>
  </si>
  <si>
    <t>183471</t>
  </si>
  <si>
    <t>183168</t>
  </si>
  <si>
    <t>183677</t>
  </si>
  <si>
    <t>183177</t>
  </si>
  <si>
    <t>183178</t>
  </si>
  <si>
    <t>181668</t>
  </si>
  <si>
    <t>181670</t>
  </si>
  <si>
    <t>181669</t>
  </si>
  <si>
    <t>181667</t>
  </si>
  <si>
    <t>181666</t>
  </si>
  <si>
    <t>183369</t>
  </si>
  <si>
    <t>182895</t>
  </si>
  <si>
    <t>182894</t>
  </si>
  <si>
    <t>182888</t>
  </si>
  <si>
    <t>182773</t>
  </si>
  <si>
    <t>182573</t>
  </si>
  <si>
    <t>182572</t>
  </si>
  <si>
    <t>182571</t>
  </si>
  <si>
    <t>182570</t>
  </si>
  <si>
    <t>182569</t>
  </si>
  <si>
    <t>182477</t>
  </si>
  <si>
    <t>180694</t>
  </si>
  <si>
    <t>180693</t>
  </si>
  <si>
    <t>182489</t>
  </si>
  <si>
    <t>182466</t>
  </si>
  <si>
    <t>181674</t>
  </si>
  <si>
    <t>181665</t>
  </si>
  <si>
    <t>181573</t>
  </si>
  <si>
    <t>181572</t>
  </si>
  <si>
    <t>181571</t>
  </si>
  <si>
    <t>181565</t>
  </si>
  <si>
    <t>182282</t>
  </si>
  <si>
    <t>182079</t>
  </si>
  <si>
    <t>182078</t>
  </si>
  <si>
    <t>182077</t>
  </si>
  <si>
    <t>182076</t>
  </si>
  <si>
    <t>182075</t>
  </si>
  <si>
    <t>182074</t>
  </si>
  <si>
    <t>181873</t>
  </si>
  <si>
    <t>181872</t>
  </si>
  <si>
    <t>181676</t>
  </si>
  <si>
    <t>181393</t>
  </si>
  <si>
    <t>181392</t>
  </si>
  <si>
    <t>181391</t>
  </si>
  <si>
    <t>181390</t>
  </si>
  <si>
    <t>181389</t>
  </si>
  <si>
    <t>181388</t>
  </si>
  <si>
    <t>181278</t>
  </si>
  <si>
    <t>181277</t>
  </si>
  <si>
    <t>181276</t>
  </si>
  <si>
    <t>181275</t>
  </si>
  <si>
    <t>180988</t>
  </si>
  <si>
    <t>180987</t>
  </si>
  <si>
    <t>180986</t>
  </si>
  <si>
    <t>180977</t>
  </si>
  <si>
    <t>180976</t>
  </si>
  <si>
    <t>180975</t>
  </si>
  <si>
    <t>180974</t>
  </si>
  <si>
    <t>180973</t>
  </si>
  <si>
    <t>180698</t>
  </si>
  <si>
    <t>180697</t>
  </si>
  <si>
    <t>180696</t>
  </si>
  <si>
    <t>180695</t>
  </si>
  <si>
    <t>180479</t>
  </si>
  <si>
    <t>180376</t>
  </si>
  <si>
    <t>180375</t>
  </si>
  <si>
    <t>180374</t>
  </si>
  <si>
    <t>180373</t>
  </si>
  <si>
    <t>180372</t>
  </si>
  <si>
    <t>180371</t>
  </si>
  <si>
    <t>180370</t>
  </si>
  <si>
    <t>180369</t>
  </si>
  <si>
    <t>186231</t>
  </si>
  <si>
    <t>186230</t>
  </si>
  <si>
    <t>186229</t>
  </si>
  <si>
    <t>185938</t>
  </si>
  <si>
    <t>185937</t>
  </si>
  <si>
    <t>185742</t>
  </si>
  <si>
    <t>185741</t>
  </si>
  <si>
    <t>185740</t>
  </si>
  <si>
    <t>185737</t>
  </si>
  <si>
    <t>185736</t>
  </si>
  <si>
    <t>185735</t>
  </si>
  <si>
    <t>185712</t>
  </si>
  <si>
    <t>185711</t>
  </si>
  <si>
    <t>185611</t>
  </si>
  <si>
    <t>185610</t>
  </si>
  <si>
    <t>185538</t>
  </si>
  <si>
    <t>185605</t>
  </si>
  <si>
    <t>185604</t>
  </si>
  <si>
    <t>185603</t>
  </si>
  <si>
    <t>185602</t>
  </si>
  <si>
    <t>185560</t>
  </si>
  <si>
    <t>185559</t>
  </si>
  <si>
    <t>185431</t>
  </si>
  <si>
    <t>185430</t>
  </si>
  <si>
    <t>185233</t>
  </si>
  <si>
    <t>185231</t>
  </si>
  <si>
    <t>185230</t>
  </si>
  <si>
    <t>185229</t>
  </si>
  <si>
    <t>185228</t>
  </si>
  <si>
    <t>185227</t>
  </si>
  <si>
    <t>185226</t>
  </si>
  <si>
    <t>185220</t>
  </si>
  <si>
    <t>185025</t>
  </si>
  <si>
    <t>185020</t>
  </si>
  <si>
    <t>184818</t>
  </si>
  <si>
    <t>184817</t>
  </si>
  <si>
    <t>182819</t>
  </si>
  <si>
    <t>182818</t>
  </si>
  <si>
    <t>182550</t>
  </si>
  <si>
    <t>184813</t>
  </si>
  <si>
    <t>184812</t>
  </si>
  <si>
    <t>184811</t>
  </si>
  <si>
    <t>184810</t>
  </si>
  <si>
    <t>184809</t>
  </si>
  <si>
    <t>182549</t>
  </si>
  <si>
    <t>182548</t>
  </si>
  <si>
    <t>185126</t>
  </si>
  <si>
    <t>185125</t>
  </si>
  <si>
    <t>185124</t>
  </si>
  <si>
    <t>185123</t>
  </si>
  <si>
    <t>185122</t>
  </si>
  <si>
    <t>185121</t>
  </si>
  <si>
    <t>185120</t>
  </si>
  <si>
    <t>185119</t>
  </si>
  <si>
    <t>184743</t>
  </si>
  <si>
    <t>184742</t>
  </si>
  <si>
    <t>184741</t>
  </si>
  <si>
    <t>184740</t>
  </si>
  <si>
    <t>184739</t>
  </si>
  <si>
    <t>184738</t>
  </si>
  <si>
    <t>184737</t>
  </si>
  <si>
    <t>184736</t>
  </si>
  <si>
    <t>184463</t>
  </si>
  <si>
    <t>184462</t>
  </si>
  <si>
    <t>184461</t>
  </si>
  <si>
    <t>184460</t>
  </si>
  <si>
    <t>184459</t>
  </si>
  <si>
    <t>184458</t>
  </si>
  <si>
    <t>184457</t>
  </si>
  <si>
    <t>184456</t>
  </si>
  <si>
    <t>183257</t>
  </si>
  <si>
    <t>183256</t>
  </si>
  <si>
    <t>183255</t>
  </si>
  <si>
    <t>183253</t>
  </si>
  <si>
    <t>183252</t>
  </si>
  <si>
    <t>183251</t>
  </si>
  <si>
    <t>183745</t>
  </si>
  <si>
    <t>183744</t>
  </si>
  <si>
    <t>183743</t>
  </si>
  <si>
    <t>183742</t>
  </si>
  <si>
    <t>183741</t>
  </si>
  <si>
    <t>183740</t>
  </si>
  <si>
    <t>183739</t>
  </si>
  <si>
    <t>183042</t>
  </si>
  <si>
    <t>183041</t>
  </si>
  <si>
    <t>183040</t>
  </si>
  <si>
    <t>183039</t>
  </si>
  <si>
    <t>183038</t>
  </si>
  <si>
    <t>183037</t>
  </si>
  <si>
    <t>183036</t>
  </si>
  <si>
    <t>183035</t>
  </si>
  <si>
    <t>182518</t>
  </si>
  <si>
    <t>182517</t>
  </si>
  <si>
    <t>182516</t>
  </si>
  <si>
    <t>182515</t>
  </si>
  <si>
    <t>182514</t>
  </si>
  <si>
    <t>182513</t>
  </si>
  <si>
    <t>182512</t>
  </si>
  <si>
    <t>181830</t>
  </si>
  <si>
    <t>182021</t>
  </si>
  <si>
    <t>182020</t>
  </si>
  <si>
    <t>182018</t>
  </si>
  <si>
    <t>182017</t>
  </si>
  <si>
    <t>182016</t>
  </si>
  <si>
    <t>181660</t>
  </si>
  <si>
    <t>No</t>
  </si>
  <si>
    <t>181659</t>
  </si>
  <si>
    <t>181658</t>
  </si>
  <si>
    <t>181652</t>
  </si>
  <si>
    <t>181651</t>
  </si>
  <si>
    <t>181650</t>
  </si>
  <si>
    <t>181649</t>
  </si>
  <si>
    <t>181648</t>
  </si>
  <si>
    <t>181647</t>
  </si>
  <si>
    <t>181646</t>
  </si>
  <si>
    <t>181645</t>
  </si>
  <si>
    <t>181644</t>
  </si>
  <si>
    <t>181362</t>
  </si>
  <si>
    <t>181361</t>
  </si>
  <si>
    <t>181360</t>
  </si>
  <si>
    <t>181359</t>
  </si>
  <si>
    <t>181358</t>
  </si>
  <si>
    <t>181357</t>
  </si>
  <si>
    <t>180631</t>
  </si>
  <si>
    <t>180630</t>
  </si>
  <si>
    <t>180629</t>
  </si>
  <si>
    <t>181158</t>
  </si>
  <si>
    <t>181157</t>
  </si>
  <si>
    <t>181156</t>
  </si>
  <si>
    <t>181155</t>
  </si>
  <si>
    <t>181154</t>
  </si>
  <si>
    <t>181153</t>
  </si>
  <si>
    <t>181152</t>
  </si>
  <si>
    <t>181151</t>
  </si>
  <si>
    <t>181150</t>
  </si>
  <si>
    <t>180422</t>
  </si>
  <si>
    <t>180421</t>
  </si>
  <si>
    <t>180420</t>
  </si>
  <si>
    <t>180419</t>
  </si>
  <si>
    <t>180418</t>
  </si>
  <si>
    <t>180417</t>
  </si>
  <si>
    <t>180416</t>
  </si>
  <si>
    <t>180415</t>
  </si>
  <si>
    <t>021331</t>
  </si>
  <si>
    <t>026019</t>
  </si>
  <si>
    <t>021451</t>
  </si>
  <si>
    <t>021450</t>
  </si>
  <si>
    <t>021449</t>
  </si>
  <si>
    <t>021448</t>
  </si>
  <si>
    <t>020959</t>
  </si>
  <si>
    <t>020958</t>
  </si>
  <si>
    <t>020957</t>
  </si>
  <si>
    <t>020956</t>
  </si>
  <si>
    <t>026102</t>
  </si>
  <si>
    <t>026101</t>
  </si>
  <si>
    <t>026063</t>
  </si>
  <si>
    <t>026062</t>
  </si>
  <si>
    <t>020361</t>
  </si>
  <si>
    <t>020360</t>
  </si>
  <si>
    <t>020359</t>
  </si>
  <si>
    <t>020358</t>
  </si>
  <si>
    <t>020357</t>
  </si>
  <si>
    <t>025822</t>
  </si>
  <si>
    <t>025821</t>
  </si>
  <si>
    <t>025820</t>
  </si>
  <si>
    <t>025819</t>
  </si>
  <si>
    <t>025818</t>
  </si>
  <si>
    <t>025817</t>
  </si>
  <si>
    <t>025816</t>
  </si>
  <si>
    <t>025815</t>
  </si>
  <si>
    <t>025814</t>
  </si>
  <si>
    <t>025362</t>
  </si>
  <si>
    <t>025361</t>
  </si>
  <si>
    <t>025360</t>
  </si>
  <si>
    <t>025359</t>
  </si>
  <si>
    <t>025358</t>
  </si>
  <si>
    <t>024956</t>
  </si>
  <si>
    <t>024421</t>
  </si>
  <si>
    <t>024420</t>
  </si>
  <si>
    <t>024419</t>
  </si>
  <si>
    <t>024160</t>
  </si>
  <si>
    <t>024159</t>
  </si>
  <si>
    <t>024158</t>
  </si>
  <si>
    <t>024157</t>
  </si>
  <si>
    <t>024156</t>
  </si>
  <si>
    <t>024155</t>
  </si>
  <si>
    <t>024154</t>
  </si>
  <si>
    <t>024153</t>
  </si>
  <si>
    <t>024152</t>
  </si>
  <si>
    <t>023558</t>
  </si>
  <si>
    <t>023557</t>
  </si>
  <si>
    <t>023556</t>
  </si>
  <si>
    <t>023555</t>
  </si>
  <si>
    <t>023554</t>
  </si>
  <si>
    <t>023525</t>
  </si>
  <si>
    <t>023524</t>
  </si>
  <si>
    <t>023523</t>
  </si>
  <si>
    <t>023522</t>
  </si>
  <si>
    <t>023330</t>
  </si>
  <si>
    <t>023329</t>
  </si>
  <si>
    <t>023328</t>
  </si>
  <si>
    <t>023327</t>
  </si>
  <si>
    <t>023326</t>
  </si>
  <si>
    <t>023325</t>
  </si>
  <si>
    <t>023324</t>
  </si>
  <si>
    <t>023323</t>
  </si>
  <si>
    <t>023322</t>
  </si>
  <si>
    <t>022632</t>
  </si>
  <si>
    <t>022631</t>
  </si>
  <si>
    <t>022519</t>
  </si>
  <si>
    <t>022518</t>
  </si>
  <si>
    <t>022304</t>
  </si>
  <si>
    <t>022303</t>
  </si>
  <si>
    <t>021950</t>
  </si>
  <si>
    <t>021943</t>
  </si>
  <si>
    <t>021657</t>
  </si>
  <si>
    <t>021758</t>
  </si>
  <si>
    <t>021757</t>
  </si>
  <si>
    <t>021759</t>
  </si>
  <si>
    <t>021738</t>
  </si>
  <si>
    <t>021737</t>
  </si>
  <si>
    <t>021736</t>
  </si>
  <si>
    <t>021916</t>
  </si>
  <si>
    <t>020108</t>
  </si>
  <si>
    <t>020403</t>
  </si>
  <si>
    <t>185785</t>
  </si>
  <si>
    <t>PPS</t>
  </si>
  <si>
    <t>183480</t>
  </si>
  <si>
    <t>185890</t>
  </si>
  <si>
    <t>185889</t>
  </si>
  <si>
    <t>186321</t>
  </si>
  <si>
    <t>181673</t>
  </si>
  <si>
    <t>182884</t>
  </si>
  <si>
    <t>182887</t>
  </si>
  <si>
    <t>182886</t>
  </si>
  <si>
    <t>182885</t>
  </si>
  <si>
    <t>183295</t>
  </si>
  <si>
    <t>183296</t>
  </si>
  <si>
    <t>182765</t>
  </si>
  <si>
    <t>183294</t>
  </si>
  <si>
    <t>183481</t>
  </si>
  <si>
    <t>181874</t>
  </si>
  <si>
    <t>182772</t>
  </si>
  <si>
    <t>182771</t>
  </si>
  <si>
    <t>181368</t>
  </si>
  <si>
    <t>181367</t>
  </si>
  <si>
    <t>186132</t>
  </si>
  <si>
    <t>180894</t>
  </si>
  <si>
    <t>180593</t>
  </si>
  <si>
    <t>180592</t>
  </si>
  <si>
    <t>180591</t>
  </si>
  <si>
    <t>180468</t>
  </si>
  <si>
    <t>180299</t>
  </si>
  <si>
    <t>180298</t>
  </si>
  <si>
    <t>180297</t>
  </si>
  <si>
    <t>180296</t>
  </si>
  <si>
    <t>181579</t>
  </si>
  <si>
    <t>181296</t>
  </si>
  <si>
    <t>180491</t>
  </si>
  <si>
    <t>180475</t>
  </si>
  <si>
    <t>180474</t>
  </si>
  <si>
    <t>186239</t>
  </si>
  <si>
    <t>186238</t>
  </si>
  <si>
    <t>186237</t>
  </si>
  <si>
    <t>186236</t>
  </si>
  <si>
    <t>186235</t>
  </si>
  <si>
    <t>180170</t>
  </si>
  <si>
    <t>185917</t>
  </si>
  <si>
    <t>185916</t>
  </si>
  <si>
    <t>185915</t>
  </si>
  <si>
    <t>185914</t>
  </si>
  <si>
    <t>185913</t>
  </si>
  <si>
    <t>185912</t>
  </si>
  <si>
    <t>185911</t>
  </si>
  <si>
    <t>185910</t>
  </si>
  <si>
    <t>185809</t>
  </si>
  <si>
    <t>185808</t>
  </si>
  <si>
    <t>084328</t>
  </si>
  <si>
    <t>084327</t>
  </si>
  <si>
    <t>082414</t>
  </si>
  <si>
    <t>082350</t>
  </si>
  <si>
    <t>082345</t>
  </si>
  <si>
    <t>082344</t>
  </si>
  <si>
    <t>082343</t>
  </si>
  <si>
    <t>082339</t>
  </si>
  <si>
    <t>183725</t>
  </si>
  <si>
    <t>183724</t>
  </si>
  <si>
    <t>183722</t>
  </si>
  <si>
    <t>183721</t>
  </si>
  <si>
    <t>183718</t>
  </si>
  <si>
    <t>183717</t>
  </si>
  <si>
    <t>183716</t>
  </si>
  <si>
    <t>183412</t>
  </si>
  <si>
    <t>181914</t>
  </si>
  <si>
    <t>181913</t>
  </si>
  <si>
    <t>181912</t>
  </si>
  <si>
    <t>185505</t>
  </si>
  <si>
    <t>185504</t>
  </si>
  <si>
    <t>184855</t>
  </si>
  <si>
    <t>184854</t>
  </si>
  <si>
    <t>184844</t>
  </si>
  <si>
    <t>184843</t>
  </si>
  <si>
    <t>183844</t>
  </si>
  <si>
    <t>183843</t>
  </si>
  <si>
    <t>183828</t>
  </si>
  <si>
    <t>182844</t>
  </si>
  <si>
    <t>182842</t>
  </si>
  <si>
    <t>182139</t>
  </si>
  <si>
    <t>181411</t>
  </si>
  <si>
    <t>181410</t>
  </si>
  <si>
    <t>181404</t>
  </si>
  <si>
    <t>181403</t>
  </si>
  <si>
    <t>180817</t>
  </si>
  <si>
    <t>180816</t>
  </si>
  <si>
    <t>180815</t>
  </si>
  <si>
    <t>180814</t>
  </si>
  <si>
    <t>180316</t>
  </si>
  <si>
    <t>180315</t>
  </si>
  <si>
    <t>020810</t>
  </si>
  <si>
    <t>020809</t>
  </si>
  <si>
    <t>026034</t>
  </si>
  <si>
    <t>023701</t>
  </si>
  <si>
    <t>024702</t>
  </si>
  <si>
    <t>024701</t>
  </si>
  <si>
    <t>023727</t>
  </si>
  <si>
    <t>023360</t>
  </si>
  <si>
    <t>023359</t>
  </si>
  <si>
    <t>023358</t>
  </si>
  <si>
    <t>023357</t>
  </si>
  <si>
    <t>022711</t>
  </si>
  <si>
    <t>022710</t>
  </si>
  <si>
    <t>022557</t>
  </si>
  <si>
    <t>022556</t>
  </si>
  <si>
    <t>022302</t>
  </si>
  <si>
    <t>021947</t>
  </si>
  <si>
    <t>021854</t>
  </si>
  <si>
    <t>021731</t>
  </si>
  <si>
    <t>021634</t>
  </si>
  <si>
    <t>021816</t>
  </si>
  <si>
    <t>020308</t>
  </si>
  <si>
    <t>185195</t>
  </si>
  <si>
    <t>PHI</t>
  </si>
  <si>
    <t>184280</t>
  </si>
  <si>
    <t>180595</t>
  </si>
  <si>
    <t>184765</t>
  </si>
  <si>
    <t>183992</t>
  </si>
  <si>
    <t>184595</t>
  </si>
  <si>
    <t>184594</t>
  </si>
  <si>
    <t>184264</t>
  </si>
  <si>
    <t>184199</t>
  </si>
  <si>
    <t>184198</t>
  </si>
  <si>
    <t>183379</t>
  </si>
  <si>
    <t>183467</t>
  </si>
  <si>
    <t>183468</t>
  </si>
  <si>
    <t>183380</t>
  </si>
  <si>
    <t>182965</t>
  </si>
  <si>
    <t>182787</t>
  </si>
  <si>
    <t>182786</t>
  </si>
  <si>
    <t>182876</t>
  </si>
  <si>
    <t>182085</t>
  </si>
  <si>
    <t>182084</t>
  </si>
  <si>
    <t>182083</t>
  </si>
  <si>
    <t>180771</t>
  </si>
  <si>
    <t>180770</t>
  </si>
  <si>
    <t>181373</t>
  </si>
  <si>
    <t>181372</t>
  </si>
  <si>
    <t>181880</t>
  </si>
  <si>
    <t>181878</t>
  </si>
  <si>
    <t>180679</t>
  </si>
  <si>
    <t>185992</t>
  </si>
  <si>
    <t>185887</t>
  </si>
  <si>
    <t>185789</t>
  </si>
  <si>
    <t>184879</t>
  </si>
  <si>
    <t>184698</t>
  </si>
  <si>
    <t>183483</t>
  </si>
  <si>
    <t>185875</t>
  </si>
  <si>
    <t>185876</t>
  </si>
  <si>
    <t>184285</t>
  </si>
  <si>
    <t>184596</t>
  </si>
  <si>
    <t>185196</t>
  </si>
  <si>
    <t>184580</t>
  </si>
  <si>
    <t>184597</t>
  </si>
  <si>
    <t>182586</t>
  </si>
  <si>
    <t>184182</t>
  </si>
  <si>
    <t>182585</t>
  </si>
  <si>
    <t>182587</t>
  </si>
  <si>
    <t>182588</t>
  </si>
  <si>
    <t>183896</t>
  </si>
  <si>
    <t>184183</t>
  </si>
  <si>
    <t>183871</t>
  </si>
  <si>
    <t>182793</t>
  </si>
  <si>
    <t>183597</t>
  </si>
  <si>
    <t>183596</t>
  </si>
  <si>
    <t>183278</t>
  </si>
  <si>
    <t>183277</t>
  </si>
  <si>
    <t>181899</t>
  </si>
  <si>
    <t>182891</t>
  </si>
  <si>
    <t>181690</t>
  </si>
  <si>
    <t>183493</t>
  </si>
  <si>
    <t>183472</t>
  </si>
  <si>
    <t>182399</t>
  </si>
  <si>
    <t>182398</t>
  </si>
  <si>
    <t>181931</t>
  </si>
  <si>
    <t>181930</t>
  </si>
  <si>
    <t>182391</t>
  </si>
  <si>
    <t>182390</t>
  </si>
  <si>
    <t>181774</t>
  </si>
  <si>
    <t>181693</t>
  </si>
  <si>
    <t>181366</t>
  </si>
  <si>
    <t>181248</t>
  </si>
  <si>
    <t>185648</t>
  </si>
  <si>
    <t>182384</t>
  </si>
  <si>
    <t>182383</t>
  </si>
  <si>
    <t>181918</t>
  </si>
  <si>
    <t>181692</t>
  </si>
  <si>
    <t>181091</t>
  </si>
  <si>
    <t>180576</t>
  </si>
  <si>
    <t>181583</t>
  </si>
  <si>
    <t>181582</t>
  </si>
  <si>
    <t>181380</t>
  </si>
  <si>
    <t>181364</t>
  </si>
  <si>
    <t>180990</t>
  </si>
  <si>
    <t>180966</t>
  </si>
  <si>
    <t>180965</t>
  </si>
  <si>
    <t>180189</t>
  </si>
  <si>
    <t>180184</t>
  </si>
  <si>
    <t>180183</t>
  </si>
  <si>
    <t>185936</t>
  </si>
  <si>
    <t>185935</t>
  </si>
  <si>
    <t>185926</t>
  </si>
  <si>
    <t>185728</t>
  </si>
  <si>
    <t>185237</t>
  </si>
  <si>
    <t>185236</t>
  </si>
  <si>
    <t>185235</t>
  </si>
  <si>
    <t>185234</t>
  </si>
  <si>
    <t>185217</t>
  </si>
  <si>
    <t>185216</t>
  </si>
  <si>
    <t>185215</t>
  </si>
  <si>
    <t>184051</t>
  </si>
  <si>
    <t>184050</t>
  </si>
  <si>
    <t>181917</t>
  </si>
  <si>
    <t>181916</t>
  </si>
  <si>
    <t>181915</t>
  </si>
  <si>
    <t>185517</t>
  </si>
  <si>
    <t>185516</t>
  </si>
  <si>
    <t>185203</t>
  </si>
  <si>
    <t>185202</t>
  </si>
  <si>
    <t>185201</t>
  </si>
  <si>
    <t>184724</t>
  </si>
  <si>
    <t>184723</t>
  </si>
  <si>
    <t>184722</t>
  </si>
  <si>
    <t>182218</t>
  </si>
  <si>
    <t>182217</t>
  </si>
  <si>
    <t>182216</t>
  </si>
  <si>
    <t>182129</t>
  </si>
  <si>
    <t>182128</t>
  </si>
  <si>
    <t>183863</t>
  </si>
  <si>
    <t>183862</t>
  </si>
  <si>
    <t>182863</t>
  </si>
  <si>
    <t>182862</t>
  </si>
  <si>
    <t>182732</t>
  </si>
  <si>
    <t>182731</t>
  </si>
  <si>
    <t>181953</t>
  </si>
  <si>
    <t>181952</t>
  </si>
  <si>
    <t>181755</t>
  </si>
  <si>
    <t>181643</t>
  </si>
  <si>
    <t>181642</t>
  </si>
  <si>
    <t>181227</t>
  </si>
  <si>
    <t>180851</t>
  </si>
  <si>
    <t>180306</t>
  </si>
  <si>
    <t>180305</t>
  </si>
  <si>
    <t>180304</t>
  </si>
  <si>
    <t>020741</t>
  </si>
  <si>
    <t>020740</t>
  </si>
  <si>
    <t>020739</t>
  </si>
  <si>
    <t>020738</t>
  </si>
  <si>
    <t>025859</t>
  </si>
  <si>
    <t>025858</t>
  </si>
  <si>
    <t>025857</t>
  </si>
  <si>
    <t>025856</t>
  </si>
  <si>
    <t>025547</t>
  </si>
  <si>
    <t>025432</t>
  </si>
  <si>
    <t>025431</t>
  </si>
  <si>
    <t>024601</t>
  </si>
  <si>
    <t>024563</t>
  </si>
  <si>
    <t>024562</t>
  </si>
  <si>
    <t>024057</t>
  </si>
  <si>
    <t>023730</t>
  </si>
  <si>
    <t>023535</t>
  </si>
  <si>
    <t>185803</t>
  </si>
  <si>
    <t>NAN</t>
  </si>
  <si>
    <t>185802</t>
  </si>
  <si>
    <t>185717</t>
  </si>
  <si>
    <t>185716</t>
  </si>
  <si>
    <t>185715</t>
  </si>
  <si>
    <t>185714</t>
  </si>
  <si>
    <t>185713</t>
  </si>
  <si>
    <t>185528</t>
  </si>
  <si>
    <t>185527</t>
  </si>
  <si>
    <t>184718</t>
  </si>
  <si>
    <t>184717</t>
  </si>
  <si>
    <t>184716</t>
  </si>
  <si>
    <t>184715</t>
  </si>
  <si>
    <t>183206</t>
  </si>
  <si>
    <t>183205</t>
  </si>
  <si>
    <t>184554</t>
  </si>
  <si>
    <t>184553</t>
  </si>
  <si>
    <t>184552</t>
  </si>
  <si>
    <t>184336</t>
  </si>
  <si>
    <t>184335</t>
  </si>
  <si>
    <t>184334</t>
  </si>
  <si>
    <t>184333</t>
  </si>
  <si>
    <t>184332</t>
  </si>
  <si>
    <t>184331</t>
  </si>
  <si>
    <t>183223</t>
  </si>
  <si>
    <t>182408</t>
  </si>
  <si>
    <t>182747</t>
  </si>
  <si>
    <t>182746</t>
  </si>
  <si>
    <t>182306</t>
  </si>
  <si>
    <t>181716</t>
  </si>
  <si>
    <t>180358</t>
  </si>
  <si>
    <t>180357</t>
  </si>
  <si>
    <t>182159</t>
  </si>
  <si>
    <t>181324</t>
  </si>
  <si>
    <t>181323</t>
  </si>
  <si>
    <t>181035</t>
  </si>
  <si>
    <t>181034</t>
  </si>
  <si>
    <t>181033</t>
  </si>
  <si>
    <t>181032</t>
  </si>
  <si>
    <t>181014</t>
  </si>
  <si>
    <t>181013</t>
  </si>
  <si>
    <t>180549</t>
  </si>
  <si>
    <t>180548</t>
  </si>
  <si>
    <t>180526</t>
  </si>
  <si>
    <t>180525</t>
  </si>
  <si>
    <t>180524</t>
  </si>
  <si>
    <t>180523</t>
  </si>
  <si>
    <t>026157</t>
  </si>
  <si>
    <t>026156</t>
  </si>
  <si>
    <t>021143</t>
  </si>
  <si>
    <t>021142</t>
  </si>
  <si>
    <t>021141</t>
  </si>
  <si>
    <t>026308</t>
  </si>
  <si>
    <t>026305</t>
  </si>
  <si>
    <t>026304</t>
  </si>
  <si>
    <t>026303</t>
  </si>
  <si>
    <t>026061</t>
  </si>
  <si>
    <t>026060</t>
  </si>
  <si>
    <t>026059</t>
  </si>
  <si>
    <t>026058</t>
  </si>
  <si>
    <t>025005</t>
  </si>
  <si>
    <t>025004</t>
  </si>
  <si>
    <t>025003</t>
  </si>
  <si>
    <t>025002</t>
  </si>
  <si>
    <t>022504</t>
  </si>
  <si>
    <t>021600</t>
  </si>
  <si>
    <t>081929</t>
  </si>
  <si>
    <t>185190</t>
  </si>
  <si>
    <t>MSH</t>
  </si>
  <si>
    <t>185189</t>
  </si>
  <si>
    <t>184684</t>
  </si>
  <si>
    <t>182599</t>
  </si>
  <si>
    <t>185364</t>
  </si>
  <si>
    <t>185365</t>
  </si>
  <si>
    <t>184581</t>
  </si>
  <si>
    <t>180193</t>
  </si>
  <si>
    <t>183991</t>
  </si>
  <si>
    <t>183990</t>
  </si>
  <si>
    <t>183989</t>
  </si>
  <si>
    <t>183978</t>
  </si>
  <si>
    <t>183977</t>
  </si>
  <si>
    <t>183976</t>
  </si>
  <si>
    <t>180270</t>
  </si>
  <si>
    <t>183870</t>
  </si>
  <si>
    <t>180271</t>
  </si>
  <si>
    <t>180272</t>
  </si>
  <si>
    <t>183689</t>
  </si>
  <si>
    <t>183195</t>
  </si>
  <si>
    <t>182792</t>
  </si>
  <si>
    <t>182791</t>
  </si>
  <si>
    <t>183194</t>
  </si>
  <si>
    <t>183193</t>
  </si>
  <si>
    <t>180283</t>
  </si>
  <si>
    <t>182199</t>
  </si>
  <si>
    <t>182198</t>
  </si>
  <si>
    <t>182197</t>
  </si>
  <si>
    <t>181371</t>
  </si>
  <si>
    <t>181370</t>
  </si>
  <si>
    <t>181369</t>
  </si>
  <si>
    <t>181195</t>
  </si>
  <si>
    <t>180767</t>
  </si>
  <si>
    <t>180766</t>
  </si>
  <si>
    <t>180477</t>
  </si>
  <si>
    <t>180269</t>
  </si>
  <si>
    <t>180268</t>
  </si>
  <si>
    <t>180267</t>
  </si>
  <si>
    <t>180266</t>
  </si>
  <si>
    <t>184706</t>
  </si>
  <si>
    <t>184705</t>
  </si>
  <si>
    <t>184704</t>
  </si>
  <si>
    <t>184503</t>
  </si>
  <si>
    <t>184502</t>
  </si>
  <si>
    <t>184501</t>
  </si>
  <si>
    <t>182203</t>
  </si>
  <si>
    <t>182202</t>
  </si>
  <si>
    <t>182201</t>
  </si>
  <si>
    <t>183152</t>
  </si>
  <si>
    <t>183151</t>
  </si>
  <si>
    <t>183150</t>
  </si>
  <si>
    <t>184215</t>
  </si>
  <si>
    <t>182501</t>
  </si>
  <si>
    <t>182461</t>
  </si>
  <si>
    <t>181640</t>
  </si>
  <si>
    <t>181440</t>
  </si>
  <si>
    <t>180854</t>
  </si>
  <si>
    <t>180343</t>
  </si>
  <si>
    <t>180342</t>
  </si>
  <si>
    <t>021531</t>
  </si>
  <si>
    <t>021530</t>
  </si>
  <si>
    <t>020426</t>
  </si>
  <si>
    <t>020425</t>
  </si>
  <si>
    <t>020424</t>
  </si>
  <si>
    <t>020423</t>
  </si>
  <si>
    <t>025826</t>
  </si>
  <si>
    <t>025825</t>
  </si>
  <si>
    <t>025824</t>
  </si>
  <si>
    <t>025823</t>
  </si>
  <si>
    <t>025341</t>
  </si>
  <si>
    <t>025340</t>
  </si>
  <si>
    <t>025339</t>
  </si>
  <si>
    <t>025338</t>
  </si>
  <si>
    <t>024535</t>
  </si>
  <si>
    <t>024534</t>
  </si>
  <si>
    <t>023547</t>
  </si>
  <si>
    <t>023546</t>
  </si>
  <si>
    <t>023551</t>
  </si>
  <si>
    <t>023550</t>
  </si>
  <si>
    <t>185268</t>
  </si>
  <si>
    <t>KLY</t>
  </si>
  <si>
    <t>185385</t>
  </si>
  <si>
    <t>185384</t>
  </si>
  <si>
    <t>184997</t>
  </si>
  <si>
    <t>184990</t>
  </si>
  <si>
    <t>184287</t>
  </si>
  <si>
    <t>181291</t>
  </si>
  <si>
    <t>184276</t>
  </si>
  <si>
    <t>182875</t>
  </si>
  <si>
    <t>182187</t>
  </si>
  <si>
    <t>185751</t>
  </si>
  <si>
    <t>185750</t>
  </si>
  <si>
    <t>186027</t>
  </si>
  <si>
    <t>183170</t>
  </si>
  <si>
    <t>185616</t>
  </si>
  <si>
    <t>185615</t>
  </si>
  <si>
    <t>185614</t>
  </si>
  <si>
    <t>186248</t>
  </si>
  <si>
    <t>186247</t>
  </si>
  <si>
    <t>186028</t>
  </si>
  <si>
    <t>186026</t>
  </si>
  <si>
    <t>182184</t>
  </si>
  <si>
    <t>182183</t>
  </si>
  <si>
    <t>182182</t>
  </si>
  <si>
    <t>182181</t>
  </si>
  <si>
    <t>180785</t>
  </si>
  <si>
    <t>180784</t>
  </si>
  <si>
    <t>181290</t>
  </si>
  <si>
    <t>181285</t>
  </si>
  <si>
    <t>186259</t>
  </si>
  <si>
    <t>186245</t>
  </si>
  <si>
    <t>180874</t>
  </si>
  <si>
    <t>186135</t>
  </si>
  <si>
    <t>186133</t>
  </si>
  <si>
    <t>185642</t>
  </si>
  <si>
    <t>020159</t>
  </si>
  <si>
    <t>084326</t>
  </si>
  <si>
    <t>084325</t>
  </si>
  <si>
    <t>185643</t>
  </si>
  <si>
    <t>185629</t>
  </si>
  <si>
    <t>184439</t>
  </si>
  <si>
    <t>184831</t>
  </si>
  <si>
    <t>184830</t>
  </si>
  <si>
    <t>184827</t>
  </si>
  <si>
    <t>184420</t>
  </si>
  <si>
    <t>184302</t>
  </si>
  <si>
    <t>180148</t>
  </si>
  <si>
    <t>184621</t>
  </si>
  <si>
    <t>184562</t>
  </si>
  <si>
    <t>182755</t>
  </si>
  <si>
    <t>026126</t>
  </si>
  <si>
    <t>026125</t>
  </si>
  <si>
    <t>026124</t>
  </si>
  <si>
    <t>024847</t>
  </si>
  <si>
    <t>024841</t>
  </si>
  <si>
    <t>024007</t>
  </si>
  <si>
    <t>023059</t>
  </si>
  <si>
    <t>185192</t>
  </si>
  <si>
    <t>KLM</t>
  </si>
  <si>
    <t>185191</t>
  </si>
  <si>
    <t>181681</t>
  </si>
  <si>
    <t>185166</t>
  </si>
  <si>
    <t>184172</t>
  </si>
  <si>
    <t>185167</t>
  </si>
  <si>
    <t>184371</t>
  </si>
  <si>
    <t>184370</t>
  </si>
  <si>
    <t>184272</t>
  </si>
  <si>
    <t>184084</t>
  </si>
  <si>
    <t>184083</t>
  </si>
  <si>
    <t>183499</t>
  </si>
  <si>
    <t>184278</t>
  </si>
  <si>
    <t>184277</t>
  </si>
  <si>
    <t>184271</t>
  </si>
  <si>
    <t>184270</t>
  </si>
  <si>
    <t>184269</t>
  </si>
  <si>
    <t>184268</t>
  </si>
  <si>
    <t>184267</t>
  </si>
  <si>
    <t>184081</t>
  </si>
  <si>
    <t>182893</t>
  </si>
  <si>
    <t>183182</t>
  </si>
  <si>
    <t>183374</t>
  </si>
  <si>
    <t>180586</t>
  </si>
  <si>
    <t>180585</t>
  </si>
  <si>
    <t>183180</t>
  </si>
  <si>
    <t>180589</t>
  </si>
  <si>
    <t>180588</t>
  </si>
  <si>
    <t>183174</t>
  </si>
  <si>
    <t>183173</t>
  </si>
  <si>
    <t>183172</t>
  </si>
  <si>
    <t>183171</t>
  </si>
  <si>
    <t>183169</t>
  </si>
  <si>
    <t>182195</t>
  </si>
  <si>
    <t>183176</t>
  </si>
  <si>
    <t>183175</t>
  </si>
  <si>
    <t>181687</t>
  </si>
  <si>
    <t>180865</t>
  </si>
  <si>
    <t>180864</t>
  </si>
  <si>
    <t>182185</t>
  </si>
  <si>
    <t>182175</t>
  </si>
  <si>
    <t>182174</t>
  </si>
  <si>
    <t>181983</t>
  </si>
  <si>
    <t>181981</t>
  </si>
  <si>
    <t>181973</t>
  </si>
  <si>
    <t>181684</t>
  </si>
  <si>
    <t>181683</t>
  </si>
  <si>
    <t>181597</t>
  </si>
  <si>
    <t>181596</t>
  </si>
  <si>
    <t>181595</t>
  </si>
  <si>
    <t>180872</t>
  </si>
  <si>
    <t>180871</t>
  </si>
  <si>
    <t>181289</t>
  </si>
  <si>
    <t>181288</t>
  </si>
  <si>
    <t>181287</t>
  </si>
  <si>
    <t>181286</t>
  </si>
  <si>
    <t>180794</t>
  </si>
  <si>
    <t>180793</t>
  </si>
  <si>
    <t>180792</t>
  </si>
  <si>
    <t>180791</t>
  </si>
  <si>
    <t>180790</t>
  </si>
  <si>
    <t>180789</t>
  </si>
  <si>
    <t>180786</t>
  </si>
  <si>
    <t>180783</t>
  </si>
  <si>
    <t>180782</t>
  </si>
  <si>
    <t>180781</t>
  </si>
  <si>
    <t>186262</t>
  </si>
  <si>
    <t>186261</t>
  </si>
  <si>
    <t>186258</t>
  </si>
  <si>
    <t>186257</t>
  </si>
  <si>
    <t>186246</t>
  </si>
  <si>
    <t>186022</t>
  </si>
  <si>
    <t>186021</t>
  </si>
  <si>
    <t>180869</t>
  </si>
  <si>
    <t>180868</t>
  </si>
  <si>
    <t>180867</t>
  </si>
  <si>
    <t>180866</t>
  </si>
  <si>
    <t>186234</t>
  </si>
  <si>
    <t>186233</t>
  </si>
  <si>
    <t>186232</t>
  </si>
  <si>
    <t>183639</t>
  </si>
  <si>
    <t>180182</t>
  </si>
  <si>
    <t>186005</t>
  </si>
  <si>
    <t>185927</t>
  </si>
  <si>
    <t>185645</t>
  </si>
  <si>
    <t>185555</t>
  </si>
  <si>
    <t>185554</t>
  </si>
  <si>
    <t>185256</t>
  </si>
  <si>
    <t>185255</t>
  </si>
  <si>
    <t>185254</t>
  </si>
  <si>
    <t>185253</t>
  </si>
  <si>
    <t>185252</t>
  </si>
  <si>
    <t>185251</t>
  </si>
  <si>
    <t>183531</t>
  </si>
  <si>
    <t>183530</t>
  </si>
  <si>
    <t>185655</t>
  </si>
  <si>
    <t>185654</t>
  </si>
  <si>
    <t>185653</t>
  </si>
  <si>
    <t>185652</t>
  </si>
  <si>
    <t>185409</t>
  </si>
  <si>
    <t>185060</t>
  </si>
  <si>
    <t>185540</t>
  </si>
  <si>
    <t>185539</t>
  </si>
  <si>
    <t>185402</t>
  </si>
  <si>
    <t>185401</t>
  </si>
  <si>
    <t>185341</t>
  </si>
  <si>
    <t>185340</t>
  </si>
  <si>
    <t>185058</t>
  </si>
  <si>
    <t>185057</t>
  </si>
  <si>
    <t>185056</t>
  </si>
  <si>
    <t>184243</t>
  </si>
  <si>
    <t>185051</t>
  </si>
  <si>
    <t>185050</t>
  </si>
  <si>
    <t>185049</t>
  </si>
  <si>
    <t>185048</t>
  </si>
  <si>
    <t>185047</t>
  </si>
  <si>
    <t>185046</t>
  </si>
  <si>
    <t>185045</t>
  </si>
  <si>
    <t>183506</t>
  </si>
  <si>
    <t>184627</t>
  </si>
  <si>
    <t>184626</t>
  </si>
  <si>
    <t>184625</t>
  </si>
  <si>
    <t>184624</t>
  </si>
  <si>
    <t>184623</t>
  </si>
  <si>
    <t>184622</t>
  </si>
  <si>
    <t>184308</t>
  </si>
  <si>
    <t>184604</t>
  </si>
  <si>
    <t>184603</t>
  </si>
  <si>
    <t>184602</t>
  </si>
  <si>
    <t>184601</t>
  </si>
  <si>
    <t>184563</t>
  </si>
  <si>
    <t>184561</t>
  </si>
  <si>
    <t>184560</t>
  </si>
  <si>
    <t>182959</t>
  </si>
  <si>
    <t>184214</t>
  </si>
  <si>
    <t>184213</t>
  </si>
  <si>
    <t>184212</t>
  </si>
  <si>
    <t>183516</t>
  </si>
  <si>
    <t>183063</t>
  </si>
  <si>
    <t>183308</t>
  </si>
  <si>
    <t>183307</t>
  </si>
  <si>
    <t>182810</t>
  </si>
  <si>
    <t>182809</t>
  </si>
  <si>
    <t>182808</t>
  </si>
  <si>
    <t>182807</t>
  </si>
  <si>
    <t>182806</t>
  </si>
  <si>
    <t>182754</t>
  </si>
  <si>
    <t>182753</t>
  </si>
  <si>
    <t>182752</t>
  </si>
  <si>
    <t>182751</t>
  </si>
  <si>
    <t>182750</t>
  </si>
  <si>
    <t>182749</t>
  </si>
  <si>
    <t>182345</t>
  </si>
  <si>
    <t>182344</t>
  </si>
  <si>
    <t>182343</t>
  </si>
  <si>
    <t>182342</t>
  </si>
  <si>
    <t>182341</t>
  </si>
  <si>
    <t>182340</t>
  </si>
  <si>
    <t>182339</t>
  </si>
  <si>
    <t>182157</t>
  </si>
  <si>
    <t>182156</t>
  </si>
  <si>
    <t>182155</t>
  </si>
  <si>
    <t>180642</t>
  </si>
  <si>
    <t>180641</t>
  </si>
  <si>
    <t>180640</t>
  </si>
  <si>
    <t>180609</t>
  </si>
  <si>
    <t>180608</t>
  </si>
  <si>
    <t>181424</t>
  </si>
  <si>
    <t>181423</t>
  </si>
  <si>
    <t>021104</t>
  </si>
  <si>
    <t>181052</t>
  </si>
  <si>
    <t>181051</t>
  </si>
  <si>
    <t>181050</t>
  </si>
  <si>
    <t>181049</t>
  </si>
  <si>
    <t>181048</t>
  </si>
  <si>
    <t>181047</t>
  </si>
  <si>
    <t>181046</t>
  </si>
  <si>
    <t>023116</t>
  </si>
  <si>
    <t>021011</t>
  </si>
  <si>
    <t>021010</t>
  </si>
  <si>
    <t>021140</t>
  </si>
  <si>
    <t>021139</t>
  </si>
  <si>
    <t>021138</t>
  </si>
  <si>
    <t>021137</t>
  </si>
  <si>
    <t>021136</t>
  </si>
  <si>
    <t>021135</t>
  </si>
  <si>
    <t>021134</t>
  </si>
  <si>
    <t>021133</t>
  </si>
  <si>
    <t>026138</t>
  </si>
  <si>
    <t>026137</t>
  </si>
  <si>
    <t>020946</t>
  </si>
  <si>
    <t>020945</t>
  </si>
  <si>
    <t>020944</t>
  </si>
  <si>
    <t>020943</t>
  </si>
  <si>
    <t>020942</t>
  </si>
  <si>
    <t>020941</t>
  </si>
  <si>
    <t>020940</t>
  </si>
  <si>
    <t>026045</t>
  </si>
  <si>
    <t>026044</t>
  </si>
  <si>
    <t>026043</t>
  </si>
  <si>
    <t>026042</t>
  </si>
  <si>
    <t>026041</t>
  </si>
  <si>
    <t>026040</t>
  </si>
  <si>
    <t>026039</t>
  </si>
  <si>
    <t>025061</t>
  </si>
  <si>
    <t>025060</t>
  </si>
  <si>
    <t>024944</t>
  </si>
  <si>
    <t>024943</t>
  </si>
  <si>
    <t>024942</t>
  </si>
  <si>
    <t>024941</t>
  </si>
  <si>
    <t>024414</t>
  </si>
  <si>
    <t>024413</t>
  </si>
  <si>
    <t>024412</t>
  </si>
  <si>
    <t>024411</t>
  </si>
  <si>
    <t>024410</t>
  </si>
  <si>
    <t>023707</t>
  </si>
  <si>
    <t>023706</t>
  </si>
  <si>
    <t>023705</t>
  </si>
  <si>
    <t>023704</t>
  </si>
  <si>
    <t>023353</t>
  </si>
  <si>
    <t>023352</t>
  </si>
  <si>
    <t>023351</t>
  </si>
  <si>
    <t>023350</t>
  </si>
  <si>
    <t>023349</t>
  </si>
  <si>
    <t>023348</t>
  </si>
  <si>
    <t>023347</t>
  </si>
  <si>
    <t>023346</t>
  </si>
  <si>
    <t>022758</t>
  </si>
  <si>
    <t>022313</t>
  </si>
  <si>
    <t>022312</t>
  </si>
  <si>
    <t>021951</t>
  </si>
  <si>
    <t>021852</t>
  </si>
  <si>
    <t>022052</t>
  </si>
  <si>
    <t>020126</t>
  </si>
  <si>
    <t>022001</t>
  </si>
  <si>
    <t>KIT</t>
  </si>
  <si>
    <t>021614</t>
  </si>
  <si>
    <t>022048</t>
  </si>
  <si>
    <t>022034</t>
  </si>
  <si>
    <t>022050</t>
  </si>
  <si>
    <t>185967</t>
  </si>
  <si>
    <t>HAR</t>
  </si>
  <si>
    <t>185966</t>
  </si>
  <si>
    <t>185188</t>
  </si>
  <si>
    <t>185187</t>
  </si>
  <si>
    <t>185186</t>
  </si>
  <si>
    <t>185185</t>
  </si>
  <si>
    <t>185297</t>
  </si>
  <si>
    <t>185296</t>
  </si>
  <si>
    <t>185165</t>
  </si>
  <si>
    <t>185164</t>
  </si>
  <si>
    <t>185099</t>
  </si>
  <si>
    <t>185098</t>
  </si>
  <si>
    <t>184374</t>
  </si>
  <si>
    <t>184373</t>
  </si>
  <si>
    <t>184372</t>
  </si>
  <si>
    <t>184375</t>
  </si>
  <si>
    <t>183964</t>
  </si>
  <si>
    <t>183968</t>
  </si>
  <si>
    <t>182480</t>
  </si>
  <si>
    <t>180196</t>
  </si>
  <si>
    <t>183394</t>
  </si>
  <si>
    <t>183393</t>
  </si>
  <si>
    <t>183392</t>
  </si>
  <si>
    <t>183391</t>
  </si>
  <si>
    <t>182784</t>
  </si>
  <si>
    <t>182783</t>
  </si>
  <si>
    <t>182782</t>
  </si>
  <si>
    <t>182568</t>
  </si>
  <si>
    <t>182567</t>
  </si>
  <si>
    <t>182494</t>
  </si>
  <si>
    <t>182493</t>
  </si>
  <si>
    <t>182492</t>
  </si>
  <si>
    <t>182491</t>
  </si>
  <si>
    <t>182490</t>
  </si>
  <si>
    <t>181996</t>
  </si>
  <si>
    <t>181964</t>
  </si>
  <si>
    <t>181564</t>
  </si>
  <si>
    <t>181499</t>
  </si>
  <si>
    <t>181498</t>
  </si>
  <si>
    <t>181497</t>
  </si>
  <si>
    <t>181496</t>
  </si>
  <si>
    <t>180594</t>
  </si>
  <si>
    <t>181473</t>
  </si>
  <si>
    <t>181472</t>
  </si>
  <si>
    <t>181471</t>
  </si>
  <si>
    <t>181470</t>
  </si>
  <si>
    <t>180995</t>
  </si>
  <si>
    <t>180994</t>
  </si>
  <si>
    <t>180993</t>
  </si>
  <si>
    <t>180992</t>
  </si>
  <si>
    <t>180487</t>
  </si>
  <si>
    <t>180486</t>
  </si>
  <si>
    <t>180485</t>
  </si>
  <si>
    <t>180484</t>
  </si>
  <si>
    <t>185707</t>
  </si>
  <si>
    <t>185612</t>
  </si>
  <si>
    <t>185558</t>
  </si>
  <si>
    <t>185557</t>
  </si>
  <si>
    <t>185556</t>
  </si>
  <si>
    <t>185040</t>
  </si>
  <si>
    <t>185002</t>
  </si>
  <si>
    <t>185001</t>
  </si>
  <si>
    <t>186032</t>
  </si>
  <si>
    <t>186031</t>
  </si>
  <si>
    <t>186030</t>
  </si>
  <si>
    <t>185263</t>
  </si>
  <si>
    <t>185242</t>
  </si>
  <si>
    <t>185221</t>
  </si>
  <si>
    <t>184922</t>
  </si>
  <si>
    <t>025650</t>
  </si>
  <si>
    <t>025641</t>
  </si>
  <si>
    <t>184924</t>
  </si>
  <si>
    <t>184923</t>
  </si>
  <si>
    <t>184921</t>
  </si>
  <si>
    <t>184920</t>
  </si>
  <si>
    <t>184912</t>
  </si>
  <si>
    <t>184911</t>
  </si>
  <si>
    <t>184551</t>
  </si>
  <si>
    <t>184550</t>
  </si>
  <si>
    <t>182135</t>
  </si>
  <si>
    <t>182134</t>
  </si>
  <si>
    <t>182133</t>
  </si>
  <si>
    <t>182132</t>
  </si>
  <si>
    <t>183917</t>
  </si>
  <si>
    <t>183916</t>
  </si>
  <si>
    <t>183723</t>
  </si>
  <si>
    <t>182722</t>
  </si>
  <si>
    <t>181724</t>
  </si>
  <si>
    <t>183903</t>
  </si>
  <si>
    <t>183902</t>
  </si>
  <si>
    <t>183901</t>
  </si>
  <si>
    <t>182848</t>
  </si>
  <si>
    <t>182847</t>
  </si>
  <si>
    <t>182846</t>
  </si>
  <si>
    <t>182258</t>
  </si>
  <si>
    <t>182257</t>
  </si>
  <si>
    <t>182256</t>
  </si>
  <si>
    <t>181947</t>
  </si>
  <si>
    <t>181946</t>
  </si>
  <si>
    <t>181945</t>
  </si>
  <si>
    <t>181233</t>
  </si>
  <si>
    <t>181232</t>
  </si>
  <si>
    <t>181231</t>
  </si>
  <si>
    <t>180844</t>
  </si>
  <si>
    <t>180843</t>
  </si>
  <si>
    <t>180842</t>
  </si>
  <si>
    <t>180336</t>
  </si>
  <si>
    <t>180335</t>
  </si>
  <si>
    <t>021548</t>
  </si>
  <si>
    <t>021547</t>
  </si>
  <si>
    <t>020643</t>
  </si>
  <si>
    <t>020642</t>
  </si>
  <si>
    <t>020641</t>
  </si>
  <si>
    <t>025762</t>
  </si>
  <si>
    <t>025761</t>
  </si>
  <si>
    <t>024741</t>
  </si>
  <si>
    <t>024740</t>
  </si>
  <si>
    <t>024739</t>
  </si>
  <si>
    <t>024738</t>
  </si>
  <si>
    <t>024409</t>
  </si>
  <si>
    <t>024408</t>
  </si>
  <si>
    <t>024407</t>
  </si>
  <si>
    <t>024406</t>
  </si>
  <si>
    <t>024405</t>
  </si>
  <si>
    <t>024404</t>
  </si>
  <si>
    <t>024403</t>
  </si>
  <si>
    <t>024402</t>
  </si>
  <si>
    <t>024052</t>
  </si>
  <si>
    <t>024051</t>
  </si>
  <si>
    <t>023759</t>
  </si>
  <si>
    <t>023758</t>
  </si>
  <si>
    <t>023757</t>
  </si>
  <si>
    <t>023756</t>
  </si>
  <si>
    <t>023755</t>
  </si>
  <si>
    <t>023754</t>
  </si>
  <si>
    <t>023043</t>
  </si>
  <si>
    <t>023042</t>
  </si>
  <si>
    <t>023041</t>
  </si>
  <si>
    <t>022901</t>
  </si>
  <si>
    <t>022819</t>
  </si>
  <si>
    <t>022761</t>
  </si>
  <si>
    <t>022760</t>
  </si>
  <si>
    <t>022759</t>
  </si>
  <si>
    <t>022725</t>
  </si>
  <si>
    <t>022702</t>
  </si>
  <si>
    <t>022701</t>
  </si>
  <si>
    <t>022655</t>
  </si>
  <si>
    <t>022525</t>
  </si>
  <si>
    <t>022523</t>
  </si>
  <si>
    <t>022521</t>
  </si>
  <si>
    <t>022520</t>
  </si>
  <si>
    <t>022205</t>
  </si>
  <si>
    <t>022113</t>
  </si>
  <si>
    <t>022109</t>
  </si>
  <si>
    <t>185141</t>
  </si>
  <si>
    <t>DOM</t>
  </si>
  <si>
    <t>185140</t>
  </si>
  <si>
    <t>184656</t>
  </si>
  <si>
    <t>184655</t>
  </si>
  <si>
    <t>184346</t>
  </si>
  <si>
    <t>184345</t>
  </si>
  <si>
    <t>184620</t>
  </si>
  <si>
    <t>184619</t>
  </si>
  <si>
    <t>184350</t>
  </si>
  <si>
    <t>184349</t>
  </si>
  <si>
    <t>183243</t>
  </si>
  <si>
    <t>183242</t>
  </si>
  <si>
    <t>183234</t>
  </si>
  <si>
    <t>183233</t>
  </si>
  <si>
    <t>183204</t>
  </si>
  <si>
    <t>183203</t>
  </si>
  <si>
    <t>181510</t>
  </si>
  <si>
    <t>181509</t>
  </si>
  <si>
    <t>181504</t>
  </si>
  <si>
    <t>181503</t>
  </si>
  <si>
    <t>181432</t>
  </si>
  <si>
    <t>181020</t>
  </si>
  <si>
    <t>181019</t>
  </si>
  <si>
    <t>180544</t>
  </si>
  <si>
    <t>180543</t>
  </si>
  <si>
    <t>021327</t>
  </si>
  <si>
    <t>021326</t>
  </si>
  <si>
    <t>026342</t>
  </si>
  <si>
    <t>026341</t>
  </si>
  <si>
    <t>026340</t>
  </si>
  <si>
    <t>025250</t>
  </si>
  <si>
    <t>025249</t>
  </si>
  <si>
    <t>025248</t>
  </si>
  <si>
    <t>025247</t>
  </si>
  <si>
    <t>025246</t>
  </si>
  <si>
    <t>025209</t>
  </si>
  <si>
    <t>025208</t>
  </si>
  <si>
    <t>025207</t>
  </si>
  <si>
    <t>025043</t>
  </si>
  <si>
    <t>025042</t>
  </si>
  <si>
    <t>025031</t>
  </si>
  <si>
    <t>025030</t>
  </si>
  <si>
    <t>025029</t>
  </si>
  <si>
    <t>024120</t>
  </si>
  <si>
    <t>024119</t>
  </si>
  <si>
    <t>186325</t>
  </si>
  <si>
    <t>COW</t>
  </si>
  <si>
    <t>186324</t>
  </si>
  <si>
    <t>185380</t>
  </si>
  <si>
    <t>185184</t>
  </si>
  <si>
    <t>185183</t>
  </si>
  <si>
    <t>185182</t>
  </si>
  <si>
    <t>185181</t>
  </si>
  <si>
    <t>185180</t>
  </si>
  <si>
    <t>184887</t>
  </si>
  <si>
    <t>184886</t>
  </si>
  <si>
    <t>183683</t>
  </si>
  <si>
    <t>186326</t>
  </si>
  <si>
    <t>185080</t>
  </si>
  <si>
    <t>185079</t>
  </si>
  <si>
    <t>185078</t>
  </si>
  <si>
    <t>185077</t>
  </si>
  <si>
    <t>185083</t>
  </si>
  <si>
    <t>185082</t>
  </si>
  <si>
    <t>185081</t>
  </si>
  <si>
    <t>184265</t>
  </si>
  <si>
    <t>184196</t>
  </si>
  <si>
    <t>184195</t>
  </si>
  <si>
    <t>184194</t>
  </si>
  <si>
    <t>184193</t>
  </si>
  <si>
    <t>184074</t>
  </si>
  <si>
    <t>184377</t>
  </si>
  <si>
    <t>184293</t>
  </si>
  <si>
    <t>184298</t>
  </si>
  <si>
    <t>184297</t>
  </si>
  <si>
    <t>184296</t>
  </si>
  <si>
    <t>184295</t>
  </si>
  <si>
    <t>184294</t>
  </si>
  <si>
    <t>184299</t>
  </si>
  <si>
    <t>184281</t>
  </si>
  <si>
    <t>184396</t>
  </si>
  <si>
    <t>184395</t>
  </si>
  <si>
    <t>183981</t>
  </si>
  <si>
    <t>186044</t>
  </si>
  <si>
    <t>186043</t>
  </si>
  <si>
    <t>183780</t>
  </si>
  <si>
    <t>183779</t>
  </si>
  <si>
    <t>183778</t>
  </si>
  <si>
    <t>183777</t>
  </si>
  <si>
    <t>183681</t>
  </si>
  <si>
    <t>183988</t>
  </si>
  <si>
    <t>183987</t>
  </si>
  <si>
    <t>183986</t>
  </si>
  <si>
    <t>183985</t>
  </si>
  <si>
    <t>183984</t>
  </si>
  <si>
    <t>183983</t>
  </si>
  <si>
    <t>183982</t>
  </si>
  <si>
    <t>186224</t>
  </si>
  <si>
    <t>184073</t>
  </si>
  <si>
    <t>183599</t>
  </si>
  <si>
    <t>183598</t>
  </si>
  <si>
    <t>183669</t>
  </si>
  <si>
    <t>183668</t>
  </si>
  <si>
    <t>183485</t>
  </si>
  <si>
    <t>183093</t>
  </si>
  <si>
    <t>183092</t>
  </si>
  <si>
    <t>183091</t>
  </si>
  <si>
    <t>183090</t>
  </si>
  <si>
    <t>183288</t>
  </si>
  <si>
    <t>183287</t>
  </si>
  <si>
    <t>183286</t>
  </si>
  <si>
    <t>183285</t>
  </si>
  <si>
    <t>183284</t>
  </si>
  <si>
    <t>183283</t>
  </si>
  <si>
    <t>183282</t>
  </si>
  <si>
    <t>183281</t>
  </si>
  <si>
    <t>183368</t>
  </si>
  <si>
    <t>183367</t>
  </si>
  <si>
    <t>181698</t>
  </si>
  <si>
    <t>181697</t>
  </si>
  <si>
    <t>183167</t>
  </si>
  <si>
    <t>183166</t>
  </si>
  <si>
    <t>183165</t>
  </si>
  <si>
    <t>183164</t>
  </si>
  <si>
    <t>183099</t>
  </si>
  <si>
    <t>183098</t>
  </si>
  <si>
    <t>183097</t>
  </si>
  <si>
    <t>183096</t>
  </si>
  <si>
    <t>182082</t>
  </si>
  <si>
    <t>182081</t>
  </si>
  <si>
    <t>182080</t>
  </si>
  <si>
    <t>182073</t>
  </si>
  <si>
    <t>182072</t>
  </si>
  <si>
    <t>182071</t>
  </si>
  <si>
    <t>182070</t>
  </si>
  <si>
    <t>182069</t>
  </si>
  <si>
    <t>185729</t>
  </si>
  <si>
    <t>181985</t>
  </si>
  <si>
    <t>181984</t>
  </si>
  <si>
    <t>181980</t>
  </si>
  <si>
    <t>181979</t>
  </si>
  <si>
    <t>181978</t>
  </si>
  <si>
    <t>181977</t>
  </si>
  <si>
    <t>181976</t>
  </si>
  <si>
    <t>181975</t>
  </si>
  <si>
    <t>181974</t>
  </si>
  <si>
    <t>181892</t>
  </si>
  <si>
    <t>181891</t>
  </si>
  <si>
    <t>181890</t>
  </si>
  <si>
    <t>181889</t>
  </si>
  <si>
    <t>186310</t>
  </si>
  <si>
    <t>186309</t>
  </si>
  <si>
    <t>186228</t>
  </si>
  <si>
    <t>186110</t>
  </si>
  <si>
    <t>181399</t>
  </si>
  <si>
    <t>181398</t>
  </si>
  <si>
    <t>181397</t>
  </si>
  <si>
    <t>181396</t>
  </si>
  <si>
    <t>181395</t>
  </si>
  <si>
    <t>181394</t>
  </si>
  <si>
    <t>186308</t>
  </si>
  <si>
    <t>186307</t>
  </si>
  <si>
    <t>180968</t>
  </si>
  <si>
    <t>180967</t>
  </si>
  <si>
    <t>180890</t>
  </si>
  <si>
    <t>180889</t>
  </si>
  <si>
    <t>180888</t>
  </si>
  <si>
    <t>180678</t>
  </si>
  <si>
    <t>180493</t>
  </si>
  <si>
    <t>180492</t>
  </si>
  <si>
    <t>186318</t>
  </si>
  <si>
    <t>186317</t>
  </si>
  <si>
    <t>186316</t>
  </si>
  <si>
    <t>186315</t>
  </si>
  <si>
    <t>186314</t>
  </si>
  <si>
    <t>186313</t>
  </si>
  <si>
    <t>186312</t>
  </si>
  <si>
    <t>186311</t>
  </si>
  <si>
    <t>186137</t>
  </si>
  <si>
    <t>185705</t>
  </si>
  <si>
    <t>185345</t>
  </si>
  <si>
    <t>185344</t>
  </si>
  <si>
    <t>180473</t>
  </si>
  <si>
    <t>180472</t>
  </si>
  <si>
    <t>180471</t>
  </si>
  <si>
    <t>180470</t>
  </si>
  <si>
    <t>180469</t>
  </si>
  <si>
    <t>180396</t>
  </si>
  <si>
    <t>180395</t>
  </si>
  <si>
    <t>180377</t>
  </si>
  <si>
    <t>186227</t>
  </si>
  <si>
    <t>186226</t>
  </si>
  <si>
    <t>186225</t>
  </si>
  <si>
    <t>186220</t>
  </si>
  <si>
    <t>186219</t>
  </si>
  <si>
    <t>186016</t>
  </si>
  <si>
    <t>186015</t>
  </si>
  <si>
    <t>185359</t>
  </si>
  <si>
    <t>185358</t>
  </si>
  <si>
    <t>185357</t>
  </si>
  <si>
    <t>185356</t>
  </si>
  <si>
    <t>185355</t>
  </si>
  <si>
    <t>185339</t>
  </si>
  <si>
    <t>186042</t>
  </si>
  <si>
    <t>186039</t>
  </si>
  <si>
    <t>186037</t>
  </si>
  <si>
    <t>186036</t>
  </si>
  <si>
    <t>186035</t>
  </si>
  <si>
    <t>185834</t>
  </si>
  <si>
    <t>185833</t>
  </si>
  <si>
    <t>185832</t>
  </si>
  <si>
    <t>185820</t>
  </si>
  <si>
    <t>185819</t>
  </si>
  <si>
    <t>185818</t>
  </si>
  <si>
    <t>185812</t>
  </si>
  <si>
    <t>185811</t>
  </si>
  <si>
    <t>185810</t>
  </si>
  <si>
    <t>184836</t>
  </si>
  <si>
    <t>184422</t>
  </si>
  <si>
    <t>185704</t>
  </si>
  <si>
    <t>185703</t>
  </si>
  <si>
    <t>185702</t>
  </si>
  <si>
    <t>185701</t>
  </si>
  <si>
    <t>185663</t>
  </si>
  <si>
    <t>185662</t>
  </si>
  <si>
    <t>185661</t>
  </si>
  <si>
    <t>185660</t>
  </si>
  <si>
    <t>185016</t>
  </si>
  <si>
    <t>185015</t>
  </si>
  <si>
    <t>185014</t>
  </si>
  <si>
    <t>185013</t>
  </si>
  <si>
    <t>184919</t>
  </si>
  <si>
    <t>184918</t>
  </si>
  <si>
    <t>184646</t>
  </si>
  <si>
    <t>184645</t>
  </si>
  <si>
    <t>184644</t>
  </si>
  <si>
    <t>184643</t>
  </si>
  <si>
    <t>184642</t>
  </si>
  <si>
    <t>184641</t>
  </si>
  <si>
    <t>184640</t>
  </si>
  <si>
    <t>184639</t>
  </si>
  <si>
    <t>184547</t>
  </si>
  <si>
    <t>184546</t>
  </si>
  <si>
    <t>184539</t>
  </si>
  <si>
    <t>183217</t>
  </si>
  <si>
    <t>183216</t>
  </si>
  <si>
    <t>183126</t>
  </si>
  <si>
    <t>183125</t>
  </si>
  <si>
    <t>183124</t>
  </si>
  <si>
    <t>183123</t>
  </si>
  <si>
    <t>183122</t>
  </si>
  <si>
    <t>183121</t>
  </si>
  <si>
    <t>183120</t>
  </si>
  <si>
    <t>183119</t>
  </si>
  <si>
    <t>183733</t>
  </si>
  <si>
    <t>183732</t>
  </si>
  <si>
    <t>183731</t>
  </si>
  <si>
    <t>183730</t>
  </si>
  <si>
    <t>183729</t>
  </si>
  <si>
    <t>183728</t>
  </si>
  <si>
    <t>182805</t>
  </si>
  <si>
    <t>182804</t>
  </si>
  <si>
    <t>182803</t>
  </si>
  <si>
    <t>182802</t>
  </si>
  <si>
    <t>182801</t>
  </si>
  <si>
    <t>182763</t>
  </si>
  <si>
    <t>182762</t>
  </si>
  <si>
    <t>182761</t>
  </si>
  <si>
    <t>182745</t>
  </si>
  <si>
    <t>182744</t>
  </si>
  <si>
    <t>182743</t>
  </si>
  <si>
    <t>182742</t>
  </si>
  <si>
    <t>182741</t>
  </si>
  <si>
    <t>182740</t>
  </si>
  <si>
    <t>182031</t>
  </si>
  <si>
    <t>182030</t>
  </si>
  <si>
    <t>182029</t>
  </si>
  <si>
    <t>182028</t>
  </si>
  <si>
    <t>182027</t>
  </si>
  <si>
    <t>182026</t>
  </si>
  <si>
    <t>181438</t>
  </si>
  <si>
    <t>181437</t>
  </si>
  <si>
    <t>181436</t>
  </si>
  <si>
    <t>181322</t>
  </si>
  <si>
    <t>181321</t>
  </si>
  <si>
    <t>181320</t>
  </si>
  <si>
    <t>181044</t>
  </si>
  <si>
    <t>181042</t>
  </si>
  <si>
    <t>180550</t>
  </si>
  <si>
    <t>180210</t>
  </si>
  <si>
    <t>180518</t>
  </si>
  <si>
    <t>180517</t>
  </si>
  <si>
    <t>180516</t>
  </si>
  <si>
    <t>180515</t>
  </si>
  <si>
    <t>020341</t>
  </si>
  <si>
    <t>020340</t>
  </si>
  <si>
    <t>020339</t>
  </si>
  <si>
    <t>020338</t>
  </si>
  <si>
    <t>020337</t>
  </si>
  <si>
    <t>020336</t>
  </si>
  <si>
    <t>026103</t>
  </si>
  <si>
    <t>020939</t>
  </si>
  <si>
    <t>020938</t>
  </si>
  <si>
    <t>020624</t>
  </si>
  <si>
    <t>020623</t>
  </si>
  <si>
    <t>020622</t>
  </si>
  <si>
    <t>020522</t>
  </si>
  <si>
    <t>020352</t>
  </si>
  <si>
    <t>025524</t>
  </si>
  <si>
    <t>025523</t>
  </si>
  <si>
    <t>025017</t>
  </si>
  <si>
    <t>025016</t>
  </si>
  <si>
    <t>025015</t>
  </si>
  <si>
    <t>025013</t>
  </si>
  <si>
    <t>025012</t>
  </si>
  <si>
    <t>024860</t>
  </si>
  <si>
    <t>024946</t>
  </si>
  <si>
    <t>024945</t>
  </si>
  <si>
    <t>024735</t>
  </si>
  <si>
    <t>024730</t>
  </si>
  <si>
    <t>024729</t>
  </si>
  <si>
    <t>024334</t>
  </si>
  <si>
    <t>023911</t>
  </si>
  <si>
    <t>023804</t>
  </si>
  <si>
    <t>023803</t>
  </si>
  <si>
    <t>022831</t>
  </si>
  <si>
    <t>022339</t>
  </si>
  <si>
    <t>022307</t>
  </si>
  <si>
    <t>022158</t>
  </si>
  <si>
    <t>022060</t>
  </si>
  <si>
    <t>021846</t>
  </si>
  <si>
    <t>021658</t>
  </si>
  <si>
    <t>021602</t>
  </si>
  <si>
    <t>022125</t>
  </si>
  <si>
    <t>022119</t>
  </si>
  <si>
    <t>0000</t>
  </si>
  <si>
    <t>182467</t>
  </si>
  <si>
    <t>CHU</t>
  </si>
  <si>
    <t>181679</t>
  </si>
  <si>
    <t>180895</t>
  </si>
  <si>
    <t>180483</t>
  </si>
  <si>
    <t>180481</t>
  </si>
  <si>
    <t>186243</t>
  </si>
  <si>
    <t>186241</t>
  </si>
  <si>
    <t>185659</t>
  </si>
  <si>
    <t>185657</t>
  </si>
  <si>
    <t>185609</t>
  </si>
  <si>
    <t>185607</t>
  </si>
  <si>
    <t>185241</t>
  </si>
  <si>
    <t>185239</t>
  </si>
  <si>
    <t>185154</t>
  </si>
  <si>
    <t>185031</t>
  </si>
  <si>
    <t>185043</t>
  </si>
  <si>
    <t>185041</t>
  </si>
  <si>
    <t>185029</t>
  </si>
  <si>
    <t>185027</t>
  </si>
  <si>
    <t>185532</t>
  </si>
  <si>
    <t>185536</t>
  </si>
  <si>
    <t>185534</t>
  </si>
  <si>
    <t>184915</t>
  </si>
  <si>
    <t>184913</t>
  </si>
  <si>
    <t>184615</t>
  </si>
  <si>
    <t>184613</t>
  </si>
  <si>
    <t>184611</t>
  </si>
  <si>
    <t>184609</t>
  </si>
  <si>
    <t>184129</t>
  </si>
  <si>
    <t>184127</t>
  </si>
  <si>
    <t>184125</t>
  </si>
  <si>
    <t>184123</t>
  </si>
  <si>
    <t>184049</t>
  </si>
  <si>
    <t>184047</t>
  </si>
  <si>
    <t>185896</t>
  </si>
  <si>
    <t>CHI</t>
  </si>
  <si>
    <t>185895</t>
  </si>
  <si>
    <t>185894</t>
  </si>
  <si>
    <t>184475</t>
  </si>
  <si>
    <t>185293</t>
  </si>
  <si>
    <t>184474</t>
  </si>
  <si>
    <t>185292</t>
  </si>
  <si>
    <t>184385</t>
  </si>
  <si>
    <t>184382</t>
  </si>
  <si>
    <t>184383</t>
  </si>
  <si>
    <t>184384</t>
  </si>
  <si>
    <t>183692</t>
  </si>
  <si>
    <t>183691</t>
  </si>
  <si>
    <t>183470</t>
  </si>
  <si>
    <t>183469</t>
  </si>
  <si>
    <t>183865</t>
  </si>
  <si>
    <t>183864</t>
  </si>
  <si>
    <t>183898</t>
  </si>
  <si>
    <t>183897</t>
  </si>
  <si>
    <t>183272</t>
  </si>
  <si>
    <t>183270</t>
  </si>
  <si>
    <t>182973</t>
  </si>
  <si>
    <t>182971</t>
  </si>
  <si>
    <t>181972</t>
  </si>
  <si>
    <t>181971</t>
  </si>
  <si>
    <t>181865</t>
  </si>
  <si>
    <t>181864</t>
  </si>
  <si>
    <t>182385</t>
  </si>
  <si>
    <t>182068</t>
  </si>
  <si>
    <t>181982</t>
  </si>
  <si>
    <t>180279</t>
  </si>
  <si>
    <t>181592</t>
  </si>
  <si>
    <t>181590</t>
  </si>
  <si>
    <t>181588</t>
  </si>
  <si>
    <t>181584</t>
  </si>
  <si>
    <t>180898</t>
  </si>
  <si>
    <t>180896</t>
  </si>
  <si>
    <t>180482</t>
  </si>
  <si>
    <t>180480</t>
  </si>
  <si>
    <t>186242</t>
  </si>
  <si>
    <t>186240</t>
  </si>
  <si>
    <t>185710</t>
  </si>
  <si>
    <t>185708</t>
  </si>
  <si>
    <t>185706</t>
  </si>
  <si>
    <t>185658</t>
  </si>
  <si>
    <t>185240</t>
  </si>
  <si>
    <t>185238</t>
  </si>
  <si>
    <t>185032</t>
  </si>
  <si>
    <t>185030</t>
  </si>
  <si>
    <t>185044</t>
  </si>
  <si>
    <t>185042</t>
  </si>
  <si>
    <t>185028</t>
  </si>
  <si>
    <t>185026</t>
  </si>
  <si>
    <t>185162</t>
  </si>
  <si>
    <t>185161</t>
  </si>
  <si>
    <t>185535</t>
  </si>
  <si>
    <t>185533</t>
  </si>
  <si>
    <t>184916</t>
  </si>
  <si>
    <t>184914</t>
  </si>
  <si>
    <t>184616</t>
  </si>
  <si>
    <t>184614</t>
  </si>
  <si>
    <t>184612</t>
  </si>
  <si>
    <t>184610</t>
  </si>
  <si>
    <t>184130</t>
  </si>
  <si>
    <t>184128</t>
  </si>
  <si>
    <t>184126</t>
  </si>
  <si>
    <t>184124</t>
  </si>
  <si>
    <t>184048</t>
  </si>
  <si>
    <t>184046</t>
  </si>
  <si>
    <t>183354</t>
  </si>
  <si>
    <t>183353</t>
  </si>
  <si>
    <t>182857</t>
  </si>
  <si>
    <t>182856</t>
  </si>
  <si>
    <t>182262</t>
  </si>
  <si>
    <t>182261</t>
  </si>
  <si>
    <t>182124</t>
  </si>
  <si>
    <t>182123</t>
  </si>
  <si>
    <t>180212</t>
  </si>
  <si>
    <t>180211</t>
  </si>
  <si>
    <t>181421</t>
  </si>
  <si>
    <t>181420</t>
  </si>
  <si>
    <t>181212</t>
  </si>
  <si>
    <t>181211</t>
  </si>
  <si>
    <t>180334</t>
  </si>
  <si>
    <t>180332</t>
  </si>
  <si>
    <t>180330</t>
  </si>
  <si>
    <t>020243</t>
  </si>
  <si>
    <t>020242</t>
  </si>
  <si>
    <t>025748</t>
  </si>
  <si>
    <t>025747</t>
  </si>
  <si>
    <t>025542</t>
  </si>
  <si>
    <t>024547</t>
  </si>
  <si>
    <t>024101</t>
  </si>
  <si>
    <t>023419</t>
  </si>
  <si>
    <t>023418</t>
  </si>
  <si>
    <t>023417</t>
  </si>
  <si>
    <t>023416</t>
  </si>
  <si>
    <t>023415</t>
  </si>
  <si>
    <t>023414</t>
  </si>
  <si>
    <t>022660</t>
  </si>
  <si>
    <t>022659</t>
  </si>
  <si>
    <t>022658</t>
  </si>
  <si>
    <t>022422</t>
  </si>
  <si>
    <t>022163</t>
  </si>
  <si>
    <t>186323</t>
  </si>
  <si>
    <t>BQR</t>
  </si>
  <si>
    <t>185975</t>
  </si>
  <si>
    <t>185974</t>
  </si>
  <si>
    <t>185670</t>
  </si>
  <si>
    <t>183684</t>
  </si>
  <si>
    <t>183685</t>
  </si>
  <si>
    <t>183265</t>
  </si>
  <si>
    <t>182067</t>
  </si>
  <si>
    <t>183786</t>
  </si>
  <si>
    <t>183787</t>
  </si>
  <si>
    <t>183784</t>
  </si>
  <si>
    <t>183785</t>
  </si>
  <si>
    <t>183198</t>
  </si>
  <si>
    <t>183196</t>
  </si>
  <si>
    <t>183199</t>
  </si>
  <si>
    <t>183197</t>
  </si>
  <si>
    <t>181264</t>
  </si>
  <si>
    <t>183066</t>
  </si>
  <si>
    <t>183065</t>
  </si>
  <si>
    <t>183064</t>
  </si>
  <si>
    <t>182976</t>
  </si>
  <si>
    <t>182975</t>
  </si>
  <si>
    <t>182974</t>
  </si>
  <si>
    <t>182972</t>
  </si>
  <si>
    <t>182970</t>
  </si>
  <si>
    <t>182684</t>
  </si>
  <si>
    <t>182683</t>
  </si>
  <si>
    <t>182682</t>
  </si>
  <si>
    <t>183366</t>
  </si>
  <si>
    <t>182499</t>
  </si>
  <si>
    <t>182498</t>
  </si>
  <si>
    <t>182497</t>
  </si>
  <si>
    <t>182496</t>
  </si>
  <si>
    <t>182495</t>
  </si>
  <si>
    <t>182397</t>
  </si>
  <si>
    <t>182396</t>
  </si>
  <si>
    <t>181896</t>
  </si>
  <si>
    <t>181893</t>
  </si>
  <si>
    <t>180197</t>
  </si>
  <si>
    <t>182298</t>
  </si>
  <si>
    <t>182297</t>
  </si>
  <si>
    <t>182296</t>
  </si>
  <si>
    <t>182295</t>
  </si>
  <si>
    <t>181868</t>
  </si>
  <si>
    <t>181867</t>
  </si>
  <si>
    <t>181570</t>
  </si>
  <si>
    <t>181569</t>
  </si>
  <si>
    <t>181568</t>
  </si>
  <si>
    <t>181567</t>
  </si>
  <si>
    <t>181566</t>
  </si>
  <si>
    <t>181769</t>
  </si>
  <si>
    <t>181768</t>
  </si>
  <si>
    <t>181767</t>
  </si>
  <si>
    <t>181766</t>
  </si>
  <si>
    <t>181481</t>
  </si>
  <si>
    <t>181480</t>
  </si>
  <si>
    <t>181479</t>
  </si>
  <si>
    <t>181478</t>
  </si>
  <si>
    <t>181282</t>
  </si>
  <si>
    <t>181281</t>
  </si>
  <si>
    <t>181280</t>
  </si>
  <si>
    <t>181279</t>
  </si>
  <si>
    <t>181379</t>
  </si>
  <si>
    <t>181378</t>
  </si>
  <si>
    <t>181377</t>
  </si>
  <si>
    <t>181376</t>
  </si>
  <si>
    <t>181375</t>
  </si>
  <si>
    <t>181178</t>
  </si>
  <si>
    <t>181177</t>
  </si>
  <si>
    <t>181176</t>
  </si>
  <si>
    <t>181174</t>
  </si>
  <si>
    <t>181173</t>
  </si>
  <si>
    <t>181172</t>
  </si>
  <si>
    <t>185959</t>
  </si>
  <si>
    <t>185958</t>
  </si>
  <si>
    <t>185957</t>
  </si>
  <si>
    <t>185956</t>
  </si>
  <si>
    <t>185360</t>
  </si>
  <si>
    <t>183855</t>
  </si>
  <si>
    <t>180273</t>
  </si>
  <si>
    <t>186351</t>
  </si>
  <si>
    <t>186350</t>
  </si>
  <si>
    <t>186349</t>
  </si>
  <si>
    <t>186348</t>
  </si>
  <si>
    <t>186347</t>
  </si>
  <si>
    <t>186346</t>
  </si>
  <si>
    <t>186345</t>
  </si>
  <si>
    <t>186161</t>
  </si>
  <si>
    <t>185815</t>
  </si>
  <si>
    <t>185814</t>
  </si>
  <si>
    <t>185813</t>
  </si>
  <si>
    <t>185746</t>
  </si>
  <si>
    <t>185745</t>
  </si>
  <si>
    <t>185744</t>
  </si>
  <si>
    <t>185743</t>
  </si>
  <si>
    <t>185644</t>
  </si>
  <si>
    <t>185817</t>
  </si>
  <si>
    <t>185651</t>
  </si>
  <si>
    <t>185650</t>
  </si>
  <si>
    <t>185649</t>
  </si>
  <si>
    <t>185303</t>
  </si>
  <si>
    <t>185302</t>
  </si>
  <si>
    <t>185301</t>
  </si>
  <si>
    <t>184840</t>
  </si>
  <si>
    <t>184304</t>
  </si>
  <si>
    <t>185208</t>
  </si>
  <si>
    <t>185160</t>
  </si>
  <si>
    <t>185159</t>
  </si>
  <si>
    <t>184156</t>
  </si>
  <si>
    <t>184155</t>
  </si>
  <si>
    <t>183411</t>
  </si>
  <si>
    <t>183408</t>
  </si>
  <si>
    <t>183407</t>
  </si>
  <si>
    <t>183406</t>
  </si>
  <si>
    <t>182333</t>
  </si>
  <si>
    <t>185515</t>
  </si>
  <si>
    <t>185514</t>
  </si>
  <si>
    <t>185513</t>
  </si>
  <si>
    <t>185423</t>
  </si>
  <si>
    <t>185422</t>
  </si>
  <si>
    <t>185421</t>
  </si>
  <si>
    <t>185510</t>
  </si>
  <si>
    <t>185509</t>
  </si>
  <si>
    <t>185508</t>
  </si>
  <si>
    <t>185139</t>
  </si>
  <si>
    <t>185138</t>
  </si>
  <si>
    <t>185137</t>
  </si>
  <si>
    <t>184755</t>
  </si>
  <si>
    <t>184754</t>
  </si>
  <si>
    <t>184753</t>
  </si>
  <si>
    <t>183403</t>
  </si>
  <si>
    <t>183402</t>
  </si>
  <si>
    <t>183401</t>
  </si>
  <si>
    <t>183363</t>
  </si>
  <si>
    <t>183362</t>
  </si>
  <si>
    <t>183361</t>
  </si>
  <si>
    <t>184409</t>
  </si>
  <si>
    <t>184408</t>
  </si>
  <si>
    <t>184407</t>
  </si>
  <si>
    <t>184406</t>
  </si>
  <si>
    <t>184405</t>
  </si>
  <si>
    <t>184404</t>
  </si>
  <si>
    <t>184403</t>
  </si>
  <si>
    <t>184402</t>
  </si>
  <si>
    <t>184133</t>
  </si>
  <si>
    <t>184132</t>
  </si>
  <si>
    <t>184131</t>
  </si>
  <si>
    <t>183835</t>
  </si>
  <si>
    <t>183834</t>
  </si>
  <si>
    <t>183833</t>
  </si>
  <si>
    <t>183832</t>
  </si>
  <si>
    <t>183821</t>
  </si>
  <si>
    <t>183820</t>
  </si>
  <si>
    <t>183819</t>
  </si>
  <si>
    <t>183818</t>
  </si>
  <si>
    <t>183145</t>
  </si>
  <si>
    <t>183144</t>
  </si>
  <si>
    <t>183143</t>
  </si>
  <si>
    <t>183425</t>
  </si>
  <si>
    <t>183424</t>
  </si>
  <si>
    <t>183423</t>
  </si>
  <si>
    <t>183422</t>
  </si>
  <si>
    <t>183059</t>
  </si>
  <si>
    <t>183058</t>
  </si>
  <si>
    <t>183057</t>
  </si>
  <si>
    <t>183421</t>
  </si>
  <si>
    <t>183420</t>
  </si>
  <si>
    <t>183419</t>
  </si>
  <si>
    <t>183418</t>
  </si>
  <si>
    <t>182759</t>
  </si>
  <si>
    <t>182758</t>
  </si>
  <si>
    <t>182757</t>
  </si>
  <si>
    <t>182350</t>
  </si>
  <si>
    <t>182349</t>
  </si>
  <si>
    <t>182348</t>
  </si>
  <si>
    <t>182347</t>
  </si>
  <si>
    <t>181653</t>
  </si>
  <si>
    <t>181519</t>
  </si>
  <si>
    <t>181517</t>
  </si>
  <si>
    <t>181516</t>
  </si>
  <si>
    <t>182122</t>
  </si>
  <si>
    <t>182121</t>
  </si>
  <si>
    <t>182015</t>
  </si>
  <si>
    <t>182014</t>
  </si>
  <si>
    <t>181062</t>
  </si>
  <si>
    <t>181061</t>
  </si>
  <si>
    <t>181060</t>
  </si>
  <si>
    <t>181059</t>
  </si>
  <si>
    <t>181058</t>
  </si>
  <si>
    <t>181057</t>
  </si>
  <si>
    <t>181056</t>
  </si>
  <si>
    <t>181055</t>
  </si>
  <si>
    <t>180639</t>
  </si>
  <si>
    <t>180638</t>
  </si>
  <si>
    <t>180637</t>
  </si>
  <si>
    <t>180636</t>
  </si>
  <si>
    <t>181104</t>
  </si>
  <si>
    <t>181103</t>
  </si>
  <si>
    <t>180411</t>
  </si>
  <si>
    <t>180410</t>
  </si>
  <si>
    <t>180409</t>
  </si>
  <si>
    <t>180408</t>
  </si>
  <si>
    <t>180407</t>
  </si>
  <si>
    <t>180406</t>
  </si>
  <si>
    <t>180863</t>
  </si>
  <si>
    <t>180862</t>
  </si>
  <si>
    <t>180861</t>
  </si>
  <si>
    <t>021335</t>
  </si>
  <si>
    <t>021334</t>
  </si>
  <si>
    <t>021333</t>
  </si>
  <si>
    <t>021332</t>
  </si>
  <si>
    <t>180256</t>
  </si>
  <si>
    <t>180255</t>
  </si>
  <si>
    <t>180254</t>
  </si>
  <si>
    <t>180253</t>
  </si>
  <si>
    <t>021315</t>
  </si>
  <si>
    <t>021314</t>
  </si>
  <si>
    <t>021313</t>
  </si>
  <si>
    <t>021312</t>
  </si>
  <si>
    <t>020954</t>
  </si>
  <si>
    <t>020953</t>
  </si>
  <si>
    <t>020952</t>
  </si>
  <si>
    <t>020727</t>
  </si>
  <si>
    <t>020663</t>
  </si>
  <si>
    <t>020662</t>
  </si>
  <si>
    <t>020661</t>
  </si>
  <si>
    <t>020660</t>
  </si>
  <si>
    <t>026324</t>
  </si>
  <si>
    <t>026323</t>
  </si>
  <si>
    <t>026054</t>
  </si>
  <si>
    <t>026053</t>
  </si>
  <si>
    <t>026052</t>
  </si>
  <si>
    <t>026051</t>
  </si>
  <si>
    <t>026050</t>
  </si>
  <si>
    <t>026049</t>
  </si>
  <si>
    <t>026048</t>
  </si>
  <si>
    <t>026047</t>
  </si>
  <si>
    <t>025001</t>
  </si>
  <si>
    <t>024963</t>
  </si>
  <si>
    <t>024962</t>
  </si>
  <si>
    <t>024957</t>
  </si>
  <si>
    <t>024762</t>
  </si>
  <si>
    <t>024761</t>
  </si>
  <si>
    <t>024742</t>
  </si>
  <si>
    <t>024416</t>
  </si>
  <si>
    <t>024360</t>
  </si>
  <si>
    <t>024359</t>
  </si>
  <si>
    <t>024358</t>
  </si>
  <si>
    <t>024357</t>
  </si>
  <si>
    <t>024263</t>
  </si>
  <si>
    <t>024262</t>
  </si>
  <si>
    <t>024261</t>
  </si>
  <si>
    <t>024260</t>
  </si>
  <si>
    <t>024050</t>
  </si>
  <si>
    <t>024049</t>
  </si>
  <si>
    <t>024048</t>
  </si>
  <si>
    <t>024047</t>
  </si>
  <si>
    <t>023745</t>
  </si>
  <si>
    <t>023744</t>
  </si>
  <si>
    <t>023743</t>
  </si>
  <si>
    <t>023742</t>
  </si>
  <si>
    <t>023345</t>
  </si>
  <si>
    <t>023338</t>
  </si>
  <si>
    <t>023337</t>
  </si>
  <si>
    <t>023336</t>
  </si>
  <si>
    <t>023335</t>
  </si>
  <si>
    <t>023334</t>
  </si>
  <si>
    <t>023333</t>
  </si>
  <si>
    <t>023321</t>
  </si>
  <si>
    <t>023320</t>
  </si>
  <si>
    <t>023217</t>
  </si>
  <si>
    <t>022826</t>
  </si>
  <si>
    <t>022825</t>
  </si>
  <si>
    <t>022824</t>
  </si>
  <si>
    <t>022748</t>
  </si>
  <si>
    <t>022747</t>
  </si>
  <si>
    <t>022661</t>
  </si>
  <si>
    <t>022543</t>
  </si>
  <si>
    <t>022306</t>
  </si>
  <si>
    <t>022223</t>
  </si>
  <si>
    <t>021944</t>
  </si>
  <si>
    <t>021810</t>
  </si>
  <si>
    <t>021826</t>
  </si>
  <si>
    <t>021825</t>
  </si>
  <si>
    <t>021824</t>
  </si>
  <si>
    <t>021656</t>
  </si>
  <si>
    <t>021613</t>
  </si>
  <si>
    <t>021612</t>
  </si>
  <si>
    <t>021727</t>
  </si>
  <si>
    <t>021726</t>
  </si>
  <si>
    <t>021716</t>
  </si>
  <si>
    <t>020206</t>
  </si>
  <si>
    <t>021002</t>
  </si>
  <si>
    <t>BLRDGN</t>
  </si>
  <si>
    <t>BLRDGD*2</t>
  </si>
  <si>
    <t>BLRD</t>
  </si>
  <si>
    <t>021102</t>
  </si>
  <si>
    <t>181696</t>
  </si>
  <si>
    <t>ATS</t>
  </si>
  <si>
    <t>181166</t>
  </si>
  <si>
    <t>181165</t>
  </si>
  <si>
    <t>181164</t>
  </si>
  <si>
    <t>181794</t>
  </si>
  <si>
    <t>181793</t>
  </si>
  <si>
    <t>181594</t>
  </si>
  <si>
    <t>181593</t>
  </si>
  <si>
    <t>180278</t>
  </si>
  <si>
    <t>180185</t>
  </si>
  <si>
    <t>180275</t>
  </si>
  <si>
    <t>180274</t>
  </si>
  <si>
    <t>181238</t>
  </si>
  <si>
    <t>180908</t>
  </si>
  <si>
    <t>180907</t>
  </si>
  <si>
    <t>180325</t>
  </si>
  <si>
    <t>020346</t>
  </si>
  <si>
    <t>185778</t>
  </si>
  <si>
    <t>ATN</t>
  </si>
  <si>
    <t>185777</t>
  </si>
  <si>
    <t>184572</t>
  </si>
  <si>
    <t>184571</t>
  </si>
  <si>
    <t>182196</t>
  </si>
  <si>
    <t>181682</t>
  </si>
  <si>
    <t>185170</t>
  </si>
  <si>
    <t>185169</t>
  </si>
  <si>
    <t>185168</t>
  </si>
  <si>
    <t>184279</t>
  </si>
  <si>
    <t>185171</t>
  </si>
  <si>
    <t>186222</t>
  </si>
  <si>
    <t>185766</t>
  </si>
  <si>
    <t>185765</t>
  </si>
  <si>
    <t>185764</t>
  </si>
  <si>
    <t>186221</t>
  </si>
  <si>
    <t>184291</t>
  </si>
  <si>
    <t>184290</t>
  </si>
  <si>
    <t>184289</t>
  </si>
  <si>
    <t>184288</t>
  </si>
  <si>
    <t>183782</t>
  </si>
  <si>
    <t>183781</t>
  </si>
  <si>
    <t>183774</t>
  </si>
  <si>
    <t>183089</t>
  </si>
  <si>
    <t>182890</t>
  </si>
  <si>
    <t>182472</t>
  </si>
  <si>
    <t>182471</t>
  </si>
  <si>
    <t>182094</t>
  </si>
  <si>
    <t>182093</t>
  </si>
  <si>
    <t>181175</t>
  </si>
  <si>
    <t>183877</t>
  </si>
  <si>
    <t>183267</t>
  </si>
  <si>
    <t>183882</t>
  </si>
  <si>
    <t>183881</t>
  </si>
  <si>
    <t>183880</t>
  </si>
  <si>
    <t>183879</t>
  </si>
  <si>
    <t>183878</t>
  </si>
  <si>
    <t>183268</t>
  </si>
  <si>
    <t>183876</t>
  </si>
  <si>
    <t>183875</t>
  </si>
  <si>
    <t>183874</t>
  </si>
  <si>
    <t>183873</t>
  </si>
  <si>
    <t>183776</t>
  </si>
  <si>
    <t>183775</t>
  </si>
  <si>
    <t>182484</t>
  </si>
  <si>
    <t>182483</t>
  </si>
  <si>
    <t>183466</t>
  </si>
  <si>
    <t>183465</t>
  </si>
  <si>
    <t>183464</t>
  </si>
  <si>
    <t>183291</t>
  </si>
  <si>
    <t>183290</t>
  </si>
  <si>
    <t>183068</t>
  </si>
  <si>
    <t>183067</t>
  </si>
  <si>
    <t>183399</t>
  </si>
  <si>
    <t>183181</t>
  </si>
  <si>
    <t>182969</t>
  </si>
  <si>
    <t>182968</t>
  </si>
  <si>
    <t>182967</t>
  </si>
  <si>
    <t>182966</t>
  </si>
  <si>
    <t>182680</t>
  </si>
  <si>
    <t>182679</t>
  </si>
  <si>
    <t>182678</t>
  </si>
  <si>
    <t>182677</t>
  </si>
  <si>
    <t>182676</t>
  </si>
  <si>
    <t>182675</t>
  </si>
  <si>
    <t>182374</t>
  </si>
  <si>
    <t>182373</t>
  </si>
  <si>
    <t>182372</t>
  </si>
  <si>
    <t>182371</t>
  </si>
  <si>
    <t>182370</t>
  </si>
  <si>
    <t>182369</t>
  </si>
  <si>
    <t>182065</t>
  </si>
  <si>
    <t>182064</t>
  </si>
  <si>
    <t>181999</t>
  </si>
  <si>
    <t>181998</t>
  </si>
  <si>
    <t>181995</t>
  </si>
  <si>
    <t>181994</t>
  </si>
  <si>
    <t>181993</t>
  </si>
  <si>
    <t>181992</t>
  </si>
  <si>
    <t>181991</t>
  </si>
  <si>
    <t>181990</t>
  </si>
  <si>
    <t>182294</t>
  </si>
  <si>
    <t>182293</t>
  </si>
  <si>
    <t>182292</t>
  </si>
  <si>
    <t>182291</t>
  </si>
  <si>
    <t>182290</t>
  </si>
  <si>
    <t>182289</t>
  </si>
  <si>
    <t>182193</t>
  </si>
  <si>
    <t>182192</t>
  </si>
  <si>
    <t>181099</t>
  </si>
  <si>
    <t>181098</t>
  </si>
  <si>
    <t>181097</t>
  </si>
  <si>
    <t>181096</t>
  </si>
  <si>
    <t>181095</t>
  </si>
  <si>
    <t>181094</t>
  </si>
  <si>
    <t>181678</t>
  </si>
  <si>
    <t>181677</t>
  </si>
  <si>
    <t>181477</t>
  </si>
  <si>
    <t>181476</t>
  </si>
  <si>
    <t>181475</t>
  </si>
  <si>
    <t>181474</t>
  </si>
  <si>
    <t>181190</t>
  </si>
  <si>
    <t>181189</t>
  </si>
  <si>
    <t>186263</t>
  </si>
  <si>
    <t>181171</t>
  </si>
  <si>
    <t>181170</t>
  </si>
  <si>
    <t>181169</t>
  </si>
  <si>
    <t>181168</t>
  </si>
  <si>
    <t>181167</t>
  </si>
  <si>
    <t>181079</t>
  </si>
  <si>
    <t>181078</t>
  </si>
  <si>
    <t>181077</t>
  </si>
  <si>
    <t>181076</t>
  </si>
  <si>
    <t>181075</t>
  </si>
  <si>
    <t>181074</t>
  </si>
  <si>
    <t>181073</t>
  </si>
  <si>
    <t>181072</t>
  </si>
  <si>
    <t>181071</t>
  </si>
  <si>
    <t>181070</t>
  </si>
  <si>
    <t>180984</t>
  </si>
  <si>
    <t>180983</t>
  </si>
  <si>
    <t>180489</t>
  </si>
  <si>
    <t>180488</t>
  </si>
  <si>
    <t>186363</t>
  </si>
  <si>
    <t>186362</t>
  </si>
  <si>
    <t>180167</t>
  </si>
  <si>
    <t>180166</t>
  </si>
  <si>
    <t>180165</t>
  </si>
  <si>
    <t>180164</t>
  </si>
  <si>
    <t>186210</t>
  </si>
  <si>
    <t>186209</t>
  </si>
  <si>
    <t>186208</t>
  </si>
  <si>
    <t>186207</t>
  </si>
  <si>
    <t>186206</t>
  </si>
  <si>
    <t>186205</t>
  </si>
  <si>
    <t>185428</t>
  </si>
  <si>
    <t>185427</t>
  </si>
  <si>
    <t>185425</t>
  </si>
  <si>
    <t>185306</t>
  </si>
  <si>
    <t>185305</t>
  </si>
  <si>
    <t>185304</t>
  </si>
  <si>
    <t>184940</t>
  </si>
  <si>
    <t>184939</t>
  </si>
  <si>
    <t>184938</t>
  </si>
  <si>
    <t>184937</t>
  </si>
  <si>
    <t>184936</t>
  </si>
  <si>
    <t>184935</t>
  </si>
  <si>
    <t>184654</t>
  </si>
  <si>
    <t>184653</t>
  </si>
  <si>
    <t>184652</t>
  </si>
  <si>
    <t>184651</t>
  </si>
  <si>
    <t>184650</t>
  </si>
  <si>
    <t>184649</t>
  </si>
  <si>
    <t>184824</t>
  </si>
  <si>
    <t>184823</t>
  </si>
  <si>
    <t>184822</t>
  </si>
  <si>
    <t>184821</t>
  </si>
  <si>
    <t>184820</t>
  </si>
  <si>
    <t>184819</t>
  </si>
  <si>
    <t>184359</t>
  </si>
  <si>
    <t>184358</t>
  </si>
  <si>
    <t>184357</t>
  </si>
  <si>
    <t>184356</t>
  </si>
  <si>
    <t>184355</t>
  </si>
  <si>
    <t>184354</t>
  </si>
  <si>
    <t>183806</t>
  </si>
  <si>
    <t>183805</t>
  </si>
  <si>
    <t>183804</t>
  </si>
  <si>
    <t>183803</t>
  </si>
  <si>
    <t>183802</t>
  </si>
  <si>
    <t>183801</t>
  </si>
  <si>
    <t>183142</t>
  </si>
  <si>
    <t>183141</t>
  </si>
  <si>
    <t>183140</t>
  </si>
  <si>
    <t>183139</t>
  </si>
  <si>
    <t>183138</t>
  </si>
  <si>
    <t>183137</t>
  </si>
  <si>
    <t>182533</t>
  </si>
  <si>
    <t>182532</t>
  </si>
  <si>
    <t>182531</t>
  </si>
  <si>
    <t>182530</t>
  </si>
  <si>
    <t>182529</t>
  </si>
  <si>
    <t>182528</t>
  </si>
  <si>
    <t>183148</t>
  </si>
  <si>
    <t>183147</t>
  </si>
  <si>
    <t>181230</t>
  </si>
  <si>
    <t>181229</t>
  </si>
  <si>
    <t>181237</t>
  </si>
  <si>
    <t>181236</t>
  </si>
  <si>
    <t>181224</t>
  </si>
  <si>
    <t>181223</t>
  </si>
  <si>
    <t>181222</t>
  </si>
  <si>
    <t>180827</t>
  </si>
  <si>
    <t>yes</t>
  </si>
  <si>
    <t>180826</t>
  </si>
  <si>
    <t>180354</t>
  </si>
  <si>
    <t>021523</t>
  </si>
  <si>
    <t>021522</t>
  </si>
  <si>
    <t>021521</t>
  </si>
  <si>
    <t>021430</t>
  </si>
  <si>
    <t>021429</t>
  </si>
  <si>
    <t>021428</t>
  </si>
  <si>
    <t>020251</t>
  </si>
  <si>
    <t>020250</t>
  </si>
  <si>
    <t>020249</t>
  </si>
  <si>
    <t>020248</t>
  </si>
  <si>
    <t>020247</t>
  </si>
  <si>
    <t>020246</t>
  </si>
  <si>
    <t>025961</t>
  </si>
  <si>
    <t>025960</t>
  </si>
  <si>
    <t>025959</t>
  </si>
  <si>
    <t>025958</t>
  </si>
  <si>
    <t>025957</t>
  </si>
  <si>
    <t>no</t>
  </si>
  <si>
    <t>025956</t>
  </si>
  <si>
    <t>025552</t>
  </si>
  <si>
    <t>025448</t>
  </si>
  <si>
    <t>Base period calibration only</t>
  </si>
  <si>
    <t>North/Central Coast</t>
  </si>
  <si>
    <t>Summer</t>
  </si>
  <si>
    <t>0119-Kispiox River H, 0142-Fulton River</t>
  </si>
  <si>
    <t>Skeena R</t>
  </si>
  <si>
    <t>SKE</t>
  </si>
  <si>
    <t>025447</t>
  </si>
  <si>
    <t>Upper Fraser River</t>
  </si>
  <si>
    <t>0161-LOWER SHUSWAP R</t>
  </si>
  <si>
    <t>Lower Shuswap R</t>
  </si>
  <si>
    <t>025446</t>
  </si>
  <si>
    <t>West Coast Vancouver Island</t>
  </si>
  <si>
    <t>Fall</t>
  </si>
  <si>
    <t>0104-ROBERTSON CR</t>
  </si>
  <si>
    <t>Robertson Cr</t>
  </si>
  <si>
    <t>024356</t>
  </si>
  <si>
    <t>Upper Georgia Strait</t>
  </si>
  <si>
    <t>0106-QUINSAM R</t>
  </si>
  <si>
    <t>Quinsam R</t>
  </si>
  <si>
    <t>024355</t>
  </si>
  <si>
    <t>024354</t>
  </si>
  <si>
    <t>0105-PUNTLEDGE R</t>
  </si>
  <si>
    <t>Puntledge R</t>
  </si>
  <si>
    <t>024353</t>
  </si>
  <si>
    <t>Spring</t>
  </si>
  <si>
    <t>0253-NICOLA R</t>
  </si>
  <si>
    <t>Nicola R</t>
  </si>
  <si>
    <t>024352</t>
  </si>
  <si>
    <t>Lower Georgia Strait</t>
  </si>
  <si>
    <t>0126-NANAIMO R</t>
  </si>
  <si>
    <t>Nanaimo R</t>
  </si>
  <si>
    <t>024351</t>
  </si>
  <si>
    <t>Central Coast</t>
  </si>
  <si>
    <t>0146-Kitimat River H</t>
  </si>
  <si>
    <t>Kitimat R</t>
  </si>
  <si>
    <t>024350</t>
  </si>
  <si>
    <t>0340-TERRACE</t>
  </si>
  <si>
    <t>KitsumKalum R</t>
  </si>
  <si>
    <t>024349</t>
  </si>
  <si>
    <t>1890-DOME CR</t>
  </si>
  <si>
    <t>Dome Cr</t>
  </si>
  <si>
    <t>021732</t>
  </si>
  <si>
    <t>0118-COWICHAN R</t>
  </si>
  <si>
    <t>Cowichan R</t>
  </si>
  <si>
    <t>022022</t>
  </si>
  <si>
    <t>0272-Chilko R</t>
  </si>
  <si>
    <t>Chilko R</t>
  </si>
  <si>
    <t>022021</t>
  </si>
  <si>
    <t>0107-CHILLIWACK R</t>
  </si>
  <si>
    <t>Chilliwack R</t>
  </si>
  <si>
    <t>022020</t>
  </si>
  <si>
    <t>Lower Fraser River</t>
  </si>
  <si>
    <t>0154-Chehalis River H</t>
  </si>
  <si>
    <t>Harrison R</t>
  </si>
  <si>
    <t>CHE</t>
  </si>
  <si>
    <t>022018</t>
  </si>
  <si>
    <t>0103-Capilano R</t>
  </si>
  <si>
    <t>Capilano R</t>
  </si>
  <si>
    <t>CAP</t>
  </si>
  <si>
    <t>022017</t>
  </si>
  <si>
    <t>0100-BIG QUALICUM R</t>
  </si>
  <si>
    <t>Big Qualicum R</t>
  </si>
  <si>
    <t>022016</t>
  </si>
  <si>
    <t>0140-SNOOTLI CR</t>
  </si>
  <si>
    <t>Atnarko R</t>
  </si>
  <si>
    <t>020110</t>
  </si>
  <si>
    <t>tag_code_or_release_id</t>
  </si>
  <si>
    <t>brood_year</t>
  </si>
  <si>
    <t>Region</t>
  </si>
  <si>
    <t>Max Age</t>
  </si>
  <si>
    <t>Start Age</t>
  </si>
  <si>
    <t>Run Type Name</t>
  </si>
  <si>
    <t>Run Type</t>
  </si>
  <si>
    <t>Hatchery Site Code-Name</t>
  </si>
  <si>
    <t>Stock Site/Name</t>
  </si>
  <si>
    <t>Stock Acronym</t>
  </si>
  <si>
    <t>Stock</t>
  </si>
  <si>
    <t>indicator?</t>
  </si>
  <si>
    <t>BY</t>
  </si>
  <si>
    <t>Clip Status</t>
  </si>
  <si>
    <t>DIT?</t>
  </si>
  <si>
    <t>CWT</t>
  </si>
  <si>
    <t>Stock Acr</t>
  </si>
  <si>
    <t>Additional codes for testing (new)</t>
  </si>
  <si>
    <t>Codes used only for the base period calibration</t>
  </si>
  <si>
    <t>Standard indicator codes</t>
  </si>
  <si>
    <t>Included are:</t>
  </si>
  <si>
    <t>Tag Codes for the Canadian indicators up to BY 2008 (or 2007 depending on stock) to be used for the ERA and forecasts in 2011</t>
  </si>
  <si>
    <t>Total.pre CWT</t>
  </si>
  <si>
    <t>Uncorrected unclipped and clipped for pre-CWT years</t>
  </si>
  <si>
    <t>Percent of Return</t>
  </si>
  <si>
    <t>Unknown Column???</t>
  </si>
  <si>
    <t>2022 sex correction</t>
  </si>
  <si>
    <t>Arbeider Comment: Only included scale ages 32,42,52,and 62. All other scale ages removed.</t>
  </si>
  <si>
    <t>First Year when Age 6 CWT may be available.</t>
  </si>
  <si>
    <t>First Year when Age 5 CWT may be available.</t>
  </si>
  <si>
    <t>See notes regarding 2018 scale ages. First Year Age 4 CWT.</t>
  </si>
  <si>
    <t>First Year when Age 3 CWT may be available.</t>
  </si>
  <si>
    <t>Stuff in Yellow is Scale Ages. IF NOT AGES PRESENT FOR A ROW, leave blank. IF AT LEAST ONE SAMPLE, enter 0 for other cells.</t>
  </si>
  <si>
    <t>This pivot table needs to be updated each year and then the year and age needs to be entered and the formulas extended.</t>
  </si>
  <si>
    <t>This is where the corrections to the scale ages occur for the unmarked fish.</t>
  </si>
  <si>
    <t xml:space="preserve">Do a manual check of totals. Colum J total for the year should equal the combined M,F,J River&amp;Hathcery totals (shaded blue) in Esc&amp;Age data sheet.  </t>
  </si>
  <si>
    <t>Hatchery Unclipped - Use Unclipped No Petersen Tag results since Brood is collected with tangle nets off of Redds and may be more closely similar to deadpitch than application</t>
  </si>
  <si>
    <t>OLD</t>
  </si>
  <si>
    <t>Sum of Corrected_Unclipped</t>
  </si>
  <si>
    <t>% Esc age 3 (Jack)</t>
  </si>
  <si>
    <t>% Esc age 4</t>
  </si>
  <si>
    <t>% Esc age 5</t>
  </si>
  <si>
    <t>% Esc age 6</t>
  </si>
  <si>
    <t>2023 sex correction</t>
  </si>
  <si>
    <t>6 Yr Average</t>
  </si>
  <si>
    <t>2024 sex correction</t>
  </si>
  <si>
    <t>One age 41 fish removed. Some scale ages incomplete - waiting on 4 more scale books from lab. Recommend using the average age correction factor over all years vs. from 2024 alone.</t>
  </si>
  <si>
    <t>Changed a mistake found with 2023 ages - "Unclipped Peterson Tagged" from river had swapped male and female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</si>
</sst>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
    <numFmt numFmtId="165" formatCode="_(* #,##0_);_(* \(#,##0\);_(* &quot;-&quot;??_);_(@_)"/>
    <numFmt numFmtId="166" formatCode="0.0%"/>
    <numFmt numFmtId="167" formatCode="0_);\(0\)"/>
    <numFmt numFmtId="168" formatCode="0.00000000000"/>
    <numFmt numFmtId="169" formatCode="0.000"/>
    <numFmt numFmtId="170" formatCode="0.000000"/>
    <numFmt numFmtId="171" formatCode="0.000%"/>
  </numFmts>
  <fonts count="20" x14ac:knownFonts="1">
    <font>
      <sz val="11"/>
      <color theme="1"/>
      <name val="Calibri"/>
      <family val="2"/>
      <scheme val="minor"/>
    </font>
    <font>
      <sz val="11"/>
      <name val="Calibri"/>
      <family val="2"/>
    </font>
    <font>
      <sz val="8"/>
      <name val="Calibri"/>
      <family val="2"/>
    </font>
    <font>
      <sz val="11"/>
      <color indexed="8"/>
      <name val="Calibri"/>
      <family val="2"/>
    </font>
    <font>
      <vertAlign val="subscript"/>
      <sz val="11"/>
      <color theme="1"/>
      <name val="Calibri"/>
      <family val="2"/>
      <scheme val="minor"/>
    </font>
    <font>
      <sz val="9"/>
      <color indexed="81"/>
      <name val="Tahoma"/>
      <family val="2"/>
    </font>
    <font>
      <b/>
      <sz val="9"/>
      <color indexed="81"/>
      <name val="Tahoma"/>
      <family val="2"/>
    </font>
    <font>
      <sz val="8"/>
      <color indexed="8"/>
      <name val="Arial"/>
      <family val="2"/>
    </font>
    <font>
      <sz val="10"/>
      <name val="Arial"/>
      <family val="2"/>
    </font>
    <font>
      <sz val="10"/>
      <color indexed="72"/>
      <name val="MS Sans Serif"/>
      <family val="2"/>
    </font>
    <font>
      <sz val="10"/>
      <name val="MS Sans Serif"/>
      <family val="2"/>
    </font>
    <font>
      <b/>
      <sz val="11"/>
      <color theme="1"/>
      <name val="Calibri"/>
      <family val="2"/>
      <scheme val="minor"/>
    </font>
    <font>
      <sz val="11"/>
      <color rgb="FF9C0006"/>
      <name val="Calibri"/>
      <family val="2"/>
      <scheme val="minor"/>
    </font>
    <font>
      <sz val="11"/>
      <color theme="1"/>
      <name val="Calibri"/>
      <family val="2"/>
      <scheme val="minor"/>
    </font>
    <font>
      <sz val="11"/>
      <name val="Calibri"/>
      <family val="2"/>
      <scheme val="minor"/>
    </font>
    <font>
      <b/>
      <sz val="10"/>
      <color theme="1"/>
      <name val="Arial"/>
      <family val="2"/>
    </font>
    <font>
      <b/>
      <sz val="10"/>
      <name val="Arial"/>
      <family val="2"/>
    </font>
    <font>
      <sz val="11"/>
      <color rgb="FFFF0000"/>
      <name val="Calibri"/>
      <family val="2"/>
      <scheme val="minor"/>
    </font>
    <font>
      <sz val="10"/>
      <color indexed="8"/>
      <name val="Arial"/>
      <family val="2"/>
    </font>
    <font>
      <b/>
      <sz val="11"/>
      <name val="Calibri"/>
      <family val="2"/>
      <scheme val="minor"/>
    </font>
  </fonts>
  <fills count="22">
    <fill>
      <patternFill patternType="none"/>
    </fill>
    <fill>
      <patternFill patternType="gray125"/>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rgb="FFFFFF99"/>
        <bgColor indexed="64"/>
      </patternFill>
    </fill>
    <fill>
      <patternFill patternType="solid">
        <fgColor indexed="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rgb="FFFFC7CE"/>
      </patternFill>
    </fill>
    <fill>
      <patternFill patternType="solid">
        <fgColor rgb="FF92D05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s>
  <borders count="10">
    <border>
      <left/>
      <right/>
      <top/>
      <bottom/>
      <diagonal/>
    </border>
    <border>
      <left/>
      <right/>
      <top/>
      <bottom style="thin">
        <color indexed="64"/>
      </bottom>
      <diagonal/>
    </border>
    <border>
      <left/>
      <right/>
      <top/>
      <bottom style="double">
        <color indexed="64"/>
      </bottom>
      <diagonal/>
    </border>
    <border>
      <left style="thin">
        <color indexed="8"/>
      </left>
      <right/>
      <top/>
      <bottom/>
      <diagonal/>
    </border>
    <border>
      <left style="thin">
        <color indexed="8"/>
      </left>
      <right/>
      <top/>
      <bottom style="double">
        <color indexed="64"/>
      </bottom>
      <diagonal/>
    </border>
    <border>
      <left/>
      <right/>
      <top style="thin">
        <color theme="4" tint="0.39997558519241921"/>
      </top>
      <bottom/>
      <diagonal/>
    </border>
    <border>
      <left/>
      <right/>
      <top/>
      <bottom style="thin">
        <color theme="4" tint="0.39997558519241921"/>
      </bottom>
      <diagonal/>
    </border>
    <border>
      <left/>
      <right/>
      <top/>
      <bottom style="thin">
        <color theme="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0">
    <xf numFmtId="0" fontId="0" fillId="0" borderId="0"/>
    <xf numFmtId="43" fontId="3" fillId="0" borderId="0" applyFont="0" applyFill="0" applyBorder="0" applyAlignment="0" applyProtection="0"/>
    <xf numFmtId="9" fontId="3" fillId="0" borderId="0" applyFont="0" applyFill="0" applyBorder="0" applyAlignment="0" applyProtection="0"/>
    <xf numFmtId="0" fontId="8" fillId="0" borderId="0"/>
    <xf numFmtId="0" fontId="9" fillId="0" borderId="0"/>
    <xf numFmtId="0" fontId="10" fillId="0" borderId="0"/>
    <xf numFmtId="0" fontId="12" fillId="13" borderId="0" applyNumberFormat="0" applyBorder="0" applyAlignment="0" applyProtection="0"/>
    <xf numFmtId="0" fontId="8" fillId="0" borderId="0"/>
    <xf numFmtId="0" fontId="13" fillId="0" borderId="0"/>
    <xf numFmtId="0" fontId="8" fillId="0" borderId="0"/>
  </cellStyleXfs>
  <cellXfs count="129">
    <xf numFmtId="0" fontId="0" fillId="0" borderId="0" xfId="0"/>
    <xf numFmtId="0" fontId="0" fillId="0" borderId="1" xfId="0" applyBorder="1"/>
    <xf numFmtId="0" fontId="0" fillId="0" borderId="1" xfId="0" applyBorder="1" applyAlignment="1">
      <alignment horizontal="center"/>
    </xf>
    <xf numFmtId="165" fontId="0" fillId="0" borderId="0" xfId="1" applyNumberFormat="1" applyFont="1"/>
    <xf numFmtId="0" fontId="0" fillId="4" borderId="0" xfId="0" applyFill="1"/>
    <xf numFmtId="0" fontId="0" fillId="0" borderId="0" xfId="0" applyBorder="1" applyAlignment="1">
      <alignment horizontal="center"/>
    </xf>
    <xf numFmtId="0" fontId="0" fillId="0" borderId="0" xfId="0"/>
    <xf numFmtId="0" fontId="0" fillId="2" borderId="0" xfId="0" applyFill="1"/>
    <xf numFmtId="164" fontId="0" fillId="2" borderId="0" xfId="0" applyNumberFormat="1" applyFill="1"/>
    <xf numFmtId="0" fontId="0" fillId="3" borderId="0" xfId="0" applyFill="1" applyAlignment="1">
      <alignment horizontal="center"/>
    </xf>
    <xf numFmtId="0" fontId="0" fillId="0" borderId="0" xfId="0" pivotButton="1"/>
    <xf numFmtId="0" fontId="0" fillId="0" borderId="0" xfId="0" applyAlignment="1">
      <alignment horizontal="left"/>
    </xf>
    <xf numFmtId="166" fontId="0" fillId="4" borderId="0" xfId="2" applyNumberFormat="1" applyFont="1" applyFill="1"/>
    <xf numFmtId="0" fontId="0" fillId="0" borderId="0" xfId="0" applyBorder="1"/>
    <xf numFmtId="0" fontId="0" fillId="0" borderId="0" xfId="0" applyFill="1"/>
    <xf numFmtId="0" fontId="0" fillId="0" borderId="0" xfId="0" applyFill="1" applyBorder="1"/>
    <xf numFmtId="0" fontId="0" fillId="5" borderId="0" xfId="0" applyFill="1" applyAlignment="1">
      <alignment horizontal="center"/>
    </xf>
    <xf numFmtId="1" fontId="0" fillId="0" borderId="0" xfId="0" applyNumberFormat="1"/>
    <xf numFmtId="9" fontId="0" fillId="0" borderId="0" xfId="2" applyFont="1"/>
    <xf numFmtId="167" fontId="0" fillId="0" borderId="0" xfId="1" applyNumberFormat="1" applyFont="1"/>
    <xf numFmtId="0" fontId="0" fillId="0" borderId="0" xfId="0" applyNumberFormat="1"/>
    <xf numFmtId="0" fontId="0" fillId="0" borderId="0" xfId="0" applyAlignment="1">
      <alignment horizontal="left" indent="1"/>
    </xf>
    <xf numFmtId="165" fontId="0" fillId="0" borderId="0" xfId="0" applyNumberFormat="1"/>
    <xf numFmtId="0" fontId="0" fillId="6" borderId="0" xfId="0" applyFill="1"/>
    <xf numFmtId="0" fontId="0" fillId="6" borderId="0" xfId="0" applyFill="1" applyAlignment="1">
      <alignment horizontal="center"/>
    </xf>
    <xf numFmtId="1" fontId="0" fillId="2" borderId="0" xfId="0" applyNumberFormat="1" applyFill="1"/>
    <xf numFmtId="0" fontId="0" fillId="7" borderId="0" xfId="0" applyFill="1" applyAlignment="1">
      <alignment horizontal="center"/>
    </xf>
    <xf numFmtId="0" fontId="0" fillId="0" borderId="0" xfId="0" applyFill="1" applyAlignment="1">
      <alignment horizontal="center"/>
    </xf>
    <xf numFmtId="1" fontId="0" fillId="0" borderId="0" xfId="0" applyNumberFormat="1" applyFill="1"/>
    <xf numFmtId="0" fontId="0" fillId="0" borderId="0" xfId="0" applyAlignment="1">
      <alignment horizontal="center"/>
    </xf>
    <xf numFmtId="1" fontId="0" fillId="8" borderId="0" xfId="0" applyNumberFormat="1" applyFill="1"/>
    <xf numFmtId="0" fontId="0" fillId="8" borderId="0" xfId="0" applyFill="1"/>
    <xf numFmtId="0" fontId="0" fillId="9" borderId="0" xfId="0" applyFill="1"/>
    <xf numFmtId="1" fontId="0" fillId="0" borderId="0" xfId="0" applyNumberFormat="1" applyBorder="1"/>
    <xf numFmtId="168" fontId="7" fillId="0" borderId="0" xfId="0" applyNumberFormat="1" applyFont="1" applyFill="1" applyAlignment="1">
      <alignment horizontal="left" indent="4"/>
    </xf>
    <xf numFmtId="169" fontId="7" fillId="0" borderId="0" xfId="3" applyNumberFormat="1" applyFont="1" applyFill="1"/>
    <xf numFmtId="164" fontId="0" fillId="0" borderId="0" xfId="0" applyNumberFormat="1"/>
    <xf numFmtId="0" fontId="0" fillId="10" borderId="0" xfId="0" applyFill="1"/>
    <xf numFmtId="0" fontId="0" fillId="10" borderId="0" xfId="0" applyFill="1" applyBorder="1"/>
    <xf numFmtId="0" fontId="0" fillId="0" borderId="2" xfId="0" applyBorder="1"/>
    <xf numFmtId="0" fontId="0" fillId="10" borderId="2" xfId="0" applyFill="1" applyBorder="1"/>
    <xf numFmtId="0" fontId="0" fillId="0" borderId="0" xfId="0" applyBorder="1" applyAlignment="1">
      <alignment horizontal="left"/>
    </xf>
    <xf numFmtId="0" fontId="0" fillId="0" borderId="0" xfId="0" applyNumberFormat="1" applyBorder="1"/>
    <xf numFmtId="164" fontId="0" fillId="0" borderId="2" xfId="0" applyNumberFormat="1" applyBorder="1"/>
    <xf numFmtId="0" fontId="10" fillId="0" borderId="3" xfId="5" applyNumberFormat="1" applyBorder="1"/>
    <xf numFmtId="0" fontId="10" fillId="0" borderId="0" xfId="5" applyNumberFormat="1" applyBorder="1"/>
    <xf numFmtId="0" fontId="10" fillId="0" borderId="0" xfId="5" applyNumberFormat="1"/>
    <xf numFmtId="0" fontId="10" fillId="0" borderId="4" xfId="5" applyNumberFormat="1" applyBorder="1"/>
    <xf numFmtId="0" fontId="10" fillId="0" borderId="2" xfId="5" applyNumberFormat="1" applyBorder="1"/>
    <xf numFmtId="0" fontId="10" fillId="0" borderId="0" xfId="5" applyNumberFormat="1" applyFill="1" applyBorder="1"/>
    <xf numFmtId="0" fontId="0" fillId="0" borderId="2" xfId="0" applyFill="1" applyBorder="1"/>
    <xf numFmtId="0" fontId="11" fillId="11" borderId="5" xfId="0" applyFont="1" applyFill="1" applyBorder="1" applyAlignment="1">
      <alignment horizontal="left"/>
    </xf>
    <xf numFmtId="0" fontId="11" fillId="11" borderId="5" xfId="0" applyNumberFormat="1" applyFont="1" applyFill="1" applyBorder="1"/>
    <xf numFmtId="0" fontId="11" fillId="11" borderId="6" xfId="0" applyFont="1" applyFill="1" applyBorder="1"/>
    <xf numFmtId="0" fontId="11" fillId="11" borderId="0" xfId="0" applyFont="1" applyFill="1"/>
    <xf numFmtId="0" fontId="0" fillId="0" borderId="2" xfId="0" applyBorder="1" applyAlignment="1">
      <alignment horizontal="left"/>
    </xf>
    <xf numFmtId="0" fontId="0" fillId="0" borderId="2" xfId="0" applyNumberFormat="1" applyBorder="1"/>
    <xf numFmtId="0" fontId="0" fillId="8" borderId="2" xfId="0" applyFill="1" applyBorder="1"/>
    <xf numFmtId="0" fontId="0" fillId="0" borderId="2" xfId="0" applyBorder="1" applyAlignment="1">
      <alignment horizontal="center"/>
    </xf>
    <xf numFmtId="164" fontId="0" fillId="2" borderId="2" xfId="0" applyNumberFormat="1" applyFill="1" applyBorder="1"/>
    <xf numFmtId="166" fontId="0" fillId="4" borderId="2" xfId="2" applyNumberFormat="1" applyFont="1" applyFill="1" applyBorder="1"/>
    <xf numFmtId="0" fontId="0" fillId="5" borderId="0" xfId="0" applyFill="1" applyBorder="1"/>
    <xf numFmtId="0" fontId="0" fillId="5" borderId="0" xfId="0" applyFill="1"/>
    <xf numFmtId="0" fontId="0" fillId="12" borderId="0" xfId="0" applyFill="1"/>
    <xf numFmtId="0" fontId="0" fillId="0" borderId="7" xfId="0" applyBorder="1"/>
    <xf numFmtId="0" fontId="0" fillId="0" borderId="7" xfId="0" applyBorder="1" applyAlignment="1">
      <alignment horizontal="left"/>
    </xf>
    <xf numFmtId="0" fontId="0" fillId="0" borderId="7" xfId="0" applyNumberFormat="1" applyBorder="1"/>
    <xf numFmtId="165" fontId="12" fillId="0" borderId="0" xfId="6" applyNumberFormat="1" applyFill="1"/>
    <xf numFmtId="0" fontId="8" fillId="0" borderId="0" xfId="7"/>
    <xf numFmtId="49" fontId="8" fillId="0" borderId="0" xfId="7" applyNumberFormat="1"/>
    <xf numFmtId="0" fontId="13" fillId="0" borderId="0" xfId="8"/>
    <xf numFmtId="0" fontId="14" fillId="14" borderId="0" xfId="7" quotePrefix="1" applyFont="1" applyFill="1"/>
    <xf numFmtId="49" fontId="8" fillId="14" borderId="0" xfId="7" quotePrefix="1" applyNumberFormat="1" applyFill="1"/>
    <xf numFmtId="0" fontId="8" fillId="14" borderId="0" xfId="7" applyFill="1"/>
    <xf numFmtId="49" fontId="1" fillId="14" borderId="0" xfId="7" quotePrefix="1" applyNumberFormat="1" applyFont="1" applyFill="1" applyAlignment="1">
      <alignment horizontal="left" indent="1"/>
    </xf>
    <xf numFmtId="0" fontId="1" fillId="14" borderId="0" xfId="7" applyFont="1" applyFill="1"/>
    <xf numFmtId="49" fontId="8" fillId="0" borderId="0" xfId="7" quotePrefix="1" applyNumberFormat="1"/>
    <xf numFmtId="0" fontId="8" fillId="0" borderId="0" xfId="7" quotePrefix="1" applyAlignment="1">
      <alignment horizontal="left"/>
    </xf>
    <xf numFmtId="0" fontId="14" fillId="0" borderId="0" xfId="7" applyFont="1"/>
    <xf numFmtId="0" fontId="14" fillId="15" borderId="0" xfId="7" applyFont="1" applyFill="1"/>
    <xf numFmtId="0" fontId="1" fillId="14" borderId="0" xfId="7" quotePrefix="1" applyFont="1" applyFill="1" applyAlignment="1">
      <alignment horizontal="left"/>
    </xf>
    <xf numFmtId="0" fontId="14" fillId="14" borderId="0" xfId="7" applyFont="1" applyFill="1"/>
    <xf numFmtId="49" fontId="1" fillId="14" borderId="0" xfId="7" applyNumberFormat="1" applyFont="1" applyFill="1"/>
    <xf numFmtId="49" fontId="1" fillId="0" borderId="0" xfId="7" applyNumberFormat="1" applyFont="1"/>
    <xf numFmtId="0" fontId="1" fillId="0" borderId="0" xfId="7" quotePrefix="1" applyFont="1" applyAlignment="1">
      <alignment horizontal="left" indent="1"/>
    </xf>
    <xf numFmtId="0" fontId="1" fillId="0" borderId="0" xfId="7" applyFont="1"/>
    <xf numFmtId="0" fontId="8" fillId="0" borderId="0" xfId="7" quotePrefix="1"/>
    <xf numFmtId="0" fontId="1" fillId="0" borderId="0" xfId="7" quotePrefix="1" applyFont="1"/>
    <xf numFmtId="0" fontId="13" fillId="0" borderId="0" xfId="7" applyFont="1"/>
    <xf numFmtId="0" fontId="13" fillId="0" borderId="0" xfId="7" quotePrefix="1" applyFont="1"/>
    <xf numFmtId="49" fontId="1" fillId="14" borderId="0" xfId="7" quotePrefix="1" applyNumberFormat="1" applyFont="1" applyFill="1"/>
    <xf numFmtId="0" fontId="14" fillId="0" borderId="0" xfId="7" quotePrefix="1" applyFont="1"/>
    <xf numFmtId="49" fontId="1" fillId="0" borderId="0" xfId="7" quotePrefix="1" applyNumberFormat="1" applyFont="1"/>
    <xf numFmtId="0" fontId="8" fillId="0" borderId="0" xfId="8" applyFont="1"/>
    <xf numFmtId="0" fontId="14" fillId="0" borderId="0" xfId="9" applyFont="1"/>
    <xf numFmtId="49" fontId="13" fillId="0" borderId="0" xfId="7" quotePrefix="1" applyNumberFormat="1" applyFont="1"/>
    <xf numFmtId="49" fontId="13" fillId="0" borderId="0" xfId="7" applyNumberFormat="1" applyFont="1"/>
    <xf numFmtId="49" fontId="13" fillId="0" borderId="0" xfId="7" quotePrefix="1" applyNumberFormat="1" applyFont="1" applyAlignment="1">
      <alignment horizontal="left" vertical="center"/>
    </xf>
    <xf numFmtId="0" fontId="15" fillId="0" borderId="6" xfId="7" applyFont="1" applyBorder="1"/>
    <xf numFmtId="0" fontId="15" fillId="0" borderId="0" xfId="7" applyFont="1"/>
    <xf numFmtId="0" fontId="8" fillId="9" borderId="0" xfId="7" applyFill="1"/>
    <xf numFmtId="0" fontId="15" fillId="11" borderId="6" xfId="7" applyFont="1" applyFill="1" applyBorder="1"/>
    <xf numFmtId="0" fontId="16" fillId="0" borderId="0" xfId="7" applyFont="1"/>
    <xf numFmtId="170" fontId="18" fillId="0" borderId="0" xfId="3" applyNumberFormat="1" applyFont="1" applyFill="1" applyAlignment="1">
      <alignment horizontal="left"/>
    </xf>
    <xf numFmtId="169" fontId="18" fillId="0" borderId="0" xfId="3" applyNumberFormat="1" applyFont="1" applyFill="1" applyAlignment="1">
      <alignment horizontal="left"/>
    </xf>
    <xf numFmtId="1" fontId="17" fillId="0" borderId="0" xfId="0" applyNumberFormat="1" applyFont="1" applyFill="1"/>
    <xf numFmtId="0" fontId="17" fillId="7" borderId="0" xfId="0" applyFont="1" applyFill="1" applyAlignment="1">
      <alignment horizontal="center"/>
    </xf>
    <xf numFmtId="9" fontId="0" fillId="0" borderId="0" xfId="2" applyNumberFormat="1" applyFont="1"/>
    <xf numFmtId="171" fontId="0" fillId="0" borderId="0" xfId="2" applyNumberFormat="1" applyFont="1"/>
    <xf numFmtId="166" fontId="0" fillId="0" borderId="0" xfId="2" applyNumberFormat="1" applyFont="1"/>
    <xf numFmtId="164" fontId="0" fillId="2" borderId="0" xfId="0" applyNumberFormat="1" applyFill="1" applyAlignment="1">
      <alignment horizontal="right"/>
    </xf>
    <xf numFmtId="164" fontId="0" fillId="16" borderId="0" xfId="0" applyNumberFormat="1" applyFill="1"/>
    <xf numFmtId="0" fontId="0" fillId="9" borderId="0" xfId="0" applyFill="1" applyBorder="1"/>
    <xf numFmtId="164" fontId="0" fillId="17" borderId="0" xfId="0" applyNumberFormat="1" applyFill="1" applyAlignment="1">
      <alignment horizontal="right"/>
    </xf>
    <xf numFmtId="164" fontId="0" fillId="17" borderId="0" xfId="0" applyNumberFormat="1" applyFill="1"/>
    <xf numFmtId="0" fontId="0" fillId="18" borderId="0" xfId="0" applyFill="1"/>
    <xf numFmtId="0" fontId="0" fillId="5" borderId="0" xfId="0" applyFill="1" applyAlignment="1">
      <alignment horizontal="left"/>
    </xf>
    <xf numFmtId="164" fontId="0" fillId="0" borderId="0" xfId="0" applyNumberFormat="1" applyFill="1"/>
    <xf numFmtId="164" fontId="0" fillId="0" borderId="2" xfId="0" applyNumberFormat="1" applyFill="1" applyBorder="1"/>
    <xf numFmtId="0" fontId="0" fillId="19" borderId="0" xfId="0" applyFill="1" applyBorder="1"/>
    <xf numFmtId="0" fontId="0" fillId="19" borderId="2" xfId="0" applyFill="1" applyBorder="1"/>
    <xf numFmtId="0" fontId="0" fillId="20" borderId="2" xfId="0" applyFill="1" applyBorder="1"/>
    <xf numFmtId="1" fontId="14" fillId="0" borderId="0" xfId="0" applyNumberFormat="1" applyFont="1" applyFill="1"/>
    <xf numFmtId="0" fontId="17" fillId="0" borderId="0" xfId="0" applyFont="1"/>
    <xf numFmtId="0" fontId="19" fillId="21" borderId="8" xfId="0" applyFont="1" applyFill="1" applyBorder="1" applyAlignment="1">
      <alignment horizontal="center"/>
    </xf>
    <xf numFmtId="0" fontId="19" fillId="21" borderId="9" xfId="0" applyFont="1" applyFill="1" applyBorder="1" applyAlignment="1">
      <alignment horizontal="center"/>
    </xf>
    <xf numFmtId="9" fontId="0" fillId="0" borderId="0" xfId="0" applyNumberFormat="1"/>
    <xf numFmtId="169" fontId="18" fillId="9" borderId="0" xfId="3" applyNumberFormat="1" applyFont="1" applyFill="1" applyAlignment="1">
      <alignment horizontal="left"/>
    </xf>
    <xf numFmtId="166" fontId="0" fillId="0" borderId="0" xfId="0" applyNumberFormat="1"/>
  </cellXfs>
  <cellStyles count="10">
    <cellStyle name="Bad" xfId="6" builtinId="27"/>
    <cellStyle name="Comma" xfId="1" builtinId="3"/>
    <cellStyle name="Normal" xfId="0" builtinId="0"/>
    <cellStyle name="Normal 2" xfId="7" xr:uid="{00000000-0005-0000-0000-000003000000}"/>
    <cellStyle name="Normal 2 2 2" xfId="8" xr:uid="{00000000-0005-0000-0000-000004000000}"/>
    <cellStyle name="Normal 3" xfId="3" xr:uid="{00000000-0005-0000-0000-000005000000}"/>
    <cellStyle name="Normal 4" xfId="5" xr:uid="{00000000-0005-0000-0000-000006000000}"/>
    <cellStyle name="Normal 5" xfId="4" xr:uid="{00000000-0005-0000-0000-000007000000}"/>
    <cellStyle name="Normal_CdnCWTlistforERAin2011_forMA 2" xfId="9" xr:uid="{00000000-0005-0000-0000-000008000000}"/>
    <cellStyle name="Percent" xfId="2" builtinId="5"/>
  </cellStyles>
  <dxfs count="110">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69" formatCode="0.000"/>
    </dxf>
    <dxf>
      <numFmt numFmtId="172" formatCode="0.0000"/>
    </dxf>
    <dxf>
      <numFmt numFmtId="1" formatCode="0"/>
    </dxf>
    <dxf>
      <numFmt numFmtId="164" formatCode="0.0"/>
    </dxf>
    <dxf>
      <numFmt numFmtId="2" formatCode="0.00"/>
    </dxf>
    <dxf>
      <numFmt numFmtId="169" formatCode="0.000"/>
    </dxf>
    <dxf>
      <numFmt numFmtId="172" formatCode="0.0000"/>
    </dxf>
    <dxf>
      <numFmt numFmtId="173" formatCode="0.00000"/>
    </dxf>
    <dxf>
      <numFmt numFmtId="170" formatCode="0.000000"/>
    </dxf>
    <dxf>
      <numFmt numFmtId="174" formatCode="0.0000000"/>
    </dxf>
    <dxf>
      <numFmt numFmtId="175" formatCode="0.00000000"/>
    </dxf>
    <dxf>
      <numFmt numFmtId="176" formatCode="0.00000000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9" formatCode="0.000"/>
    </dxf>
    <dxf>
      <numFmt numFmtId="169" formatCode="0.000"/>
    </dxf>
    <dxf>
      <numFmt numFmtId="169" formatCode="0.000"/>
    </dxf>
    <dxf>
      <numFmt numFmtId="169" formatCode="0.000"/>
    </dxf>
    <dxf>
      <numFmt numFmtId="169" formatCode="0.000"/>
    </dxf>
    <dxf>
      <numFmt numFmtId="172" formatCode="0.0000"/>
    </dxf>
    <dxf>
      <numFmt numFmtId="172" formatCode="0.0000"/>
    </dxf>
    <dxf>
      <numFmt numFmtId="172" formatCode="0.0000"/>
    </dxf>
    <dxf>
      <numFmt numFmtId="172" formatCode="0.0000"/>
    </dxf>
    <dxf>
      <numFmt numFmtId="172" formatCode="0.0000"/>
    </dxf>
    <dxf>
      <numFmt numFmtId="172" formatCode="0.0000"/>
    </dxf>
    <dxf>
      <numFmt numFmtId="173" formatCode="0.00000"/>
    </dxf>
    <dxf>
      <numFmt numFmtId="173" formatCode="0.00000"/>
    </dxf>
    <dxf>
      <numFmt numFmtId="173" formatCode="0.00000"/>
    </dxf>
    <dxf>
      <numFmt numFmtId="173" formatCode="0.00000"/>
    </dxf>
    <dxf>
      <numFmt numFmtId="173" formatCode="0.00000"/>
    </dxf>
    <dxf>
      <numFmt numFmtId="173" formatCode="0.00000"/>
    </dxf>
    <dxf>
      <numFmt numFmtId="170" formatCode="0.000000"/>
    </dxf>
    <dxf>
      <numFmt numFmtId="170" formatCode="0.000000"/>
    </dxf>
    <dxf>
      <numFmt numFmtId="170" formatCode="0.000000"/>
    </dxf>
    <dxf>
      <numFmt numFmtId="170" formatCode="0.000000"/>
    </dxf>
    <dxf>
      <numFmt numFmtId="170" formatCode="0.000000"/>
    </dxf>
    <dxf>
      <numFmt numFmtId="170" formatCode="0.000000"/>
    </dxf>
    <dxf>
      <numFmt numFmtId="174" formatCode="0.0000000"/>
    </dxf>
    <dxf>
      <numFmt numFmtId="174" formatCode="0.0000000"/>
    </dxf>
    <dxf>
      <numFmt numFmtId="174" formatCode="0.0000000"/>
    </dxf>
    <dxf>
      <numFmt numFmtId="174" formatCode="0.0000000"/>
    </dxf>
    <dxf>
      <numFmt numFmtId="174" formatCode="0.0000000"/>
    </dxf>
    <dxf>
      <numFmt numFmtId="174" formatCode="0.0000000"/>
    </dxf>
    <dxf>
      <numFmt numFmtId="175" formatCode="0.00000000"/>
    </dxf>
    <dxf>
      <numFmt numFmtId="175" formatCode="0.00000000"/>
    </dxf>
    <dxf>
      <numFmt numFmtId="175" formatCode="0.00000000"/>
    </dxf>
    <dxf>
      <numFmt numFmtId="175" formatCode="0.00000000"/>
    </dxf>
    <dxf>
      <numFmt numFmtId="175" formatCode="0.00000000"/>
    </dxf>
    <dxf>
      <numFmt numFmtId="175" formatCode="0.00000000"/>
    </dxf>
    <dxf>
      <numFmt numFmtId="176" formatCode="0.000000000"/>
    </dxf>
    <dxf>
      <numFmt numFmtId="176" formatCode="0.000000000"/>
    </dxf>
    <dxf>
      <numFmt numFmtId="176" formatCode="0.000000000"/>
    </dxf>
    <dxf>
      <numFmt numFmtId="176" formatCode="0.000000000"/>
    </dxf>
    <dxf>
      <numFmt numFmtId="176" formatCode="0.000000000"/>
    </dxf>
    <dxf>
      <numFmt numFmtId="176" formatCode="0.000000000"/>
    </dxf>
    <dxf>
      <numFmt numFmtId="175" formatCode="0.00000000"/>
    </dxf>
    <dxf>
      <numFmt numFmtId="175" formatCode="0.00000000"/>
    </dxf>
    <dxf>
      <numFmt numFmtId="175" formatCode="0.00000000"/>
    </dxf>
    <dxf>
      <numFmt numFmtId="175" formatCode="0.00000000"/>
    </dxf>
    <dxf>
      <numFmt numFmtId="175" formatCode="0.00000000"/>
    </dxf>
    <dxf>
      <numFmt numFmtId="175" formatCode="0.00000000"/>
    </dxf>
    <dxf>
      <numFmt numFmtId="174" formatCode="0.0000000"/>
    </dxf>
    <dxf>
      <numFmt numFmtId="174" formatCode="0.0000000"/>
    </dxf>
    <dxf>
      <numFmt numFmtId="174" formatCode="0.0000000"/>
    </dxf>
    <dxf>
      <numFmt numFmtId="174" formatCode="0.0000000"/>
    </dxf>
    <dxf>
      <numFmt numFmtId="174" formatCode="0.0000000"/>
    </dxf>
    <dxf>
      <numFmt numFmtId="174" formatCode="0.0000000"/>
    </dxf>
    <dxf>
      <numFmt numFmtId="1" formatCode="0"/>
    </dxf>
    <dxf>
      <border>
        <bottom style="double">
          <color indexed="64"/>
        </bottom>
      </border>
    </dxf>
    <dxf>
      <border>
        <bottom style="double">
          <color indexed="64"/>
        </bottom>
      </border>
    </dxf>
    <dxf>
      <border>
        <bottom/>
      </border>
    </dxf>
    <dxf>
      <border>
        <bottom/>
      </border>
    </dxf>
    <dxf>
      <border>
        <bottom style="thin">
          <color theme="4"/>
        </bottom>
      </border>
    </dxf>
    <dxf>
      <border>
        <bottom style="thin">
          <color theme="4"/>
        </bottom>
      </border>
    </dxf>
    <dxf>
      <border>
        <bottom style="thin">
          <color theme="4"/>
        </bottom>
      </border>
    </dxf>
    <dxf>
      <border>
        <bottom style="thin">
          <color theme="4"/>
        </bottom>
      </border>
    </dxf>
    <dxf>
      <border>
        <bottom style="thin">
          <color indexed="64"/>
        </bottom>
      </border>
    </dxf>
    <dxf>
      <border>
        <bottom style="thin">
          <color indexed="64"/>
        </bottom>
      </border>
    </dxf>
  </dxfs>
  <tableStyles count="0" defaultTableStyle="TableStyleMedium2" defaultPivotStyle="PivotStyleLight16"/>
  <colors>
    <mruColors>
      <color rgb="FFFFFF99"/>
      <color rgb="FFFA9CE8"/>
      <color rgb="FFABF0F3"/>
      <color rgb="FFF86EDE"/>
      <color rgb="FF7BEBE8"/>
      <color rgb="FF99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Chilko Escapement at Age 2018-2023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'Esc Age for Study Design'!$H$8</c:f>
              <c:strCache>
                <c:ptCount val="1"/>
                <c:pt idx="0">
                  <c:v>% Esc age 3 (Jack)</c:v>
                </c:pt>
              </c:strCache>
            </c:strRef>
          </c:tx>
          <c:spPr>
            <a:solidFill>
              <a:schemeClr val="accent6"/>
            </a:solidFill>
            <a:ln>
              <a:noFill/>
            </a:ln>
            <a:effectLst/>
          </c:spPr>
          <c:invertIfNegative val="0"/>
          <c:cat>
            <c:strRef>
              <c:f>'Esc Age for Study Design'!$G$9:$G$15</c:f>
              <c:strCache>
                <c:ptCount val="7"/>
                <c:pt idx="0">
                  <c:v>2019</c:v>
                </c:pt>
                <c:pt idx="1">
                  <c:v>2020</c:v>
                </c:pt>
                <c:pt idx="2">
                  <c:v>2021</c:v>
                </c:pt>
                <c:pt idx="3">
                  <c:v>2022</c:v>
                </c:pt>
                <c:pt idx="4">
                  <c:v>2023</c:v>
                </c:pt>
                <c:pt idx="5">
                  <c:v>2024</c:v>
                </c:pt>
                <c:pt idx="6">
                  <c:v>6 Yr Average</c:v>
                </c:pt>
              </c:strCache>
            </c:strRef>
          </c:cat>
          <c:val>
            <c:numRef>
              <c:f>'Esc Age for Study Design'!$H$9:$H$15</c:f>
              <c:numCache>
                <c:formatCode>0%</c:formatCode>
                <c:ptCount val="7"/>
                <c:pt idx="0">
                  <c:v>0</c:v>
                </c:pt>
                <c:pt idx="1">
                  <c:v>2.1732182806008308E-2</c:v>
                </c:pt>
                <c:pt idx="2">
                  <c:v>3.1759786444130036E-2</c:v>
                </c:pt>
                <c:pt idx="3">
                  <c:v>0</c:v>
                </c:pt>
                <c:pt idx="4">
                  <c:v>3.2522779873879054E-2</c:v>
                </c:pt>
                <c:pt idx="5">
                  <c:v>4.9863175241522152E-2</c:v>
                </c:pt>
                <c:pt idx="6">
                  <c:v>1.7202949824803478E-2</c:v>
                </c:pt>
              </c:numCache>
            </c:numRef>
          </c:val>
          <c:extLst>
            <c:ext xmlns:c16="http://schemas.microsoft.com/office/drawing/2014/chart" uri="{C3380CC4-5D6E-409C-BE32-E72D297353CC}">
              <c16:uniqueId val="{00000000-8A92-4A1D-953F-ABD01EEF5BFF}"/>
            </c:ext>
          </c:extLst>
        </c:ser>
        <c:ser>
          <c:idx val="1"/>
          <c:order val="1"/>
          <c:tx>
            <c:strRef>
              <c:f>'Esc Age for Study Design'!$I$8</c:f>
              <c:strCache>
                <c:ptCount val="1"/>
                <c:pt idx="0">
                  <c:v>% Esc age 4</c:v>
                </c:pt>
              </c:strCache>
            </c:strRef>
          </c:tx>
          <c:spPr>
            <a:solidFill>
              <a:schemeClr val="bg1">
                <a:lumMod val="75000"/>
              </a:schemeClr>
            </a:solidFill>
            <a:ln>
              <a:noFill/>
            </a:ln>
            <a:effectLst/>
          </c:spPr>
          <c:invertIfNegative val="0"/>
          <c:cat>
            <c:strRef>
              <c:f>'Esc Age for Study Design'!$G$9:$G$15</c:f>
              <c:strCache>
                <c:ptCount val="7"/>
                <c:pt idx="0">
                  <c:v>2019</c:v>
                </c:pt>
                <c:pt idx="1">
                  <c:v>2020</c:v>
                </c:pt>
                <c:pt idx="2">
                  <c:v>2021</c:v>
                </c:pt>
                <c:pt idx="3">
                  <c:v>2022</c:v>
                </c:pt>
                <c:pt idx="4">
                  <c:v>2023</c:v>
                </c:pt>
                <c:pt idx="5">
                  <c:v>2024</c:v>
                </c:pt>
                <c:pt idx="6">
                  <c:v>6 Yr Average</c:v>
                </c:pt>
              </c:strCache>
            </c:strRef>
          </c:cat>
          <c:val>
            <c:numRef>
              <c:f>'Esc Age for Study Design'!$I$9:$I$15</c:f>
              <c:numCache>
                <c:formatCode>0%</c:formatCode>
                <c:ptCount val="7"/>
                <c:pt idx="0">
                  <c:v>0.42926829268292693</c:v>
                </c:pt>
                <c:pt idx="1">
                  <c:v>0.28724722024450328</c:v>
                </c:pt>
                <c:pt idx="2">
                  <c:v>0.59486879649734303</c:v>
                </c:pt>
                <c:pt idx="3">
                  <c:v>0.38255220055338657</c:v>
                </c:pt>
                <c:pt idx="4">
                  <c:v>0.3467964887440077</c:v>
                </c:pt>
                <c:pt idx="5">
                  <c:v>0.76481044760439409</c:v>
                </c:pt>
                <c:pt idx="6">
                  <c:v>0.40814659974443346</c:v>
                </c:pt>
              </c:numCache>
            </c:numRef>
          </c:val>
          <c:extLst>
            <c:ext xmlns:c16="http://schemas.microsoft.com/office/drawing/2014/chart" uri="{C3380CC4-5D6E-409C-BE32-E72D297353CC}">
              <c16:uniqueId val="{00000001-8A92-4A1D-953F-ABD01EEF5BFF}"/>
            </c:ext>
          </c:extLst>
        </c:ser>
        <c:ser>
          <c:idx val="2"/>
          <c:order val="2"/>
          <c:tx>
            <c:strRef>
              <c:f>'Esc Age for Study Design'!$J$8</c:f>
              <c:strCache>
                <c:ptCount val="1"/>
                <c:pt idx="0">
                  <c:v>% Esc age 5</c:v>
                </c:pt>
              </c:strCache>
            </c:strRef>
          </c:tx>
          <c:spPr>
            <a:solidFill>
              <a:schemeClr val="accent1"/>
            </a:solidFill>
            <a:ln>
              <a:noFill/>
            </a:ln>
            <a:effectLst/>
          </c:spPr>
          <c:invertIfNegative val="0"/>
          <c:cat>
            <c:strRef>
              <c:f>'Esc Age for Study Design'!$G$9:$G$15</c:f>
              <c:strCache>
                <c:ptCount val="7"/>
                <c:pt idx="0">
                  <c:v>2019</c:v>
                </c:pt>
                <c:pt idx="1">
                  <c:v>2020</c:v>
                </c:pt>
                <c:pt idx="2">
                  <c:v>2021</c:v>
                </c:pt>
                <c:pt idx="3">
                  <c:v>2022</c:v>
                </c:pt>
                <c:pt idx="4">
                  <c:v>2023</c:v>
                </c:pt>
                <c:pt idx="5">
                  <c:v>2024</c:v>
                </c:pt>
                <c:pt idx="6">
                  <c:v>6 Yr Average</c:v>
                </c:pt>
              </c:strCache>
            </c:strRef>
          </c:cat>
          <c:val>
            <c:numRef>
              <c:f>'Esc Age for Study Design'!$J$9:$J$15</c:f>
              <c:numCache>
                <c:formatCode>0%</c:formatCode>
                <c:ptCount val="7"/>
                <c:pt idx="0">
                  <c:v>0.57073170731707312</c:v>
                </c:pt>
                <c:pt idx="1">
                  <c:v>0.69102059694948836</c:v>
                </c:pt>
                <c:pt idx="2">
                  <c:v>0.37337141705852689</c:v>
                </c:pt>
                <c:pt idx="3">
                  <c:v>0.61744779944661343</c:v>
                </c:pt>
                <c:pt idx="4">
                  <c:v>0.62068073138211333</c:v>
                </c:pt>
                <c:pt idx="5">
                  <c:v>0.18532637715408376</c:v>
                </c:pt>
                <c:pt idx="6">
                  <c:v>0.57465045043076302</c:v>
                </c:pt>
              </c:numCache>
            </c:numRef>
          </c:val>
          <c:extLst>
            <c:ext xmlns:c16="http://schemas.microsoft.com/office/drawing/2014/chart" uri="{C3380CC4-5D6E-409C-BE32-E72D297353CC}">
              <c16:uniqueId val="{00000002-8A92-4A1D-953F-ABD01EEF5BFF}"/>
            </c:ext>
          </c:extLst>
        </c:ser>
        <c:ser>
          <c:idx val="3"/>
          <c:order val="3"/>
          <c:tx>
            <c:strRef>
              <c:f>'Esc Age for Study Design'!$K$8</c:f>
              <c:strCache>
                <c:ptCount val="1"/>
                <c:pt idx="0">
                  <c:v>% Esc age 6</c:v>
                </c:pt>
              </c:strCache>
            </c:strRef>
          </c:tx>
          <c:spPr>
            <a:solidFill>
              <a:schemeClr val="accent3"/>
            </a:solidFill>
            <a:ln>
              <a:noFill/>
            </a:ln>
            <a:effectLst/>
          </c:spPr>
          <c:invertIfNegative val="0"/>
          <c:cat>
            <c:strRef>
              <c:f>'Esc Age for Study Design'!$G$9:$G$15</c:f>
              <c:strCache>
                <c:ptCount val="7"/>
                <c:pt idx="0">
                  <c:v>2019</c:v>
                </c:pt>
                <c:pt idx="1">
                  <c:v>2020</c:v>
                </c:pt>
                <c:pt idx="2">
                  <c:v>2021</c:v>
                </c:pt>
                <c:pt idx="3">
                  <c:v>2022</c:v>
                </c:pt>
                <c:pt idx="4">
                  <c:v>2023</c:v>
                </c:pt>
                <c:pt idx="5">
                  <c:v>2024</c:v>
                </c:pt>
                <c:pt idx="6">
                  <c:v>6 Yr Average</c:v>
                </c:pt>
              </c:strCache>
            </c:strRef>
          </c:cat>
          <c:val>
            <c:numRef>
              <c:f>'Esc Age for Study Design'!$K$9:$K$12</c:f>
              <c:numCache>
                <c:formatCode>0.0%</c:formatCode>
                <c:ptCount val="4"/>
                <c:pt idx="0">
                  <c:v>0</c:v>
                </c:pt>
                <c:pt idx="1">
                  <c:v>0</c:v>
                </c:pt>
                <c:pt idx="2">
                  <c:v>0</c:v>
                </c:pt>
                <c:pt idx="3">
                  <c:v>0</c:v>
                </c:pt>
              </c:numCache>
            </c:numRef>
          </c:val>
          <c:extLst>
            <c:ext xmlns:c16="http://schemas.microsoft.com/office/drawing/2014/chart" uri="{C3380CC4-5D6E-409C-BE32-E72D297353CC}">
              <c16:uniqueId val="{00000003-8A92-4A1D-953F-ABD01EEF5BFF}"/>
            </c:ext>
          </c:extLst>
        </c:ser>
        <c:dLbls>
          <c:showLegendKey val="0"/>
          <c:showVal val="0"/>
          <c:showCatName val="0"/>
          <c:showSerName val="0"/>
          <c:showPercent val="0"/>
          <c:showBubbleSize val="0"/>
        </c:dLbls>
        <c:gapWidth val="150"/>
        <c:overlap val="100"/>
        <c:axId val="1630638448"/>
        <c:axId val="1630669648"/>
      </c:barChart>
      <c:catAx>
        <c:axId val="16306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69648"/>
        <c:crosses val="autoZero"/>
        <c:auto val="1"/>
        <c:lblAlgn val="ctr"/>
        <c:lblOffset val="100"/>
        <c:noMultiLvlLbl val="0"/>
      </c:catAx>
      <c:valAx>
        <c:axId val="163066964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3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'Age-specific Escapement Sum'!$T$5</c:f>
              <c:strCache>
                <c:ptCount val="1"/>
                <c:pt idx="0">
                  <c:v>Age-32</c:v>
                </c:pt>
              </c:strCache>
            </c:strRef>
          </c:tx>
          <c:invertIfNegative val="0"/>
          <c:cat>
            <c:numRef>
              <c:f>'Age-specific Escapement Sum'!$S$6:$S$20</c:f>
              <c:numCache>
                <c:formatCode>0_);\(0\)</c:formatCode>
                <c:ptCount val="15"/>
                <c:pt idx="0">
                  <c:v>2010</c:v>
                </c:pt>
                <c:pt idx="1">
                  <c:v>2011</c:v>
                </c:pt>
                <c:pt idx="2">
                  <c:v>2012</c:v>
                </c:pt>
                <c:pt idx="3">
                  <c:v>2013</c:v>
                </c:pt>
                <c:pt idx="4">
                  <c:v>2014</c:v>
                </c:pt>
                <c:pt idx="5" formatCode="General">
                  <c:v>2015</c:v>
                </c:pt>
                <c:pt idx="6" formatCode="General">
                  <c:v>2016</c:v>
                </c:pt>
                <c:pt idx="7" formatCode="General">
                  <c:v>2017</c:v>
                </c:pt>
                <c:pt idx="8" formatCode="General">
                  <c:v>2018</c:v>
                </c:pt>
                <c:pt idx="9" formatCode="General">
                  <c:v>2019</c:v>
                </c:pt>
                <c:pt idx="10" formatCode="General">
                  <c:v>2020</c:v>
                </c:pt>
                <c:pt idx="11" formatCode="General">
                  <c:v>2021</c:v>
                </c:pt>
                <c:pt idx="12" formatCode="General">
                  <c:v>2022</c:v>
                </c:pt>
                <c:pt idx="13" formatCode="General">
                  <c:v>2023</c:v>
                </c:pt>
                <c:pt idx="14" formatCode="General">
                  <c:v>2024</c:v>
                </c:pt>
              </c:numCache>
            </c:numRef>
          </c:cat>
          <c:val>
            <c:numRef>
              <c:f>'Age-specific Escapement Sum'!$T$6:$T$20</c:f>
              <c:numCache>
                <c:formatCode>_(* #,##0_);_(* \(#,##0\);_(* "-"??_);_(@_)</c:formatCode>
                <c:ptCount val="15"/>
                <c:pt idx="0">
                  <c:v>44.751014357053684</c:v>
                </c:pt>
                <c:pt idx="1">
                  <c:v>19</c:v>
                </c:pt>
                <c:pt idx="2">
                  <c:v>176.9220726938118</c:v>
                </c:pt>
                <c:pt idx="3">
                  <c:v>400.75590451345658</c:v>
                </c:pt>
                <c:pt idx="4">
                  <c:v>30.842105263157894</c:v>
                </c:pt>
                <c:pt idx="5">
                  <c:v>19.136842105263156</c:v>
                </c:pt>
                <c:pt idx="6">
                  <c:v>109</c:v>
                </c:pt>
                <c:pt idx="7">
                  <c:v>16.5</c:v>
                </c:pt>
                <c:pt idx="8">
                  <c:v>0</c:v>
                </c:pt>
                <c:pt idx="9">
                  <c:v>0</c:v>
                </c:pt>
                <c:pt idx="10">
                  <c:v>143</c:v>
                </c:pt>
                <c:pt idx="11">
                  <c:v>99.696103896103907</c:v>
                </c:pt>
                <c:pt idx="12">
                  <c:v>331.81131549609808</c:v>
                </c:pt>
                <c:pt idx="13">
                  <c:v>351.42857142857144</c:v>
                </c:pt>
                <c:pt idx="14">
                  <c:v>230.63636363636363</c:v>
                </c:pt>
              </c:numCache>
            </c:numRef>
          </c:val>
          <c:extLst>
            <c:ext xmlns:c16="http://schemas.microsoft.com/office/drawing/2014/chart" uri="{C3380CC4-5D6E-409C-BE32-E72D297353CC}">
              <c16:uniqueId val="{00000000-3959-4AD6-A91A-ABA8B6B99AF5}"/>
            </c:ext>
          </c:extLst>
        </c:ser>
        <c:ser>
          <c:idx val="1"/>
          <c:order val="1"/>
          <c:tx>
            <c:strRef>
              <c:f>'Age-specific Escapement Sum'!$U$5</c:f>
              <c:strCache>
                <c:ptCount val="1"/>
                <c:pt idx="0">
                  <c:v>Age-42</c:v>
                </c:pt>
              </c:strCache>
            </c:strRef>
          </c:tx>
          <c:invertIfNegative val="0"/>
          <c:cat>
            <c:numRef>
              <c:f>'Age-specific Escapement Sum'!$S$6:$S$20</c:f>
              <c:numCache>
                <c:formatCode>0_);\(0\)</c:formatCode>
                <c:ptCount val="15"/>
                <c:pt idx="0">
                  <c:v>2010</c:v>
                </c:pt>
                <c:pt idx="1">
                  <c:v>2011</c:v>
                </c:pt>
                <c:pt idx="2">
                  <c:v>2012</c:v>
                </c:pt>
                <c:pt idx="3">
                  <c:v>2013</c:v>
                </c:pt>
                <c:pt idx="4">
                  <c:v>2014</c:v>
                </c:pt>
                <c:pt idx="5" formatCode="General">
                  <c:v>2015</c:v>
                </c:pt>
                <c:pt idx="6" formatCode="General">
                  <c:v>2016</c:v>
                </c:pt>
                <c:pt idx="7" formatCode="General">
                  <c:v>2017</c:v>
                </c:pt>
                <c:pt idx="8" formatCode="General">
                  <c:v>2018</c:v>
                </c:pt>
                <c:pt idx="9" formatCode="General">
                  <c:v>2019</c:v>
                </c:pt>
                <c:pt idx="10" formatCode="General">
                  <c:v>2020</c:v>
                </c:pt>
                <c:pt idx="11" formatCode="General">
                  <c:v>2021</c:v>
                </c:pt>
                <c:pt idx="12" formatCode="General">
                  <c:v>2022</c:v>
                </c:pt>
                <c:pt idx="13" formatCode="General">
                  <c:v>2023</c:v>
                </c:pt>
                <c:pt idx="14" formatCode="General">
                  <c:v>2024</c:v>
                </c:pt>
              </c:numCache>
            </c:numRef>
          </c:cat>
          <c:val>
            <c:numRef>
              <c:f>'Age-specific Escapement Sum'!$U$6:$U$20</c:f>
              <c:numCache>
                <c:formatCode>_(* #,##0_);_(* \(#,##0\);_(* "-"??_);_(@_)</c:formatCode>
                <c:ptCount val="15"/>
                <c:pt idx="0">
                  <c:v>3880.8798690109156</c:v>
                </c:pt>
                <c:pt idx="1">
                  <c:v>1405.2216040009296</c:v>
                </c:pt>
                <c:pt idx="2">
                  <c:v>1411.3554609481762</c:v>
                </c:pt>
                <c:pt idx="3">
                  <c:v>2495.8152482962569</c:v>
                </c:pt>
                <c:pt idx="4">
                  <c:v>5816.2648276535492</c:v>
                </c:pt>
                <c:pt idx="5">
                  <c:v>3350.2609958074909</c:v>
                </c:pt>
                <c:pt idx="6">
                  <c:v>1251.3861111111109</c:v>
                </c:pt>
                <c:pt idx="7">
                  <c:v>1540.0465320538451</c:v>
                </c:pt>
                <c:pt idx="8">
                  <c:v>1203.4591301230801</c:v>
                </c:pt>
                <c:pt idx="9">
                  <c:v>1349.148780487805</c:v>
                </c:pt>
                <c:pt idx="10">
                  <c:v>2118.2240629011703</c:v>
                </c:pt>
                <c:pt idx="11">
                  <c:v>3679.8311230047111</c:v>
                </c:pt>
                <c:pt idx="12">
                  <c:v>4837.1074054952869</c:v>
                </c:pt>
                <c:pt idx="13">
                  <c:v>2933.3070925669558</c:v>
                </c:pt>
                <c:pt idx="14">
                  <c:v>2665.4926573426574</c:v>
                </c:pt>
              </c:numCache>
            </c:numRef>
          </c:val>
          <c:extLst>
            <c:ext xmlns:c16="http://schemas.microsoft.com/office/drawing/2014/chart" uri="{C3380CC4-5D6E-409C-BE32-E72D297353CC}">
              <c16:uniqueId val="{00000001-3959-4AD6-A91A-ABA8B6B99AF5}"/>
            </c:ext>
          </c:extLst>
        </c:ser>
        <c:ser>
          <c:idx val="2"/>
          <c:order val="2"/>
          <c:tx>
            <c:strRef>
              <c:f>'Age-specific Escapement Sum'!$V$5</c:f>
              <c:strCache>
                <c:ptCount val="1"/>
                <c:pt idx="0">
                  <c:v>Age-52</c:v>
                </c:pt>
              </c:strCache>
            </c:strRef>
          </c:tx>
          <c:invertIfNegative val="0"/>
          <c:cat>
            <c:numRef>
              <c:f>'Age-specific Escapement Sum'!$S$6:$S$20</c:f>
              <c:numCache>
                <c:formatCode>0_);\(0\)</c:formatCode>
                <c:ptCount val="15"/>
                <c:pt idx="0">
                  <c:v>2010</c:v>
                </c:pt>
                <c:pt idx="1">
                  <c:v>2011</c:v>
                </c:pt>
                <c:pt idx="2">
                  <c:v>2012</c:v>
                </c:pt>
                <c:pt idx="3">
                  <c:v>2013</c:v>
                </c:pt>
                <c:pt idx="4">
                  <c:v>2014</c:v>
                </c:pt>
                <c:pt idx="5" formatCode="General">
                  <c:v>2015</c:v>
                </c:pt>
                <c:pt idx="6" formatCode="General">
                  <c:v>2016</c:v>
                </c:pt>
                <c:pt idx="7" formatCode="General">
                  <c:v>2017</c:v>
                </c:pt>
                <c:pt idx="8" formatCode="General">
                  <c:v>2018</c:v>
                </c:pt>
                <c:pt idx="9" formatCode="General">
                  <c:v>2019</c:v>
                </c:pt>
                <c:pt idx="10" formatCode="General">
                  <c:v>2020</c:v>
                </c:pt>
                <c:pt idx="11" formatCode="General">
                  <c:v>2021</c:v>
                </c:pt>
                <c:pt idx="12" formatCode="General">
                  <c:v>2022</c:v>
                </c:pt>
                <c:pt idx="13" formatCode="General">
                  <c:v>2023</c:v>
                </c:pt>
                <c:pt idx="14" formatCode="General">
                  <c:v>2024</c:v>
                </c:pt>
              </c:numCache>
            </c:numRef>
          </c:cat>
          <c:val>
            <c:numRef>
              <c:f>'Age-specific Escapement Sum'!$V$6:$V$20</c:f>
              <c:numCache>
                <c:formatCode>_(* #,##0_);_(* \(#,##0\);_(* "-"??_);_(@_)</c:formatCode>
                <c:ptCount val="15"/>
                <c:pt idx="0">
                  <c:v>3241.3351428742781</c:v>
                </c:pt>
                <c:pt idx="1">
                  <c:v>6811.3083797317649</c:v>
                </c:pt>
                <c:pt idx="2">
                  <c:v>2626.4035134225169</c:v>
                </c:pt>
                <c:pt idx="3">
                  <c:v>1486.2444547810755</c:v>
                </c:pt>
                <c:pt idx="4">
                  <c:v>7388.9483025746176</c:v>
                </c:pt>
                <c:pt idx="5">
                  <c:v>7530.9114601018682</c:v>
                </c:pt>
                <c:pt idx="6">
                  <c:v>2613.9068888888887</c:v>
                </c:pt>
                <c:pt idx="7">
                  <c:v>1940.5082900173263</c:v>
                </c:pt>
                <c:pt idx="8">
                  <c:v>1049.9035471248776</c:v>
                </c:pt>
                <c:pt idx="9">
                  <c:v>1059.0300813008132</c:v>
                </c:pt>
                <c:pt idx="10">
                  <c:v>4193.7759370988297</c:v>
                </c:pt>
                <c:pt idx="11">
                  <c:v>1879.0977730991854</c:v>
                </c:pt>
                <c:pt idx="12">
                  <c:v>8647.2519568010321</c:v>
                </c:pt>
                <c:pt idx="13">
                  <c:v>4423.6549744510012</c:v>
                </c:pt>
                <c:pt idx="14">
                  <c:v>2055.697902097902</c:v>
                </c:pt>
              </c:numCache>
            </c:numRef>
          </c:val>
          <c:extLst>
            <c:ext xmlns:c16="http://schemas.microsoft.com/office/drawing/2014/chart" uri="{C3380CC4-5D6E-409C-BE32-E72D297353CC}">
              <c16:uniqueId val="{00000002-3959-4AD6-A91A-ABA8B6B99AF5}"/>
            </c:ext>
          </c:extLst>
        </c:ser>
        <c:ser>
          <c:idx val="3"/>
          <c:order val="3"/>
          <c:tx>
            <c:strRef>
              <c:f>'Age-specific Escapement Sum'!$W$5</c:f>
              <c:strCache>
                <c:ptCount val="1"/>
                <c:pt idx="0">
                  <c:v>Age-62</c:v>
                </c:pt>
              </c:strCache>
            </c:strRef>
          </c:tx>
          <c:invertIfNegative val="0"/>
          <c:cat>
            <c:numRef>
              <c:f>'Age-specific Escapement Sum'!$S$6:$S$20</c:f>
              <c:numCache>
                <c:formatCode>0_);\(0\)</c:formatCode>
                <c:ptCount val="15"/>
                <c:pt idx="0">
                  <c:v>2010</c:v>
                </c:pt>
                <c:pt idx="1">
                  <c:v>2011</c:v>
                </c:pt>
                <c:pt idx="2">
                  <c:v>2012</c:v>
                </c:pt>
                <c:pt idx="3">
                  <c:v>2013</c:v>
                </c:pt>
                <c:pt idx="4">
                  <c:v>2014</c:v>
                </c:pt>
                <c:pt idx="5" formatCode="General">
                  <c:v>2015</c:v>
                </c:pt>
                <c:pt idx="6" formatCode="General">
                  <c:v>2016</c:v>
                </c:pt>
                <c:pt idx="7" formatCode="General">
                  <c:v>2017</c:v>
                </c:pt>
                <c:pt idx="8" formatCode="General">
                  <c:v>2018</c:v>
                </c:pt>
                <c:pt idx="9" formatCode="General">
                  <c:v>2019</c:v>
                </c:pt>
                <c:pt idx="10" formatCode="General">
                  <c:v>2020</c:v>
                </c:pt>
                <c:pt idx="11" formatCode="General">
                  <c:v>2021</c:v>
                </c:pt>
                <c:pt idx="12" formatCode="General">
                  <c:v>2022</c:v>
                </c:pt>
                <c:pt idx="13" formatCode="General">
                  <c:v>2023</c:v>
                </c:pt>
                <c:pt idx="14" formatCode="General">
                  <c:v>2024</c:v>
                </c:pt>
              </c:numCache>
            </c:numRef>
          </c:cat>
          <c:val>
            <c:numRef>
              <c:f>'Age-specific Escapement Sum'!$W$6:$W$20</c:f>
              <c:numCache>
                <c:formatCode>_(* #,##0_);_(* \(#,##0\);_(* "-"??_);_(@_)</c:formatCode>
                <c:ptCount val="15"/>
                <c:pt idx="0">
                  <c:v>351.03397375775205</c:v>
                </c:pt>
                <c:pt idx="1">
                  <c:v>179.47001626730588</c:v>
                </c:pt>
                <c:pt idx="2">
                  <c:v>72.318952935494821</c:v>
                </c:pt>
                <c:pt idx="3">
                  <c:v>40.184392409211426</c:v>
                </c:pt>
                <c:pt idx="4">
                  <c:v>129.94476450867427</c:v>
                </c:pt>
                <c:pt idx="5">
                  <c:v>97.690701985378183</c:v>
                </c:pt>
                <c:pt idx="6">
                  <c:v>308.70699999999999</c:v>
                </c:pt>
                <c:pt idx="7">
                  <c:v>200.94517792882846</c:v>
                </c:pt>
                <c:pt idx="8">
                  <c:v>42.637322752042408</c:v>
                </c:pt>
                <c:pt idx="9">
                  <c:v>77.82113821138212</c:v>
                </c:pt>
                <c:pt idx="10">
                  <c:v>0</c:v>
                </c:pt>
                <c:pt idx="11">
                  <c:v>15.375</c:v>
                </c:pt>
                <c:pt idx="12">
                  <c:v>58.829322207583061</c:v>
                </c:pt>
                <c:pt idx="13">
                  <c:v>40.609361553470855</c:v>
                </c:pt>
                <c:pt idx="14">
                  <c:v>24.173076923076923</c:v>
                </c:pt>
              </c:numCache>
            </c:numRef>
          </c:val>
          <c:extLst>
            <c:ext xmlns:c16="http://schemas.microsoft.com/office/drawing/2014/chart" uri="{C3380CC4-5D6E-409C-BE32-E72D297353CC}">
              <c16:uniqueId val="{00000003-3959-4AD6-A91A-ABA8B6B99AF5}"/>
            </c:ext>
          </c:extLst>
        </c:ser>
        <c:dLbls>
          <c:showLegendKey val="0"/>
          <c:showVal val="0"/>
          <c:showCatName val="0"/>
          <c:showSerName val="0"/>
          <c:showPercent val="0"/>
          <c:showBubbleSize val="0"/>
        </c:dLbls>
        <c:gapWidth val="150"/>
        <c:overlap val="100"/>
        <c:axId val="89640320"/>
        <c:axId val="89646208"/>
      </c:barChart>
      <c:catAx>
        <c:axId val="89640320"/>
        <c:scaling>
          <c:orientation val="minMax"/>
        </c:scaling>
        <c:delete val="0"/>
        <c:axPos val="b"/>
        <c:numFmt formatCode="0_);\(0\)" sourceLinked="1"/>
        <c:majorTickMark val="out"/>
        <c:minorTickMark val="none"/>
        <c:tickLblPos val="nextTo"/>
        <c:crossAx val="89646208"/>
        <c:crosses val="autoZero"/>
        <c:auto val="1"/>
        <c:lblAlgn val="ctr"/>
        <c:lblOffset val="100"/>
        <c:noMultiLvlLbl val="0"/>
      </c:catAx>
      <c:valAx>
        <c:axId val="89646208"/>
        <c:scaling>
          <c:orientation val="minMax"/>
        </c:scaling>
        <c:delete val="0"/>
        <c:axPos val="l"/>
        <c:majorGridlines/>
        <c:numFmt formatCode="_(* #,##0_);_(* \(#,##0\);_(* &quot;-&quot;??_);_(@_)" sourceLinked="1"/>
        <c:majorTickMark val="out"/>
        <c:minorTickMark val="none"/>
        <c:tickLblPos val="nextTo"/>
        <c:crossAx val="89640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Brood Year Contribution by Return Year</a:t>
            </a:r>
          </a:p>
        </c:rich>
      </c:tx>
      <c:overlay val="0"/>
    </c:title>
    <c:autoTitleDeleted val="0"/>
    <c:plotArea>
      <c:layout/>
      <c:barChart>
        <c:barDir val="col"/>
        <c:grouping val="stacked"/>
        <c:varyColors val="0"/>
        <c:ser>
          <c:idx val="0"/>
          <c:order val="0"/>
          <c:tx>
            <c:strRef>
              <c:f>'Age-specific Escapement Sum'!$AB$5</c:f>
              <c:strCache>
                <c:ptCount val="1"/>
                <c:pt idx="0">
                  <c:v>2006</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Sum'!$AB$6:$AB$11</c:f>
              <c:numCache>
                <c:formatCode>_(* #,##0_);_(* \(#,##0\);_(* "-"??_);_(@_)</c:formatCode>
                <c:ptCount val="6"/>
                <c:pt idx="0">
                  <c:v>3880.8798690109156</c:v>
                </c:pt>
                <c:pt idx="1">
                  <c:v>6811.3083797317649</c:v>
                </c:pt>
                <c:pt idx="2">
                  <c:v>72.318952935494821</c:v>
                </c:pt>
              </c:numCache>
            </c:numRef>
          </c:val>
          <c:extLst>
            <c:ext xmlns:c16="http://schemas.microsoft.com/office/drawing/2014/chart" uri="{C3380CC4-5D6E-409C-BE32-E72D297353CC}">
              <c16:uniqueId val="{00000000-3165-4312-8AC8-B46EA4F3DD1D}"/>
            </c:ext>
          </c:extLst>
        </c:ser>
        <c:ser>
          <c:idx val="1"/>
          <c:order val="1"/>
          <c:tx>
            <c:strRef>
              <c:f>'Age-specific Escapement Sum'!$AA$5</c:f>
              <c:strCache>
                <c:ptCount val="1"/>
                <c:pt idx="0">
                  <c:v>2005</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Sum'!$AA$6:$AA$11</c:f>
              <c:numCache>
                <c:formatCode>_(* #,##0_);_(* \(#,##0\);_(* "-"??_);_(@_)</c:formatCode>
                <c:ptCount val="6"/>
                <c:pt idx="0">
                  <c:v>3241.3351428742781</c:v>
                </c:pt>
                <c:pt idx="1">
                  <c:v>179.47001626730588</c:v>
                </c:pt>
              </c:numCache>
            </c:numRef>
          </c:val>
          <c:extLst>
            <c:ext xmlns:c16="http://schemas.microsoft.com/office/drawing/2014/chart" uri="{C3380CC4-5D6E-409C-BE32-E72D297353CC}">
              <c16:uniqueId val="{00000001-3165-4312-8AC8-B46EA4F3DD1D}"/>
            </c:ext>
          </c:extLst>
        </c:ser>
        <c:ser>
          <c:idx val="2"/>
          <c:order val="2"/>
          <c:tx>
            <c:strRef>
              <c:f>'Age-specific Escapement Sum'!$Z$5</c:f>
              <c:strCache>
                <c:ptCount val="1"/>
                <c:pt idx="0">
                  <c:v>2004</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Sum'!$Z$6:$Z$10</c:f>
              <c:numCache>
                <c:formatCode>General</c:formatCode>
                <c:ptCount val="5"/>
                <c:pt idx="0" formatCode="_(* #,##0_);_(* \(#,##0\);_(* &quot;-&quot;??_);_(@_)">
                  <c:v>351.03397375775205</c:v>
                </c:pt>
              </c:numCache>
            </c:numRef>
          </c:val>
          <c:extLst>
            <c:ext xmlns:c16="http://schemas.microsoft.com/office/drawing/2014/chart" uri="{C3380CC4-5D6E-409C-BE32-E72D297353CC}">
              <c16:uniqueId val="{00000002-3165-4312-8AC8-B46EA4F3DD1D}"/>
            </c:ext>
          </c:extLst>
        </c:ser>
        <c:ser>
          <c:idx val="3"/>
          <c:order val="3"/>
          <c:tx>
            <c:strRef>
              <c:f>'Age-specific Escapement Sum'!$AC$5</c:f>
              <c:strCache>
                <c:ptCount val="1"/>
                <c:pt idx="0">
                  <c:v>2007</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Sum'!$AC$6:$AC$13</c:f>
              <c:numCache>
                <c:formatCode>_(* #,##0_);_(* \(#,##0\);_(* "-"??_);_(@_)</c:formatCode>
                <c:ptCount val="8"/>
                <c:pt idx="0">
                  <c:v>44.751014357053684</c:v>
                </c:pt>
                <c:pt idx="1">
                  <c:v>1405.2216040009296</c:v>
                </c:pt>
                <c:pt idx="2">
                  <c:v>2626.4035134225169</c:v>
                </c:pt>
                <c:pt idx="3">
                  <c:v>40.184392409211426</c:v>
                </c:pt>
              </c:numCache>
            </c:numRef>
          </c:val>
          <c:extLst>
            <c:ext xmlns:c16="http://schemas.microsoft.com/office/drawing/2014/chart" uri="{C3380CC4-5D6E-409C-BE32-E72D297353CC}">
              <c16:uniqueId val="{00000003-3165-4312-8AC8-B46EA4F3DD1D}"/>
            </c:ext>
          </c:extLst>
        </c:ser>
        <c:ser>
          <c:idx val="4"/>
          <c:order val="4"/>
          <c:tx>
            <c:strRef>
              <c:f>'Age-specific Escapement Sum'!$AD$5</c:f>
              <c:strCache>
                <c:ptCount val="1"/>
                <c:pt idx="0">
                  <c:v>2008</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Sum'!$AD$6:$AD$11</c:f>
              <c:numCache>
                <c:formatCode>_(* #,##0_);_(* \(#,##0\);_(* "-"??_);_(@_)</c:formatCode>
                <c:ptCount val="6"/>
                <c:pt idx="1">
                  <c:v>19</c:v>
                </c:pt>
                <c:pt idx="2">
                  <c:v>1411.3554609481762</c:v>
                </c:pt>
                <c:pt idx="3">
                  <c:v>1486.2444547810755</c:v>
                </c:pt>
                <c:pt idx="4">
                  <c:v>129.94476450867427</c:v>
                </c:pt>
              </c:numCache>
            </c:numRef>
          </c:val>
          <c:extLst>
            <c:ext xmlns:c16="http://schemas.microsoft.com/office/drawing/2014/chart" uri="{C3380CC4-5D6E-409C-BE32-E72D297353CC}">
              <c16:uniqueId val="{00000004-3165-4312-8AC8-B46EA4F3DD1D}"/>
            </c:ext>
          </c:extLst>
        </c:ser>
        <c:ser>
          <c:idx val="5"/>
          <c:order val="5"/>
          <c:tx>
            <c:strRef>
              <c:f>'Age-specific Escapement Sum'!$AE$5</c:f>
              <c:strCache>
                <c:ptCount val="1"/>
                <c:pt idx="0">
                  <c:v>2009</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Sum'!$AE$6:$AE$11</c:f>
              <c:numCache>
                <c:formatCode>General</c:formatCode>
                <c:ptCount val="6"/>
                <c:pt idx="2" formatCode="_(* #,##0_);_(* \(#,##0\);_(* &quot;-&quot;??_);_(@_)">
                  <c:v>176.9220726938118</c:v>
                </c:pt>
                <c:pt idx="3" formatCode="_(* #,##0_);_(* \(#,##0\);_(* &quot;-&quot;??_);_(@_)">
                  <c:v>2495.8152482962569</c:v>
                </c:pt>
                <c:pt idx="4" formatCode="_(* #,##0_);_(* \(#,##0\);_(* &quot;-&quot;??_);_(@_)">
                  <c:v>7388.9483025746176</c:v>
                </c:pt>
                <c:pt idx="5" formatCode="_(* #,##0_);_(* \(#,##0\);_(* &quot;-&quot;??_);_(@_)">
                  <c:v>97.690701985378183</c:v>
                </c:pt>
              </c:numCache>
            </c:numRef>
          </c:val>
          <c:extLst>
            <c:ext xmlns:c16="http://schemas.microsoft.com/office/drawing/2014/chart" uri="{C3380CC4-5D6E-409C-BE32-E72D297353CC}">
              <c16:uniqueId val="{00000005-3165-4312-8AC8-B46EA4F3DD1D}"/>
            </c:ext>
          </c:extLst>
        </c:ser>
        <c:ser>
          <c:idx val="6"/>
          <c:order val="6"/>
          <c:tx>
            <c:strRef>
              <c:f>'Age-specific Escapement Sum'!$AF$5</c:f>
              <c:strCache>
                <c:ptCount val="1"/>
                <c:pt idx="0">
                  <c:v>2010</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Sum'!$AF$6:$AF$12</c:f>
              <c:numCache>
                <c:formatCode>General</c:formatCode>
                <c:ptCount val="7"/>
                <c:pt idx="3" formatCode="_(* #,##0_);_(* \(#,##0\);_(* &quot;-&quot;??_);_(@_)">
                  <c:v>400.75590451345658</c:v>
                </c:pt>
                <c:pt idx="4" formatCode="_(* #,##0_);_(* \(#,##0\);_(* &quot;-&quot;??_);_(@_)">
                  <c:v>5816.2648276535492</c:v>
                </c:pt>
                <c:pt idx="5" formatCode="_(* #,##0_);_(* \(#,##0\);_(* &quot;-&quot;??_);_(@_)">
                  <c:v>7530.9114601018682</c:v>
                </c:pt>
                <c:pt idx="6" formatCode="_(* #,##0_);_(* \(#,##0\);_(* &quot;-&quot;??_);_(@_)">
                  <c:v>308.70699999999999</c:v>
                </c:pt>
              </c:numCache>
            </c:numRef>
          </c:val>
          <c:extLst>
            <c:ext xmlns:c16="http://schemas.microsoft.com/office/drawing/2014/chart" uri="{C3380CC4-5D6E-409C-BE32-E72D297353CC}">
              <c16:uniqueId val="{00000006-3165-4312-8AC8-B46EA4F3DD1D}"/>
            </c:ext>
          </c:extLst>
        </c:ser>
        <c:ser>
          <c:idx val="7"/>
          <c:order val="7"/>
          <c:tx>
            <c:strRef>
              <c:f>'Age-specific Escapement Sum'!$AG$5</c:f>
              <c:strCache>
                <c:ptCount val="1"/>
                <c:pt idx="0">
                  <c:v>2011</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Sum'!$AG$6:$AG$13</c:f>
              <c:numCache>
                <c:formatCode>General</c:formatCode>
                <c:ptCount val="8"/>
                <c:pt idx="4" formatCode="_(* #,##0_);_(* \(#,##0\);_(* &quot;-&quot;??_);_(@_)">
                  <c:v>30.842105263157894</c:v>
                </c:pt>
                <c:pt idx="5" formatCode="_(* #,##0_);_(* \(#,##0\);_(* &quot;-&quot;??_);_(@_)">
                  <c:v>3350.2609958074909</c:v>
                </c:pt>
                <c:pt idx="6" formatCode="_(* #,##0_);_(* \(#,##0\);_(* &quot;-&quot;??_);_(@_)">
                  <c:v>2613.9068888888887</c:v>
                </c:pt>
                <c:pt idx="7" formatCode="_(* #,##0_);_(* \(#,##0\);_(* &quot;-&quot;??_);_(@_)">
                  <c:v>200.94517792882846</c:v>
                </c:pt>
              </c:numCache>
            </c:numRef>
          </c:val>
          <c:extLst>
            <c:ext xmlns:c16="http://schemas.microsoft.com/office/drawing/2014/chart" uri="{C3380CC4-5D6E-409C-BE32-E72D297353CC}">
              <c16:uniqueId val="{00000007-3165-4312-8AC8-B46EA4F3DD1D}"/>
            </c:ext>
          </c:extLst>
        </c:ser>
        <c:ser>
          <c:idx val="8"/>
          <c:order val="8"/>
          <c:tx>
            <c:strRef>
              <c:f>'Age-specific Escapement Sum'!$AH$5</c:f>
              <c:strCache>
                <c:ptCount val="1"/>
                <c:pt idx="0">
                  <c:v>2012</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Sum'!$AH$6:$AH$14</c:f>
              <c:numCache>
                <c:formatCode>General</c:formatCode>
                <c:ptCount val="9"/>
                <c:pt idx="5" formatCode="_(* #,##0_);_(* \(#,##0\);_(* &quot;-&quot;??_);_(@_)">
                  <c:v>19.136842105263156</c:v>
                </c:pt>
                <c:pt idx="6" formatCode="_(* #,##0_);_(* \(#,##0\);_(* &quot;-&quot;??_);_(@_)">
                  <c:v>1251.3861111111109</c:v>
                </c:pt>
                <c:pt idx="7" formatCode="_(* #,##0_);_(* \(#,##0\);_(* &quot;-&quot;??_);_(@_)">
                  <c:v>1940.5082900173263</c:v>
                </c:pt>
                <c:pt idx="8" formatCode="_(* #,##0_);_(* \(#,##0\);_(* &quot;-&quot;??_);_(@_)">
                  <c:v>42.637322752042408</c:v>
                </c:pt>
              </c:numCache>
            </c:numRef>
          </c:val>
          <c:extLst>
            <c:ext xmlns:c16="http://schemas.microsoft.com/office/drawing/2014/chart" uri="{C3380CC4-5D6E-409C-BE32-E72D297353CC}">
              <c16:uniqueId val="{00000000-9ACC-4AA6-B0D8-AFFEC5E29F56}"/>
            </c:ext>
          </c:extLst>
        </c:ser>
        <c:ser>
          <c:idx val="9"/>
          <c:order val="9"/>
          <c:tx>
            <c:strRef>
              <c:f>'Age-specific Escapement Sum'!$AI$5</c:f>
              <c:strCache>
                <c:ptCount val="1"/>
                <c:pt idx="0">
                  <c:v>2013</c:v>
                </c:pt>
              </c:strCache>
            </c:strRef>
          </c:tx>
          <c:invertIfNegative val="0"/>
          <c:cat>
            <c:numRef>
              <c:f>'Age-specific Escapement Sum'!$Y$6:$Y$16</c:f>
              <c:numCache>
                <c:formatCode>0_);\(0\)</c:formatCode>
                <c:ptCount val="11"/>
                <c:pt idx="0">
                  <c:v>2010</c:v>
                </c:pt>
                <c:pt idx="1">
                  <c:v>2011</c:v>
                </c:pt>
                <c:pt idx="2">
                  <c:v>2012</c:v>
                </c:pt>
                <c:pt idx="3">
                  <c:v>2013</c:v>
                </c:pt>
                <c:pt idx="4">
                  <c:v>2014</c:v>
                </c:pt>
                <c:pt idx="5">
                  <c:v>2015</c:v>
                </c:pt>
                <c:pt idx="6">
                  <c:v>2016</c:v>
                </c:pt>
                <c:pt idx="7">
                  <c:v>2017</c:v>
                </c:pt>
                <c:pt idx="8">
                  <c:v>2018</c:v>
                </c:pt>
                <c:pt idx="9">
                  <c:v>2019</c:v>
                </c:pt>
                <c:pt idx="10">
                  <c:v>2020</c:v>
                </c:pt>
              </c:numCache>
            </c:numRef>
          </c:cat>
          <c:val>
            <c:numRef>
              <c:f>'Age-specific Escapement Sum'!$AI$6:$AI$15</c:f>
              <c:numCache>
                <c:formatCode>General</c:formatCode>
                <c:ptCount val="10"/>
                <c:pt idx="6" formatCode="_(* #,##0_);_(* \(#,##0\);_(* &quot;-&quot;??_);_(@_)">
                  <c:v>109</c:v>
                </c:pt>
                <c:pt idx="7" formatCode="_(* #,##0_);_(* \(#,##0\);_(* &quot;-&quot;??_);_(@_)">
                  <c:v>1540.0465320538451</c:v>
                </c:pt>
                <c:pt idx="8" formatCode="_(* #,##0_);_(* \(#,##0\);_(* &quot;-&quot;??_);_(@_)">
                  <c:v>1049.9035471248776</c:v>
                </c:pt>
                <c:pt idx="9" formatCode="_(* #,##0_);_(* \(#,##0\);_(* &quot;-&quot;??_);_(@_)">
                  <c:v>77.82113821138212</c:v>
                </c:pt>
              </c:numCache>
            </c:numRef>
          </c:val>
          <c:extLst>
            <c:ext xmlns:c16="http://schemas.microsoft.com/office/drawing/2014/chart" uri="{C3380CC4-5D6E-409C-BE32-E72D297353CC}">
              <c16:uniqueId val="{00000001-9ACC-4AA6-B0D8-AFFEC5E29F56}"/>
            </c:ext>
          </c:extLst>
        </c:ser>
        <c:ser>
          <c:idx val="10"/>
          <c:order val="10"/>
          <c:tx>
            <c:strRef>
              <c:f>'Age-specific Escapement Sum'!$AJ$5</c:f>
              <c:strCache>
                <c:ptCount val="1"/>
                <c:pt idx="0">
                  <c:v>2014</c:v>
                </c:pt>
              </c:strCache>
            </c:strRef>
          </c:tx>
          <c:invertIfNegative val="0"/>
          <c:val>
            <c:numRef>
              <c:f>'Age-specific Escapement Sum'!$AJ$6:$AJ$16</c:f>
              <c:numCache>
                <c:formatCode>General</c:formatCode>
                <c:ptCount val="11"/>
                <c:pt idx="7" formatCode="_(* #,##0_);_(* \(#,##0\);_(* &quot;-&quot;??_);_(@_)">
                  <c:v>16.5</c:v>
                </c:pt>
                <c:pt idx="8" formatCode="_(* #,##0_);_(* \(#,##0\);_(* &quot;-&quot;??_);_(@_)">
                  <c:v>1203.4591301230801</c:v>
                </c:pt>
                <c:pt idx="9" formatCode="_(* #,##0_);_(* \(#,##0\);_(* &quot;-&quot;??_);_(@_)">
                  <c:v>1059.0300813008132</c:v>
                </c:pt>
                <c:pt idx="10" formatCode="_(* #,##0_);_(* \(#,##0\);_(* &quot;-&quot;??_);_(@_)">
                  <c:v>0</c:v>
                </c:pt>
              </c:numCache>
            </c:numRef>
          </c:val>
          <c:extLst>
            <c:ext xmlns:c16="http://schemas.microsoft.com/office/drawing/2014/chart" uri="{C3380CC4-5D6E-409C-BE32-E72D297353CC}">
              <c16:uniqueId val="{00000002-56E9-4045-8A8A-A5EBC09D7553}"/>
            </c:ext>
          </c:extLst>
        </c:ser>
        <c:ser>
          <c:idx val="11"/>
          <c:order val="11"/>
          <c:tx>
            <c:strRef>
              <c:f>'Age-specific Escapement Sum'!$AK$5</c:f>
              <c:strCache>
                <c:ptCount val="1"/>
                <c:pt idx="0">
                  <c:v>2015</c:v>
                </c:pt>
              </c:strCache>
            </c:strRef>
          </c:tx>
          <c:invertIfNegative val="0"/>
          <c:val>
            <c:numRef>
              <c:f>'Age-specific Escapement Sum'!$AK$6:$AK$16</c:f>
              <c:numCache>
                <c:formatCode>General</c:formatCode>
                <c:ptCount val="11"/>
                <c:pt idx="8" formatCode="_(* #,##0_);_(* \(#,##0\);_(* &quot;-&quot;??_);_(@_)">
                  <c:v>0</c:v>
                </c:pt>
                <c:pt idx="9" formatCode="_(* #,##0_);_(* \(#,##0\);_(* &quot;-&quot;??_);_(@_)">
                  <c:v>1349.148780487805</c:v>
                </c:pt>
                <c:pt idx="10" formatCode="_(* #,##0_);_(* \(#,##0\);_(* &quot;-&quot;??_);_(@_)">
                  <c:v>4193.7759370988297</c:v>
                </c:pt>
              </c:numCache>
            </c:numRef>
          </c:val>
          <c:extLst>
            <c:ext xmlns:c16="http://schemas.microsoft.com/office/drawing/2014/chart" uri="{C3380CC4-5D6E-409C-BE32-E72D297353CC}">
              <c16:uniqueId val="{00000003-56E9-4045-8A8A-A5EBC09D7553}"/>
            </c:ext>
          </c:extLst>
        </c:ser>
        <c:ser>
          <c:idx val="12"/>
          <c:order val="12"/>
          <c:tx>
            <c:strRef>
              <c:f>'Age-specific Escapement Sum'!$AL$5</c:f>
              <c:strCache>
                <c:ptCount val="1"/>
                <c:pt idx="0">
                  <c:v>2016</c:v>
                </c:pt>
              </c:strCache>
            </c:strRef>
          </c:tx>
          <c:invertIfNegative val="0"/>
          <c:val>
            <c:numRef>
              <c:f>'Age-specific Escapement Sum'!$AL$6:$AL$16</c:f>
              <c:numCache>
                <c:formatCode>General</c:formatCode>
                <c:ptCount val="11"/>
                <c:pt idx="9" formatCode="_(* #,##0_);_(* \(#,##0\);_(* &quot;-&quot;??_);_(@_)">
                  <c:v>0</c:v>
                </c:pt>
                <c:pt idx="10" formatCode="_(* #,##0_);_(* \(#,##0\);_(* &quot;-&quot;??_);_(@_)">
                  <c:v>2118.2240629011703</c:v>
                </c:pt>
              </c:numCache>
            </c:numRef>
          </c:val>
          <c:extLst>
            <c:ext xmlns:c16="http://schemas.microsoft.com/office/drawing/2014/chart" uri="{C3380CC4-5D6E-409C-BE32-E72D297353CC}">
              <c16:uniqueId val="{00000004-56E9-4045-8A8A-A5EBC09D7553}"/>
            </c:ext>
          </c:extLst>
        </c:ser>
        <c:ser>
          <c:idx val="13"/>
          <c:order val="13"/>
          <c:tx>
            <c:strRef>
              <c:f>'Age-specific Escapement Sum'!$AM$5</c:f>
              <c:strCache>
                <c:ptCount val="1"/>
                <c:pt idx="0">
                  <c:v>2017</c:v>
                </c:pt>
              </c:strCache>
            </c:strRef>
          </c:tx>
          <c:invertIfNegative val="0"/>
          <c:val>
            <c:numRef>
              <c:f>'Age-specific Escapement Sum'!$AM$6:$AM$16</c:f>
              <c:numCache>
                <c:formatCode>General</c:formatCode>
                <c:ptCount val="11"/>
                <c:pt idx="10" formatCode="_(* #,##0_);_(* \(#,##0\);_(* &quot;-&quot;??_);_(@_)">
                  <c:v>143</c:v>
                </c:pt>
              </c:numCache>
            </c:numRef>
          </c:val>
          <c:extLst>
            <c:ext xmlns:c16="http://schemas.microsoft.com/office/drawing/2014/chart" uri="{C3380CC4-5D6E-409C-BE32-E72D297353CC}">
              <c16:uniqueId val="{00000005-56E9-4045-8A8A-A5EBC09D7553}"/>
            </c:ext>
          </c:extLst>
        </c:ser>
        <c:dLbls>
          <c:showLegendKey val="0"/>
          <c:showVal val="0"/>
          <c:showCatName val="0"/>
          <c:showSerName val="0"/>
          <c:showPercent val="0"/>
          <c:showBubbleSize val="0"/>
        </c:dLbls>
        <c:gapWidth val="150"/>
        <c:overlap val="100"/>
        <c:axId val="296319616"/>
        <c:axId val="297614720"/>
      </c:barChart>
      <c:catAx>
        <c:axId val="296319616"/>
        <c:scaling>
          <c:orientation val="minMax"/>
        </c:scaling>
        <c:delete val="0"/>
        <c:axPos val="b"/>
        <c:title>
          <c:tx>
            <c:rich>
              <a:bodyPr/>
              <a:lstStyle/>
              <a:p>
                <a:pPr>
                  <a:defRPr/>
                </a:pPr>
                <a:r>
                  <a:rPr lang="en-US"/>
                  <a:t>Return</a:t>
                </a:r>
                <a:r>
                  <a:rPr lang="en-US" baseline="0"/>
                  <a:t> Year</a:t>
                </a:r>
                <a:endParaRPr lang="en-US"/>
              </a:p>
            </c:rich>
          </c:tx>
          <c:overlay val="0"/>
        </c:title>
        <c:numFmt formatCode="0_);\(0\)" sourceLinked="1"/>
        <c:majorTickMark val="out"/>
        <c:minorTickMark val="none"/>
        <c:tickLblPos val="nextTo"/>
        <c:crossAx val="297614720"/>
        <c:crosses val="autoZero"/>
        <c:auto val="1"/>
        <c:lblAlgn val="ctr"/>
        <c:lblOffset val="100"/>
        <c:noMultiLvlLbl val="0"/>
      </c:catAx>
      <c:valAx>
        <c:axId val="297614720"/>
        <c:scaling>
          <c:orientation val="minMax"/>
        </c:scaling>
        <c:delete val="0"/>
        <c:axPos val="l"/>
        <c:majorGridlines/>
        <c:title>
          <c:tx>
            <c:rich>
              <a:bodyPr rot="-5400000" vert="horz"/>
              <a:lstStyle/>
              <a:p>
                <a:pPr>
                  <a:defRPr/>
                </a:pPr>
                <a:r>
                  <a:rPr lang="en-US"/>
                  <a:t>Spawners</a:t>
                </a:r>
              </a:p>
            </c:rich>
          </c:tx>
          <c:overlay val="0"/>
        </c:title>
        <c:numFmt formatCode="_(* #,##0_);_(* \(#,##0\);_(* &quot;-&quot;??_);_(@_)" sourceLinked="1"/>
        <c:majorTickMark val="out"/>
        <c:minorTickMark val="none"/>
        <c:tickLblPos val="nextTo"/>
        <c:crossAx val="296319616"/>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1802640341599088E-2"/>
          <c:y val="5.0340031897298472E-2"/>
          <c:w val="0.80229748893328634"/>
          <c:h val="0.8869740718139687"/>
        </c:manualLayout>
      </c:layout>
      <c:barChart>
        <c:barDir val="col"/>
        <c:grouping val="clustered"/>
        <c:varyColors val="0"/>
        <c:ser>
          <c:idx val="0"/>
          <c:order val="0"/>
          <c:invertIfNegative val="0"/>
          <c:cat>
            <c:strRef>
              <c:f>'Age-specific Escapement Sum'!$N$5:$Q$5</c:f>
              <c:strCache>
                <c:ptCount val="4"/>
                <c:pt idx="0">
                  <c:v>Age-32</c:v>
                </c:pt>
                <c:pt idx="1">
                  <c:v>Age-42</c:v>
                </c:pt>
                <c:pt idx="2">
                  <c:v>Age-52</c:v>
                </c:pt>
                <c:pt idx="3">
                  <c:v>Age-62</c:v>
                </c:pt>
              </c:strCache>
            </c:strRef>
          </c:cat>
          <c:val>
            <c:numRef>
              <c:f>'Age-specific Escapement Sum'!$N$6:$Q$6</c:f>
              <c:numCache>
                <c:formatCode>0</c:formatCode>
                <c:ptCount val="4"/>
                <c:pt idx="0">
                  <c:v>44.751014357053684</c:v>
                </c:pt>
                <c:pt idx="1">
                  <c:v>1405.2216040009296</c:v>
                </c:pt>
                <c:pt idx="2">
                  <c:v>2626.4035134225169</c:v>
                </c:pt>
                <c:pt idx="3">
                  <c:v>40.184392409211426</c:v>
                </c:pt>
              </c:numCache>
            </c:numRef>
          </c:val>
          <c:extLst>
            <c:ext xmlns:c16="http://schemas.microsoft.com/office/drawing/2014/chart" uri="{C3380CC4-5D6E-409C-BE32-E72D297353CC}">
              <c16:uniqueId val="{00000000-8B8E-4745-82E4-DCCA67A79189}"/>
            </c:ext>
          </c:extLst>
        </c:ser>
        <c:ser>
          <c:idx val="1"/>
          <c:order val="1"/>
          <c:invertIfNegative val="0"/>
          <c:cat>
            <c:strRef>
              <c:f>'Age-specific Escapement Sum'!$N$5:$Q$5</c:f>
              <c:strCache>
                <c:ptCount val="4"/>
                <c:pt idx="0">
                  <c:v>Age-32</c:v>
                </c:pt>
                <c:pt idx="1">
                  <c:v>Age-42</c:v>
                </c:pt>
                <c:pt idx="2">
                  <c:v>Age-52</c:v>
                </c:pt>
                <c:pt idx="3">
                  <c:v>Age-62</c:v>
                </c:pt>
              </c:strCache>
            </c:strRef>
          </c:cat>
          <c:val>
            <c:numRef>
              <c:f>'Age-specific Escapement Sum'!$N$7:$Q$7</c:f>
              <c:numCache>
                <c:formatCode>0</c:formatCode>
                <c:ptCount val="4"/>
                <c:pt idx="0">
                  <c:v>19</c:v>
                </c:pt>
                <c:pt idx="1">
                  <c:v>1411.3554609481762</c:v>
                </c:pt>
                <c:pt idx="2">
                  <c:v>1486.2444547810755</c:v>
                </c:pt>
                <c:pt idx="3">
                  <c:v>129.94476450867427</c:v>
                </c:pt>
              </c:numCache>
            </c:numRef>
          </c:val>
          <c:extLst>
            <c:ext xmlns:c16="http://schemas.microsoft.com/office/drawing/2014/chart" uri="{C3380CC4-5D6E-409C-BE32-E72D297353CC}">
              <c16:uniqueId val="{00000001-8B8E-4745-82E4-DCCA67A79189}"/>
            </c:ext>
          </c:extLst>
        </c:ser>
        <c:ser>
          <c:idx val="2"/>
          <c:order val="2"/>
          <c:invertIfNegative val="0"/>
          <c:cat>
            <c:strRef>
              <c:f>'Age-specific Escapement Sum'!$N$5:$Q$5</c:f>
              <c:strCache>
                <c:ptCount val="4"/>
                <c:pt idx="0">
                  <c:v>Age-32</c:v>
                </c:pt>
                <c:pt idx="1">
                  <c:v>Age-42</c:v>
                </c:pt>
                <c:pt idx="2">
                  <c:v>Age-52</c:v>
                </c:pt>
                <c:pt idx="3">
                  <c:v>Age-62</c:v>
                </c:pt>
              </c:strCache>
            </c:strRef>
          </c:cat>
          <c:val>
            <c:numRef>
              <c:f>'Age-specific Escapement Sum'!$N$8:$Q$8</c:f>
              <c:numCache>
                <c:formatCode>0</c:formatCode>
                <c:ptCount val="4"/>
                <c:pt idx="0">
                  <c:v>176.9220726938118</c:v>
                </c:pt>
                <c:pt idx="1">
                  <c:v>2495.8152482962569</c:v>
                </c:pt>
                <c:pt idx="2">
                  <c:v>7388.9483025746176</c:v>
                </c:pt>
                <c:pt idx="3">
                  <c:v>97.690701985378183</c:v>
                </c:pt>
              </c:numCache>
            </c:numRef>
          </c:val>
          <c:extLst>
            <c:ext xmlns:c16="http://schemas.microsoft.com/office/drawing/2014/chart" uri="{C3380CC4-5D6E-409C-BE32-E72D297353CC}">
              <c16:uniqueId val="{00000002-8B8E-4745-82E4-DCCA67A79189}"/>
            </c:ext>
          </c:extLst>
        </c:ser>
        <c:ser>
          <c:idx val="3"/>
          <c:order val="3"/>
          <c:invertIfNegative val="0"/>
          <c:cat>
            <c:strRef>
              <c:f>'Age-specific Escapement Sum'!$N$5:$Q$5</c:f>
              <c:strCache>
                <c:ptCount val="4"/>
                <c:pt idx="0">
                  <c:v>Age-32</c:v>
                </c:pt>
                <c:pt idx="1">
                  <c:v>Age-42</c:v>
                </c:pt>
                <c:pt idx="2">
                  <c:v>Age-52</c:v>
                </c:pt>
                <c:pt idx="3">
                  <c:v>Age-62</c:v>
                </c:pt>
              </c:strCache>
            </c:strRef>
          </c:cat>
          <c:val>
            <c:numRef>
              <c:f>'Age-specific Escapement Sum'!$N$9:$Q$9</c:f>
              <c:numCache>
                <c:formatCode>0</c:formatCode>
                <c:ptCount val="4"/>
                <c:pt idx="0">
                  <c:v>400.75590451345658</c:v>
                </c:pt>
                <c:pt idx="1">
                  <c:v>5816.2648276535492</c:v>
                </c:pt>
                <c:pt idx="2">
                  <c:v>7530.9114601018682</c:v>
                </c:pt>
                <c:pt idx="3">
                  <c:v>308.70699999999999</c:v>
                </c:pt>
              </c:numCache>
            </c:numRef>
          </c:val>
          <c:extLst>
            <c:ext xmlns:c16="http://schemas.microsoft.com/office/drawing/2014/chart" uri="{C3380CC4-5D6E-409C-BE32-E72D297353CC}">
              <c16:uniqueId val="{00000003-8B8E-4745-82E4-DCCA67A79189}"/>
            </c:ext>
          </c:extLst>
        </c:ser>
        <c:ser>
          <c:idx val="4"/>
          <c:order val="4"/>
          <c:invertIfNegative val="0"/>
          <c:cat>
            <c:strRef>
              <c:f>'Age-specific Escapement Sum'!$N$5:$Q$5</c:f>
              <c:strCache>
                <c:ptCount val="4"/>
                <c:pt idx="0">
                  <c:v>Age-32</c:v>
                </c:pt>
                <c:pt idx="1">
                  <c:v>Age-42</c:v>
                </c:pt>
                <c:pt idx="2">
                  <c:v>Age-52</c:v>
                </c:pt>
                <c:pt idx="3">
                  <c:v>Age-62</c:v>
                </c:pt>
              </c:strCache>
            </c:strRef>
          </c:cat>
          <c:val>
            <c:numRef>
              <c:f>'Age-specific Escapement Sum'!$N$10:$Q$10</c:f>
              <c:numCache>
                <c:formatCode>0</c:formatCode>
                <c:ptCount val="4"/>
                <c:pt idx="0">
                  <c:v>30.842105263157894</c:v>
                </c:pt>
                <c:pt idx="1">
                  <c:v>3350.2609958074909</c:v>
                </c:pt>
                <c:pt idx="2">
                  <c:v>2613.9068888888887</c:v>
                </c:pt>
                <c:pt idx="3">
                  <c:v>200.94517792882846</c:v>
                </c:pt>
              </c:numCache>
            </c:numRef>
          </c:val>
          <c:extLst>
            <c:ext xmlns:c16="http://schemas.microsoft.com/office/drawing/2014/chart" uri="{C3380CC4-5D6E-409C-BE32-E72D297353CC}">
              <c16:uniqueId val="{00000004-8B8E-4745-82E4-DCCA67A79189}"/>
            </c:ext>
          </c:extLst>
        </c:ser>
        <c:ser>
          <c:idx val="5"/>
          <c:order val="5"/>
          <c:invertIfNegative val="0"/>
          <c:cat>
            <c:strRef>
              <c:f>'Age-specific Escapement Sum'!$N$5:$Q$5</c:f>
              <c:strCache>
                <c:ptCount val="4"/>
                <c:pt idx="0">
                  <c:v>Age-32</c:v>
                </c:pt>
                <c:pt idx="1">
                  <c:v>Age-42</c:v>
                </c:pt>
                <c:pt idx="2">
                  <c:v>Age-52</c:v>
                </c:pt>
                <c:pt idx="3">
                  <c:v>Age-62</c:v>
                </c:pt>
              </c:strCache>
            </c:strRef>
          </c:cat>
          <c:val>
            <c:numRef>
              <c:f>'Age-specific Escapement Sum'!$N$11:$Q$11</c:f>
              <c:numCache>
                <c:formatCode>0</c:formatCode>
                <c:ptCount val="4"/>
                <c:pt idx="0">
                  <c:v>19.136842105263156</c:v>
                </c:pt>
                <c:pt idx="1">
                  <c:v>1251.3861111111109</c:v>
                </c:pt>
                <c:pt idx="2">
                  <c:v>1940.5082900173263</c:v>
                </c:pt>
                <c:pt idx="3">
                  <c:v>42.637322752042408</c:v>
                </c:pt>
              </c:numCache>
            </c:numRef>
          </c:val>
          <c:extLst>
            <c:ext xmlns:c16="http://schemas.microsoft.com/office/drawing/2014/chart" uri="{C3380CC4-5D6E-409C-BE32-E72D297353CC}">
              <c16:uniqueId val="{00000005-8B8E-4745-82E4-DCCA67A79189}"/>
            </c:ext>
          </c:extLst>
        </c:ser>
        <c:ser>
          <c:idx val="6"/>
          <c:order val="6"/>
          <c:invertIfNegative val="0"/>
          <c:cat>
            <c:strRef>
              <c:f>'Age-specific Escapement Sum'!$N$5:$Q$5</c:f>
              <c:strCache>
                <c:ptCount val="4"/>
                <c:pt idx="0">
                  <c:v>Age-32</c:v>
                </c:pt>
                <c:pt idx="1">
                  <c:v>Age-42</c:v>
                </c:pt>
                <c:pt idx="2">
                  <c:v>Age-52</c:v>
                </c:pt>
                <c:pt idx="3">
                  <c:v>Age-62</c:v>
                </c:pt>
              </c:strCache>
            </c:strRef>
          </c:cat>
          <c:val>
            <c:numRef>
              <c:f>'Age-specific Escapement Sum'!$N$12:$Q$12</c:f>
              <c:numCache>
                <c:formatCode>0</c:formatCode>
                <c:ptCount val="4"/>
                <c:pt idx="0">
                  <c:v>109</c:v>
                </c:pt>
                <c:pt idx="1">
                  <c:v>1540.0465320538451</c:v>
                </c:pt>
                <c:pt idx="2">
                  <c:v>1049.9035471248776</c:v>
                </c:pt>
                <c:pt idx="3">
                  <c:v>77.82113821138212</c:v>
                </c:pt>
              </c:numCache>
            </c:numRef>
          </c:val>
          <c:extLst>
            <c:ext xmlns:c16="http://schemas.microsoft.com/office/drawing/2014/chart" uri="{C3380CC4-5D6E-409C-BE32-E72D297353CC}">
              <c16:uniqueId val="{00000006-8B8E-4745-82E4-DCCA67A79189}"/>
            </c:ext>
          </c:extLst>
        </c:ser>
        <c:ser>
          <c:idx val="7"/>
          <c:order val="7"/>
          <c:invertIfNegative val="0"/>
          <c:cat>
            <c:strRef>
              <c:f>'Age-specific Escapement Sum'!$N$5:$Q$5</c:f>
              <c:strCache>
                <c:ptCount val="4"/>
                <c:pt idx="0">
                  <c:v>Age-32</c:v>
                </c:pt>
                <c:pt idx="1">
                  <c:v>Age-42</c:v>
                </c:pt>
                <c:pt idx="2">
                  <c:v>Age-52</c:v>
                </c:pt>
                <c:pt idx="3">
                  <c:v>Age-62</c:v>
                </c:pt>
              </c:strCache>
            </c:strRef>
          </c:cat>
          <c:val>
            <c:numRef>
              <c:f>'Age-specific Escapement Sum'!$N$13:$Q$13</c:f>
              <c:numCache>
                <c:formatCode>0</c:formatCode>
                <c:ptCount val="4"/>
                <c:pt idx="0">
                  <c:v>16.5</c:v>
                </c:pt>
                <c:pt idx="1">
                  <c:v>1203.4591301230801</c:v>
                </c:pt>
                <c:pt idx="2">
                  <c:v>1059.0300813008132</c:v>
                </c:pt>
                <c:pt idx="3">
                  <c:v>0</c:v>
                </c:pt>
              </c:numCache>
            </c:numRef>
          </c:val>
          <c:extLst>
            <c:ext xmlns:c16="http://schemas.microsoft.com/office/drawing/2014/chart" uri="{C3380CC4-5D6E-409C-BE32-E72D297353CC}">
              <c16:uniqueId val="{00000007-8B8E-4745-82E4-DCCA67A79189}"/>
            </c:ext>
          </c:extLst>
        </c:ser>
        <c:ser>
          <c:idx val="8"/>
          <c:order val="8"/>
          <c:invertIfNegative val="0"/>
          <c:cat>
            <c:strRef>
              <c:f>'Age-specific Escapement Sum'!$N$5:$Q$5</c:f>
              <c:strCache>
                <c:ptCount val="4"/>
                <c:pt idx="0">
                  <c:v>Age-32</c:v>
                </c:pt>
                <c:pt idx="1">
                  <c:v>Age-42</c:v>
                </c:pt>
                <c:pt idx="2">
                  <c:v>Age-52</c:v>
                </c:pt>
                <c:pt idx="3">
                  <c:v>Age-62</c:v>
                </c:pt>
              </c:strCache>
            </c:strRef>
          </c:cat>
          <c:val>
            <c:numRef>
              <c:f>'Age-specific Escapement Sum'!$N$14:$Q$14</c:f>
              <c:numCache>
                <c:formatCode>0</c:formatCode>
                <c:ptCount val="4"/>
                <c:pt idx="0">
                  <c:v>0</c:v>
                </c:pt>
                <c:pt idx="1">
                  <c:v>1349.148780487805</c:v>
                </c:pt>
                <c:pt idx="2">
                  <c:v>4193.7759370988297</c:v>
                </c:pt>
                <c:pt idx="3">
                  <c:v>15.375</c:v>
                </c:pt>
              </c:numCache>
            </c:numRef>
          </c:val>
          <c:extLst>
            <c:ext xmlns:c16="http://schemas.microsoft.com/office/drawing/2014/chart" uri="{C3380CC4-5D6E-409C-BE32-E72D297353CC}">
              <c16:uniqueId val="{00000000-1408-489C-B7FD-D203EB705D60}"/>
            </c:ext>
          </c:extLst>
        </c:ser>
        <c:ser>
          <c:idx val="9"/>
          <c:order val="9"/>
          <c:invertIfNegative val="0"/>
          <c:cat>
            <c:strRef>
              <c:f>'Age-specific Escapement Sum'!$N$5:$Q$5</c:f>
              <c:strCache>
                <c:ptCount val="4"/>
                <c:pt idx="0">
                  <c:v>Age-32</c:v>
                </c:pt>
                <c:pt idx="1">
                  <c:v>Age-42</c:v>
                </c:pt>
                <c:pt idx="2">
                  <c:v>Age-52</c:v>
                </c:pt>
                <c:pt idx="3">
                  <c:v>Age-62</c:v>
                </c:pt>
              </c:strCache>
            </c:strRef>
          </c:cat>
          <c:val>
            <c:numRef>
              <c:f>'Age-specific Escapement Sum'!$N$15:$Q$15</c:f>
              <c:numCache>
                <c:formatCode>0</c:formatCode>
                <c:ptCount val="4"/>
                <c:pt idx="0">
                  <c:v>0</c:v>
                </c:pt>
                <c:pt idx="1">
                  <c:v>2118.2240629011703</c:v>
                </c:pt>
                <c:pt idx="2">
                  <c:v>1879.0977730991854</c:v>
                </c:pt>
                <c:pt idx="3">
                  <c:v>58.829322207583061</c:v>
                </c:pt>
              </c:numCache>
            </c:numRef>
          </c:val>
          <c:extLst>
            <c:ext xmlns:c16="http://schemas.microsoft.com/office/drawing/2014/chart" uri="{C3380CC4-5D6E-409C-BE32-E72D297353CC}">
              <c16:uniqueId val="{00000000-042B-428B-BEE4-848CAFC7B5C3}"/>
            </c:ext>
          </c:extLst>
        </c:ser>
        <c:ser>
          <c:idx val="10"/>
          <c:order val="10"/>
          <c:invertIfNegative val="0"/>
          <c:cat>
            <c:strRef>
              <c:f>'Age-specific Escapement Sum'!$N$5:$Q$5</c:f>
              <c:strCache>
                <c:ptCount val="4"/>
                <c:pt idx="0">
                  <c:v>Age-32</c:v>
                </c:pt>
                <c:pt idx="1">
                  <c:v>Age-42</c:v>
                </c:pt>
                <c:pt idx="2">
                  <c:v>Age-52</c:v>
                </c:pt>
                <c:pt idx="3">
                  <c:v>Age-62</c:v>
                </c:pt>
              </c:strCache>
            </c:strRef>
          </c:cat>
          <c:val>
            <c:numRef>
              <c:f>'Age-specific Escapement Sum'!$N$16:$Q$16</c:f>
              <c:numCache>
                <c:formatCode>0</c:formatCode>
                <c:ptCount val="4"/>
                <c:pt idx="0">
                  <c:v>143</c:v>
                </c:pt>
                <c:pt idx="1">
                  <c:v>3679.8311230047111</c:v>
                </c:pt>
                <c:pt idx="2">
                  <c:v>8647.2519568010321</c:v>
                </c:pt>
                <c:pt idx="3">
                  <c:v>40.609361553470855</c:v>
                </c:pt>
              </c:numCache>
            </c:numRef>
          </c:val>
          <c:extLst>
            <c:ext xmlns:c16="http://schemas.microsoft.com/office/drawing/2014/chart" uri="{C3380CC4-5D6E-409C-BE32-E72D297353CC}">
              <c16:uniqueId val="{00000000-5E95-41A7-9CDA-3E512E768E40}"/>
            </c:ext>
          </c:extLst>
        </c:ser>
        <c:dLbls>
          <c:showLegendKey val="0"/>
          <c:showVal val="0"/>
          <c:showCatName val="0"/>
          <c:showSerName val="0"/>
          <c:showPercent val="0"/>
          <c:showBubbleSize val="0"/>
        </c:dLbls>
        <c:gapWidth val="150"/>
        <c:axId val="311549312"/>
        <c:axId val="311646080"/>
      </c:barChart>
      <c:catAx>
        <c:axId val="311549312"/>
        <c:scaling>
          <c:orientation val="minMax"/>
        </c:scaling>
        <c:delete val="0"/>
        <c:axPos val="b"/>
        <c:numFmt formatCode="General" sourceLinked="0"/>
        <c:majorTickMark val="out"/>
        <c:minorTickMark val="none"/>
        <c:tickLblPos val="nextTo"/>
        <c:crossAx val="311646080"/>
        <c:crosses val="autoZero"/>
        <c:auto val="1"/>
        <c:lblAlgn val="ctr"/>
        <c:lblOffset val="100"/>
        <c:noMultiLvlLbl val="0"/>
      </c:catAx>
      <c:valAx>
        <c:axId val="311646080"/>
        <c:scaling>
          <c:orientation val="minMax"/>
        </c:scaling>
        <c:delete val="0"/>
        <c:axPos val="l"/>
        <c:majorGridlines/>
        <c:numFmt formatCode="0" sourceLinked="1"/>
        <c:majorTickMark val="out"/>
        <c:minorTickMark val="none"/>
        <c:tickLblPos val="nextTo"/>
        <c:crossAx val="31154931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'Age-specific Escapement Sum'!$AY$6</c:f>
              <c:strCache>
                <c:ptCount val="1"/>
                <c:pt idx="0">
                  <c:v>Males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Sum'!$BD$5:$BG$5</c:f>
              <c:strCache>
                <c:ptCount val="4"/>
                <c:pt idx="0">
                  <c:v>Age 3</c:v>
                </c:pt>
                <c:pt idx="1">
                  <c:v>Age 4</c:v>
                </c:pt>
                <c:pt idx="2">
                  <c:v>Age 5</c:v>
                </c:pt>
                <c:pt idx="3">
                  <c:v>Age 6</c:v>
                </c:pt>
              </c:strCache>
            </c:strRef>
          </c:cat>
          <c:val>
            <c:numRef>
              <c:f>'Age-specific Escapement Sum'!$BD$6:$BG$6</c:f>
              <c:numCache>
                <c:formatCode>0%</c:formatCode>
                <c:ptCount val="4"/>
                <c:pt idx="0">
                  <c:v>1.3713085003050894E-3</c:v>
                </c:pt>
                <c:pt idx="1">
                  <c:v>0.20919380230958776</c:v>
                </c:pt>
                <c:pt idx="2">
                  <c:v>0.78706519497338967</c:v>
                </c:pt>
                <c:pt idx="3">
                  <c:v>2.369694216717472E-3</c:v>
                </c:pt>
              </c:numCache>
            </c:numRef>
          </c:val>
          <c:extLst>
            <c:ext xmlns:c16="http://schemas.microsoft.com/office/drawing/2014/chart" uri="{C3380CC4-5D6E-409C-BE32-E72D297353CC}">
              <c16:uniqueId val="{00000000-E653-41FD-B231-B19FF3967FEA}"/>
            </c:ext>
          </c:extLst>
        </c:ser>
        <c:ser>
          <c:idx val="1"/>
          <c:order val="1"/>
          <c:tx>
            <c:strRef>
              <c:f>'Age-specific Escapement Sum'!$AY$7</c:f>
              <c:strCache>
                <c:ptCount val="1"/>
                <c:pt idx="0">
                  <c:v>Females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Sum'!$BD$5:$BG$5</c:f>
              <c:strCache>
                <c:ptCount val="4"/>
                <c:pt idx="0">
                  <c:v>Age 3</c:v>
                </c:pt>
                <c:pt idx="1">
                  <c:v>Age 4</c:v>
                </c:pt>
                <c:pt idx="2">
                  <c:v>Age 5</c:v>
                </c:pt>
                <c:pt idx="3">
                  <c:v>Age 6</c:v>
                </c:pt>
              </c:strCache>
            </c:strRef>
          </c:cat>
          <c:val>
            <c:numRef>
              <c:f>'Age-specific Escapement Sum'!$BD$7:$BG$7</c:f>
              <c:numCache>
                <c:formatCode>0%</c:formatCode>
                <c:ptCount val="4"/>
                <c:pt idx="0">
                  <c:v>0</c:v>
                </c:pt>
                <c:pt idx="1">
                  <c:v>0.30057482492983695</c:v>
                </c:pt>
                <c:pt idx="2">
                  <c:v>0.68405198577223025</c:v>
                </c:pt>
                <c:pt idx="3">
                  <c:v>1.5373189297932861E-2</c:v>
                </c:pt>
              </c:numCache>
            </c:numRef>
          </c:val>
          <c:extLst>
            <c:ext xmlns:c16="http://schemas.microsoft.com/office/drawing/2014/chart" uri="{C3380CC4-5D6E-409C-BE32-E72D297353CC}">
              <c16:uniqueId val="{00000001-E653-41FD-B231-B19FF3967FEA}"/>
            </c:ext>
          </c:extLst>
        </c:ser>
        <c:dLbls>
          <c:showLegendKey val="0"/>
          <c:showVal val="0"/>
          <c:showCatName val="0"/>
          <c:showSerName val="0"/>
          <c:showPercent val="0"/>
          <c:showBubbleSize val="0"/>
        </c:dLbls>
        <c:gapWidth val="150"/>
        <c:shape val="box"/>
        <c:axId val="314636928"/>
        <c:axId val="318132992"/>
        <c:axId val="0"/>
      </c:bar3DChart>
      <c:catAx>
        <c:axId val="314636928"/>
        <c:scaling>
          <c:orientation val="minMax"/>
        </c:scaling>
        <c:delete val="0"/>
        <c:axPos val="b"/>
        <c:numFmt formatCode="General" sourceLinked="0"/>
        <c:majorTickMark val="out"/>
        <c:minorTickMark val="none"/>
        <c:tickLblPos val="nextTo"/>
        <c:crossAx val="318132992"/>
        <c:crosses val="autoZero"/>
        <c:auto val="1"/>
        <c:lblAlgn val="ctr"/>
        <c:lblOffset val="100"/>
        <c:noMultiLvlLbl val="0"/>
      </c:catAx>
      <c:valAx>
        <c:axId val="318132992"/>
        <c:scaling>
          <c:orientation val="minMax"/>
        </c:scaling>
        <c:delete val="0"/>
        <c:axPos val="l"/>
        <c:majorGridlines/>
        <c:title>
          <c:tx>
            <c:rich>
              <a:bodyPr rot="-5400000" vert="horz"/>
              <a:lstStyle/>
              <a:p>
                <a:pPr>
                  <a:defRPr/>
                </a:pPr>
                <a:r>
                  <a:rPr lang="en-US"/>
                  <a:t>Percentage of Cohort Escapement</a:t>
                </a:r>
              </a:p>
            </c:rich>
          </c:tx>
          <c:overlay val="0"/>
        </c:title>
        <c:numFmt formatCode="0%" sourceLinked="1"/>
        <c:majorTickMark val="out"/>
        <c:minorTickMark val="none"/>
        <c:tickLblPos val="nextTo"/>
        <c:crossAx val="314636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'Age-specific Escapement Sum'!$AY$8</c:f>
              <c:strCache>
                <c:ptCount val="1"/>
                <c:pt idx="0">
                  <c:v>Males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Sum'!$BD$5:$BG$5</c:f>
              <c:strCache>
                <c:ptCount val="4"/>
                <c:pt idx="0">
                  <c:v>Age 3</c:v>
                </c:pt>
                <c:pt idx="1">
                  <c:v>Age 4</c:v>
                </c:pt>
                <c:pt idx="2">
                  <c:v>Age 5</c:v>
                </c:pt>
                <c:pt idx="3">
                  <c:v>Age 6</c:v>
                </c:pt>
              </c:strCache>
            </c:strRef>
          </c:cat>
          <c:val>
            <c:numRef>
              <c:f>'Age-specific Escapement Sum'!$BD$8:$BG$8</c:f>
              <c:numCache>
                <c:formatCode>0%</c:formatCode>
                <c:ptCount val="4"/>
                <c:pt idx="0">
                  <c:v>0</c:v>
                </c:pt>
                <c:pt idx="1">
                  <c:v>5.7509094332166069E-2</c:v>
                </c:pt>
                <c:pt idx="2">
                  <c:v>0.91280843353582342</c:v>
                </c:pt>
                <c:pt idx="3">
                  <c:v>2.9682472132010508E-2</c:v>
                </c:pt>
              </c:numCache>
            </c:numRef>
          </c:val>
          <c:extLst>
            <c:ext xmlns:c16="http://schemas.microsoft.com/office/drawing/2014/chart" uri="{C3380CC4-5D6E-409C-BE32-E72D297353CC}">
              <c16:uniqueId val="{00000000-B656-4331-8D56-3A812659A469}"/>
            </c:ext>
          </c:extLst>
        </c:ser>
        <c:ser>
          <c:idx val="1"/>
          <c:order val="1"/>
          <c:tx>
            <c:strRef>
              <c:f>'Age-specific Escapement Sum'!$AY$9</c:f>
              <c:strCache>
                <c:ptCount val="1"/>
                <c:pt idx="0">
                  <c:v>Females</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Sum'!$BD$5:$BG$5</c:f>
              <c:strCache>
                <c:ptCount val="4"/>
                <c:pt idx="0">
                  <c:v>Age 3</c:v>
                </c:pt>
                <c:pt idx="1">
                  <c:v>Age 4</c:v>
                </c:pt>
                <c:pt idx="2">
                  <c:v>Age 5</c:v>
                </c:pt>
                <c:pt idx="3">
                  <c:v>Age 6</c:v>
                </c:pt>
              </c:strCache>
            </c:strRef>
          </c:cat>
          <c:val>
            <c:numRef>
              <c:f>'Age-specific Escapement Sum'!$BD$9:$BG$9</c:f>
              <c:numCache>
                <c:formatCode>0%</c:formatCode>
                <c:ptCount val="4"/>
                <c:pt idx="0">
                  <c:v>0</c:v>
                </c:pt>
                <c:pt idx="1">
                  <c:v>0.41883729945512388</c:v>
                </c:pt>
                <c:pt idx="2">
                  <c:v>0.55992574108094206</c:v>
                </c:pt>
                <c:pt idx="3">
                  <c:v>2.1236959463934061E-2</c:v>
                </c:pt>
              </c:numCache>
            </c:numRef>
          </c:val>
          <c:extLst>
            <c:ext xmlns:c16="http://schemas.microsoft.com/office/drawing/2014/chart" uri="{C3380CC4-5D6E-409C-BE32-E72D297353CC}">
              <c16:uniqueId val="{00000001-B656-4331-8D56-3A812659A469}"/>
            </c:ext>
          </c:extLst>
        </c:ser>
        <c:dLbls>
          <c:showLegendKey val="0"/>
          <c:showVal val="0"/>
          <c:showCatName val="0"/>
          <c:showSerName val="0"/>
          <c:showPercent val="0"/>
          <c:showBubbleSize val="0"/>
        </c:dLbls>
        <c:gapWidth val="150"/>
        <c:shape val="box"/>
        <c:axId val="319318272"/>
        <c:axId val="319552128"/>
        <c:axId val="0"/>
      </c:bar3DChart>
      <c:catAx>
        <c:axId val="319318272"/>
        <c:scaling>
          <c:orientation val="minMax"/>
        </c:scaling>
        <c:delete val="0"/>
        <c:axPos val="b"/>
        <c:numFmt formatCode="General" sourceLinked="0"/>
        <c:majorTickMark val="out"/>
        <c:minorTickMark val="none"/>
        <c:tickLblPos val="nextTo"/>
        <c:crossAx val="319552128"/>
        <c:crosses val="autoZero"/>
        <c:auto val="1"/>
        <c:lblAlgn val="ctr"/>
        <c:lblOffset val="100"/>
        <c:noMultiLvlLbl val="0"/>
      </c:catAx>
      <c:valAx>
        <c:axId val="319552128"/>
        <c:scaling>
          <c:orientation val="minMax"/>
        </c:scaling>
        <c:delete val="0"/>
        <c:axPos val="l"/>
        <c:majorGridlines/>
        <c:numFmt formatCode="0%" sourceLinked="1"/>
        <c:majorTickMark val="out"/>
        <c:minorTickMark val="none"/>
        <c:tickLblPos val="nextTo"/>
        <c:crossAx val="3193182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'Age-specific Escapement Sum'!$AY$6</c:f>
              <c:strCache>
                <c:ptCount val="1"/>
                <c:pt idx="0">
                  <c:v>Males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3"/>
              <c:layout>
                <c:manualLayout>
                  <c:x val="1.111111111111111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71-4021-9F09-314F81123D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Sum'!$BH$5:$BK$5</c:f>
              <c:strCache>
                <c:ptCount val="4"/>
                <c:pt idx="0">
                  <c:v>Age 3</c:v>
                </c:pt>
                <c:pt idx="1">
                  <c:v>Age 4</c:v>
                </c:pt>
                <c:pt idx="2">
                  <c:v>Age 5</c:v>
                </c:pt>
                <c:pt idx="3">
                  <c:v>Age 6</c:v>
                </c:pt>
              </c:strCache>
            </c:strRef>
          </c:cat>
          <c:val>
            <c:numRef>
              <c:f>'Age-specific Escapement Sum'!$BH$6:$BK$6</c:f>
              <c:numCache>
                <c:formatCode>0%</c:formatCode>
                <c:ptCount val="4"/>
                <c:pt idx="0">
                  <c:v>9.5899011508107917E-4</c:v>
                </c:pt>
                <c:pt idx="1">
                  <c:v>0.14629442500100248</c:v>
                </c:pt>
                <c:pt idx="2">
                  <c:v>0.55041425159686341</c:v>
                </c:pt>
                <c:pt idx="3">
                  <c:v>1.6571860592210041E-3</c:v>
                </c:pt>
              </c:numCache>
            </c:numRef>
          </c:val>
          <c:extLst>
            <c:ext xmlns:c16="http://schemas.microsoft.com/office/drawing/2014/chart" uri="{C3380CC4-5D6E-409C-BE32-E72D297353CC}">
              <c16:uniqueId val="{00000001-D571-4021-9F09-314F81123D8E}"/>
            </c:ext>
          </c:extLst>
        </c:ser>
        <c:ser>
          <c:idx val="1"/>
          <c:order val="1"/>
          <c:tx>
            <c:strRef>
              <c:f>'Age-specific Escapement Sum'!$AY$7</c:f>
              <c:strCache>
                <c:ptCount val="1"/>
                <c:pt idx="0">
                  <c:v>Females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71-4021-9F09-314F81123D8E}"/>
                </c:ext>
              </c:extLst>
            </c:dLbl>
            <c:dLbl>
              <c:idx val="1"/>
              <c:layout>
                <c:manualLayout>
                  <c:x val="1.94444444444444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71-4021-9F09-314F81123D8E}"/>
                </c:ext>
              </c:extLst>
            </c:dLbl>
            <c:dLbl>
              <c:idx val="2"/>
              <c:layout>
                <c:manualLayout>
                  <c:x val="2.500000000000000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71-4021-9F09-314F81123D8E}"/>
                </c:ext>
              </c:extLst>
            </c:dLbl>
            <c:dLbl>
              <c:idx val="3"/>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71-4021-9F09-314F81123D8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Sum'!$BH$5:$BK$5</c:f>
              <c:strCache>
                <c:ptCount val="4"/>
                <c:pt idx="0">
                  <c:v>Age 3</c:v>
                </c:pt>
                <c:pt idx="1">
                  <c:v>Age 4</c:v>
                </c:pt>
                <c:pt idx="2">
                  <c:v>Age 5</c:v>
                </c:pt>
                <c:pt idx="3">
                  <c:v>Age 6</c:v>
                </c:pt>
              </c:strCache>
            </c:strRef>
          </c:cat>
          <c:val>
            <c:numRef>
              <c:f>'Age-specific Escapement Sum'!$BH$7:$BK$7</c:f>
              <c:numCache>
                <c:formatCode>0%</c:formatCode>
                <c:ptCount val="4"/>
                <c:pt idx="0">
                  <c:v>0</c:v>
                </c:pt>
                <c:pt idx="1">
                  <c:v>9.0375379738758504E-2</c:v>
                </c:pt>
                <c:pt idx="2">
                  <c:v>0.20567743153355605</c:v>
                </c:pt>
                <c:pt idx="3">
                  <c:v>4.622335955517292E-3</c:v>
                </c:pt>
              </c:numCache>
            </c:numRef>
          </c:val>
          <c:extLst>
            <c:ext xmlns:c16="http://schemas.microsoft.com/office/drawing/2014/chart" uri="{C3380CC4-5D6E-409C-BE32-E72D297353CC}">
              <c16:uniqueId val="{00000006-D571-4021-9F09-314F81123D8E}"/>
            </c:ext>
          </c:extLst>
        </c:ser>
        <c:dLbls>
          <c:showLegendKey val="0"/>
          <c:showVal val="0"/>
          <c:showCatName val="0"/>
          <c:showSerName val="0"/>
          <c:showPercent val="0"/>
          <c:showBubbleSize val="0"/>
        </c:dLbls>
        <c:gapWidth val="150"/>
        <c:shape val="box"/>
        <c:axId val="320168704"/>
        <c:axId val="320170624"/>
        <c:axId val="0"/>
      </c:bar3DChart>
      <c:catAx>
        <c:axId val="320168704"/>
        <c:scaling>
          <c:orientation val="minMax"/>
        </c:scaling>
        <c:delete val="0"/>
        <c:axPos val="b"/>
        <c:numFmt formatCode="General" sourceLinked="0"/>
        <c:majorTickMark val="out"/>
        <c:minorTickMark val="none"/>
        <c:tickLblPos val="nextTo"/>
        <c:crossAx val="320170624"/>
        <c:crosses val="autoZero"/>
        <c:auto val="1"/>
        <c:lblAlgn val="ctr"/>
        <c:lblOffset val="100"/>
        <c:noMultiLvlLbl val="0"/>
      </c:catAx>
      <c:valAx>
        <c:axId val="320170624"/>
        <c:scaling>
          <c:orientation val="minMax"/>
        </c:scaling>
        <c:delete val="0"/>
        <c:axPos val="l"/>
        <c:majorGridlines>
          <c:spPr>
            <a:ln>
              <a:noFill/>
            </a:ln>
          </c:spPr>
        </c:majorGridlines>
        <c:numFmt formatCode="0%" sourceLinked="1"/>
        <c:majorTickMark val="out"/>
        <c:minorTickMark val="none"/>
        <c:tickLblPos val="nextTo"/>
        <c:crossAx val="320168704"/>
        <c:crosses val="autoZero"/>
        <c:crossBetween val="between"/>
        <c:majorUnit val="0.1"/>
        <c:minorUnit val="0.1"/>
      </c:valAx>
    </c:plotArea>
    <c:legend>
      <c:legendPos val="r"/>
      <c:overlay val="0"/>
    </c:legend>
    <c:plotVisOnly val="1"/>
    <c:dispBlanksAs val="gap"/>
    <c:showDLblsOverMax val="0"/>
  </c:chart>
  <c:txPr>
    <a:bodyPr/>
    <a:lstStyle/>
    <a:p>
      <a:pPr>
        <a:defRPr sz="105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0"/>
        <c:ser>
          <c:idx val="0"/>
          <c:order val="0"/>
          <c:tx>
            <c:strRef>
              <c:f>'Age-specific Escapement Sum'!$AY$6</c:f>
              <c:strCache>
                <c:ptCount val="1"/>
                <c:pt idx="0">
                  <c:v>Males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Sum'!$BH$5:$BK$5</c:f>
              <c:strCache>
                <c:ptCount val="4"/>
                <c:pt idx="0">
                  <c:v>Age 3</c:v>
                </c:pt>
                <c:pt idx="1">
                  <c:v>Age 4</c:v>
                </c:pt>
                <c:pt idx="2">
                  <c:v>Age 5</c:v>
                </c:pt>
                <c:pt idx="3">
                  <c:v>Age 6</c:v>
                </c:pt>
              </c:strCache>
            </c:strRef>
          </c:cat>
          <c:val>
            <c:numRef>
              <c:f>'Age-specific Escapement Sum'!$BH$8:$BK$8</c:f>
              <c:numCache>
                <c:formatCode>0%</c:formatCode>
                <c:ptCount val="4"/>
                <c:pt idx="0">
                  <c:v>0</c:v>
                </c:pt>
                <c:pt idx="1">
                  <c:v>5.3752750041151841E-2</c:v>
                </c:pt>
                <c:pt idx="2">
                  <c:v>0.85318616356409616</c:v>
                </c:pt>
                <c:pt idx="3">
                  <c:v>2.7743690343998526E-2</c:v>
                </c:pt>
              </c:numCache>
            </c:numRef>
          </c:val>
          <c:extLst>
            <c:ext xmlns:c16="http://schemas.microsoft.com/office/drawing/2014/chart" uri="{C3380CC4-5D6E-409C-BE32-E72D297353CC}">
              <c16:uniqueId val="{00000000-DB76-4743-8CFB-555BF0A8A8F6}"/>
            </c:ext>
          </c:extLst>
        </c:ser>
        <c:ser>
          <c:idx val="1"/>
          <c:order val="1"/>
          <c:tx>
            <c:strRef>
              <c:f>'Age-specific Escapement Sum'!$AY$7</c:f>
              <c:strCache>
                <c:ptCount val="1"/>
                <c:pt idx="0">
                  <c:v>Females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Lbl>
              <c:idx val="0"/>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76-4743-8CFB-555BF0A8A8F6}"/>
                </c:ext>
              </c:extLst>
            </c:dLbl>
            <c:dLbl>
              <c:idx val="1"/>
              <c:layout>
                <c:manualLayout>
                  <c:x val="2.4999999999999949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76-4743-8CFB-555BF0A8A8F6}"/>
                </c:ext>
              </c:extLst>
            </c:dLbl>
            <c:dLbl>
              <c:idx val="2"/>
              <c:layout>
                <c:manualLayout>
                  <c:x val="1.9444444444444445E-2"/>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76-4743-8CFB-555BF0A8A8F6}"/>
                </c:ext>
              </c:extLst>
            </c:dLbl>
            <c:dLbl>
              <c:idx val="3"/>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76-4743-8CFB-555BF0A8A8F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'Age-specific Escapement Sum'!$BH$5:$BK$5</c:f>
              <c:strCache>
                <c:ptCount val="4"/>
                <c:pt idx="0">
                  <c:v>Age 3</c:v>
                </c:pt>
                <c:pt idx="1">
                  <c:v>Age 4</c:v>
                </c:pt>
                <c:pt idx="2">
                  <c:v>Age 5</c:v>
                </c:pt>
                <c:pt idx="3">
                  <c:v>Age 6</c:v>
                </c:pt>
              </c:strCache>
            </c:strRef>
          </c:cat>
          <c:val>
            <c:numRef>
              <c:f>'Age-specific Escapement Sum'!$BH$9:$BK$9</c:f>
              <c:numCache>
                <c:formatCode>0%</c:formatCode>
                <c:ptCount val="4"/>
                <c:pt idx="0">
                  <c:v>0</c:v>
                </c:pt>
                <c:pt idx="1">
                  <c:v>2.7357361769338298E-2</c:v>
                </c:pt>
                <c:pt idx="2">
                  <c:v>3.6572891389195457E-2</c:v>
                </c:pt>
                <c:pt idx="3">
                  <c:v>1.3871428922195752E-3</c:v>
                </c:pt>
              </c:numCache>
            </c:numRef>
          </c:val>
          <c:extLst>
            <c:ext xmlns:c16="http://schemas.microsoft.com/office/drawing/2014/chart" uri="{C3380CC4-5D6E-409C-BE32-E72D297353CC}">
              <c16:uniqueId val="{00000005-DB76-4743-8CFB-555BF0A8A8F6}"/>
            </c:ext>
          </c:extLst>
        </c:ser>
        <c:dLbls>
          <c:showLegendKey val="0"/>
          <c:showVal val="0"/>
          <c:showCatName val="0"/>
          <c:showSerName val="0"/>
          <c:showPercent val="0"/>
          <c:showBubbleSize val="0"/>
        </c:dLbls>
        <c:gapWidth val="150"/>
        <c:shape val="box"/>
        <c:axId val="321243776"/>
        <c:axId val="321573632"/>
        <c:axId val="0"/>
      </c:bar3DChart>
      <c:catAx>
        <c:axId val="321243776"/>
        <c:scaling>
          <c:orientation val="minMax"/>
        </c:scaling>
        <c:delete val="0"/>
        <c:axPos val="b"/>
        <c:numFmt formatCode="General" sourceLinked="0"/>
        <c:majorTickMark val="out"/>
        <c:minorTickMark val="none"/>
        <c:tickLblPos val="nextTo"/>
        <c:crossAx val="321573632"/>
        <c:crosses val="autoZero"/>
        <c:auto val="1"/>
        <c:lblAlgn val="ctr"/>
        <c:lblOffset val="100"/>
        <c:noMultiLvlLbl val="0"/>
      </c:catAx>
      <c:valAx>
        <c:axId val="321573632"/>
        <c:scaling>
          <c:orientation val="minMax"/>
        </c:scaling>
        <c:delete val="0"/>
        <c:axPos val="l"/>
        <c:majorGridlines>
          <c:spPr>
            <a:ln>
              <a:noFill/>
            </a:ln>
          </c:spPr>
        </c:majorGridlines>
        <c:numFmt formatCode="0%" sourceLinked="1"/>
        <c:majorTickMark val="out"/>
        <c:minorTickMark val="none"/>
        <c:tickLblPos val="nextTo"/>
        <c:crossAx val="321243776"/>
        <c:crosses val="autoZero"/>
        <c:crossBetween val="between"/>
        <c:majorUnit val="0.1"/>
        <c:minorUnit val="0.1"/>
      </c:valAx>
    </c:plotArea>
    <c:legend>
      <c:legendPos val="r"/>
      <c:overlay val="0"/>
    </c:legend>
    <c:plotVisOnly val="1"/>
    <c:dispBlanksAs val="gap"/>
    <c:showDLblsOverMax val="0"/>
  </c:chart>
  <c:txPr>
    <a:bodyPr/>
    <a:lstStyle/>
    <a:p>
      <a:pPr>
        <a:defRPr sz="11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Chilko Age-3 (jacks) Spawners</a:t>
            </a:r>
          </a:p>
        </c:rich>
      </c:tx>
      <c:overlay val="0"/>
    </c:title>
    <c:autoTitleDeleted val="0"/>
    <c:plotArea>
      <c:layout/>
      <c:barChart>
        <c:barDir val="col"/>
        <c:grouping val="clustered"/>
        <c:varyColors val="0"/>
        <c:ser>
          <c:idx val="0"/>
          <c:order val="0"/>
          <c:tx>
            <c:strRef>
              <c:f>'Age-specific Escapement Sum'!$T$5</c:f>
              <c:strCache>
                <c:ptCount val="1"/>
                <c:pt idx="0">
                  <c:v>Age-32</c:v>
                </c:pt>
              </c:strCache>
            </c:strRef>
          </c:tx>
          <c:invertIfNegative val="0"/>
          <c:cat>
            <c:numRef>
              <c:f>'Age-specific Escapement Sum'!$S$6:$S$15</c:f>
              <c:numCache>
                <c:formatCode>0_);\(0\)</c:formatCode>
                <c:ptCount val="10"/>
                <c:pt idx="0">
                  <c:v>2010</c:v>
                </c:pt>
                <c:pt idx="1">
                  <c:v>2011</c:v>
                </c:pt>
                <c:pt idx="2">
                  <c:v>2012</c:v>
                </c:pt>
                <c:pt idx="3">
                  <c:v>2013</c:v>
                </c:pt>
                <c:pt idx="4">
                  <c:v>2014</c:v>
                </c:pt>
                <c:pt idx="5" formatCode="General">
                  <c:v>2015</c:v>
                </c:pt>
                <c:pt idx="6" formatCode="General">
                  <c:v>2016</c:v>
                </c:pt>
                <c:pt idx="7" formatCode="General">
                  <c:v>2017</c:v>
                </c:pt>
                <c:pt idx="8" formatCode="General">
                  <c:v>2018</c:v>
                </c:pt>
                <c:pt idx="9" formatCode="General">
                  <c:v>2019</c:v>
                </c:pt>
              </c:numCache>
            </c:numRef>
          </c:cat>
          <c:val>
            <c:numRef>
              <c:f>'Age-specific Escapement Sum'!$T$6:$T$15</c:f>
              <c:numCache>
                <c:formatCode>_(* #,##0_);_(* \(#,##0\);_(* "-"??_);_(@_)</c:formatCode>
                <c:ptCount val="10"/>
                <c:pt idx="0">
                  <c:v>44.751014357053684</c:v>
                </c:pt>
                <c:pt idx="1">
                  <c:v>19</c:v>
                </c:pt>
                <c:pt idx="2">
                  <c:v>176.9220726938118</c:v>
                </c:pt>
                <c:pt idx="3">
                  <c:v>400.75590451345658</c:v>
                </c:pt>
                <c:pt idx="4">
                  <c:v>30.842105263157894</c:v>
                </c:pt>
                <c:pt idx="5">
                  <c:v>19.136842105263156</c:v>
                </c:pt>
                <c:pt idx="6">
                  <c:v>109</c:v>
                </c:pt>
                <c:pt idx="7">
                  <c:v>16.5</c:v>
                </c:pt>
                <c:pt idx="8">
                  <c:v>0</c:v>
                </c:pt>
                <c:pt idx="9">
                  <c:v>0</c:v>
                </c:pt>
              </c:numCache>
            </c:numRef>
          </c:val>
          <c:extLst>
            <c:ext xmlns:c16="http://schemas.microsoft.com/office/drawing/2014/chart" uri="{C3380CC4-5D6E-409C-BE32-E72D297353CC}">
              <c16:uniqueId val="{00000000-06C4-4900-8A88-713EBE8FF882}"/>
            </c:ext>
          </c:extLst>
        </c:ser>
        <c:dLbls>
          <c:showLegendKey val="0"/>
          <c:showVal val="0"/>
          <c:showCatName val="0"/>
          <c:showSerName val="0"/>
          <c:showPercent val="0"/>
          <c:showBubbleSize val="0"/>
        </c:dLbls>
        <c:gapWidth val="150"/>
        <c:axId val="296279424"/>
        <c:axId val="296289408"/>
      </c:barChart>
      <c:catAx>
        <c:axId val="296279424"/>
        <c:scaling>
          <c:orientation val="minMax"/>
        </c:scaling>
        <c:delete val="0"/>
        <c:axPos val="b"/>
        <c:title>
          <c:tx>
            <c:rich>
              <a:bodyPr/>
              <a:lstStyle/>
              <a:p>
                <a:pPr>
                  <a:defRPr/>
                </a:pPr>
                <a:r>
                  <a:rPr lang="en-US"/>
                  <a:t>Return Year</a:t>
                </a:r>
              </a:p>
            </c:rich>
          </c:tx>
          <c:overlay val="0"/>
        </c:title>
        <c:numFmt formatCode="0_);\(0\)" sourceLinked="1"/>
        <c:majorTickMark val="out"/>
        <c:minorTickMark val="none"/>
        <c:tickLblPos val="nextTo"/>
        <c:crossAx val="296289408"/>
        <c:crosses val="autoZero"/>
        <c:auto val="1"/>
        <c:lblAlgn val="ctr"/>
        <c:lblOffset val="100"/>
        <c:noMultiLvlLbl val="0"/>
      </c:catAx>
      <c:valAx>
        <c:axId val="296289408"/>
        <c:scaling>
          <c:orientation val="minMax"/>
          <c:max val="500"/>
        </c:scaling>
        <c:delete val="0"/>
        <c:axPos val="l"/>
        <c:majorGridlines/>
        <c:numFmt formatCode="_(* #,##0_);_(* \(#,##0\);_(* &quot;-&quot;??_);_(@_)" sourceLinked="1"/>
        <c:majorTickMark val="out"/>
        <c:minorTickMark val="none"/>
        <c:tickLblPos val="nextTo"/>
        <c:crossAx val="296279424"/>
        <c:crosses val="autoZero"/>
        <c:crossBetween val="between"/>
        <c:majorUnit val="100"/>
      </c:valAx>
    </c:plotArea>
    <c:plotVisOnly val="1"/>
    <c:dispBlanksAs val="gap"/>
    <c:showDLblsOverMax val="0"/>
  </c:chart>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17</xdr:col>
      <xdr:colOff>314324</xdr:colOff>
      <xdr:row>11</xdr:row>
      <xdr:rowOff>42861</xdr:rowOff>
    </xdr:from>
    <xdr:to>
      <xdr:col>27</xdr:col>
      <xdr:colOff>209549</xdr:colOff>
      <xdr:row>31</xdr:row>
      <xdr:rowOff>95250</xdr:rowOff>
    </xdr:to>
    <xdr:graphicFrame macro="">
      <xdr:nvGraphicFramePr>
        <xdr:cNvPr id="2" name="Chart 1">
          <a:extLst>
            <a:ext uri="{FF2B5EF4-FFF2-40B4-BE49-F238E27FC236}">
              <a16:creationId xmlns:a16="http://schemas.microsoft.com/office/drawing/2014/main" id="{39571A75-6AAA-6217-99DE-3D8C92F10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527503</xdr:colOff>
      <xdr:row>22</xdr:row>
      <xdr:rowOff>154711</xdr:rowOff>
    </xdr:from>
    <xdr:to>
      <xdr:col>11</xdr:col>
      <xdr:colOff>194764</xdr:colOff>
      <xdr:row>62</xdr:row>
      <xdr:rowOff>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133078</xdr:colOff>
      <xdr:row>25</xdr:row>
      <xdr:rowOff>71573</xdr:rowOff>
    </xdr:from>
    <xdr:to>
      <xdr:col>34</xdr:col>
      <xdr:colOff>323578</xdr:colOff>
      <xdr:row>52</xdr:row>
      <xdr:rowOff>77289</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495300</xdr:colOff>
      <xdr:row>20</xdr:row>
      <xdr:rowOff>97971</xdr:rowOff>
    </xdr:from>
    <xdr:to>
      <xdr:col>24</xdr:col>
      <xdr:colOff>66675</xdr:colOff>
      <xdr:row>38</xdr:row>
      <xdr:rowOff>161924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0</xdr:colOff>
      <xdr:row>11</xdr:row>
      <xdr:rowOff>57150</xdr:rowOff>
    </xdr:from>
    <xdr:to>
      <xdr:col>57</xdr:col>
      <xdr:colOff>304800</xdr:colOff>
      <xdr:row>25</xdr:row>
      <xdr:rowOff>133350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600075</xdr:colOff>
      <xdr:row>26</xdr:row>
      <xdr:rowOff>80963</xdr:rowOff>
    </xdr:from>
    <xdr:to>
      <xdr:col>57</xdr:col>
      <xdr:colOff>295275</xdr:colOff>
      <xdr:row>40</xdr:row>
      <xdr:rowOff>157163</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58</xdr:col>
      <xdr:colOff>0</xdr:colOff>
      <xdr:row>11</xdr:row>
      <xdr:rowOff>0</xdr:rowOff>
    </xdr:from>
    <xdr:to>
      <xdr:col>65</xdr:col>
      <xdr:colOff>304800</xdr:colOff>
      <xdr:row>25</xdr:row>
      <xdr:rowOff>76200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58</xdr:col>
      <xdr:colOff>0</xdr:colOff>
      <xdr:row>26</xdr:row>
      <xdr:rowOff>0</xdr:rowOff>
    </xdr:from>
    <xdr:to>
      <xdr:col>65</xdr:col>
      <xdr:colOff>304800</xdr:colOff>
      <xdr:row>40</xdr:row>
      <xdr:rowOff>76200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90487</xdr:colOff>
      <xdr:row>42</xdr:row>
      <xdr:rowOff>114300</xdr:rowOff>
    </xdr:from>
    <xdr:to>
      <xdr:col>25</xdr:col>
      <xdr:colOff>290512</xdr:colOff>
      <xdr:row>57</xdr:row>
      <xdr:rowOff>0</xdr:rowOff>
    </xdr:to>
    <xdr:graphicFrame macro="">
      <xdr:nvGraphicFramePr>
        <xdr:cNvPr id="9" name="Chart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parkenc/My%20Documents/Fraser%20Chinook/CWT%20Analyses/Fraser%20Sport/Area29ChinookSportRecoveries2003_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ferences"/>
      <sheetName val="Sheet1"/>
      <sheetName val="Sheet2"/>
      <sheetName val="NEW sub rate calc"/>
      <sheetName val="BC FW sport recvrs"/>
      <sheetName val="FOR JASON"/>
      <sheetName val="lookup tables"/>
      <sheetName val="lookup tbl 2"/>
      <sheetName val="Cdn CWTs for ERA in 09"/>
      <sheetName val="NOTES"/>
      <sheetName val="OLD"/>
    </sheetNames>
    <sheetDataSet>
      <sheetData sheetId="0"/>
      <sheetData sheetId="1"/>
      <sheetData sheetId="2"/>
      <sheetData sheetId="3"/>
      <sheetData sheetId="4"/>
      <sheetData sheetId="5"/>
      <sheetData sheetId="6"/>
      <sheetData sheetId="7">
        <row r="51">
          <cell r="A51" t="str">
            <v>Section</v>
          </cell>
          <cell r="B51" t="str">
            <v>(All)</v>
          </cell>
        </row>
        <row r="52">
          <cell r="A52" t="str">
            <v>Recovery Year</v>
          </cell>
          <cell r="B52" t="str">
            <v>(All)</v>
          </cell>
        </row>
        <row r="53">
          <cell r="A53" t="str">
            <v>Age - Total</v>
          </cell>
          <cell r="B53" t="str">
            <v>(Multiple Items)</v>
          </cell>
        </row>
        <row r="55">
          <cell r="A55" t="str">
            <v>Count of Tagcode</v>
          </cell>
        </row>
        <row r="56">
          <cell r="A56" t="str">
            <v>LookupID</v>
          </cell>
          <cell r="B56" t="str">
            <v>Total</v>
          </cell>
        </row>
        <row r="57">
          <cell r="A57" t="str">
            <v>2003.10.LOWER FRASER</v>
          </cell>
          <cell r="B57">
            <v>1</v>
          </cell>
          <cell r="E57" t="str">
            <v>#N/A</v>
          </cell>
          <cell r="F57">
            <v>16</v>
          </cell>
        </row>
        <row r="58">
          <cell r="A58" t="str">
            <v>2003.5.LOWER FRASER</v>
          </cell>
          <cell r="B58">
            <v>9</v>
          </cell>
          <cell r="E58" t="str">
            <v>2006..SPENCES BRIDGE-NICOLA RIVER MOUTH</v>
          </cell>
          <cell r="F58">
            <v>28</v>
          </cell>
        </row>
        <row r="59">
          <cell r="A59" t="str">
            <v>2003.6.LOWER FRASER</v>
          </cell>
          <cell r="B59">
            <v>2</v>
          </cell>
          <cell r="E59" t="str">
            <v>2007..SPENCES BRIDGE-NICOLA RIVER MOUTH</v>
          </cell>
          <cell r="F59">
            <v>6</v>
          </cell>
        </row>
        <row r="60">
          <cell r="A60" t="str">
            <v>2003.7.LOWER FRASER</v>
          </cell>
          <cell r="B60">
            <v>7</v>
          </cell>
          <cell r="E60" t="str">
            <v>1993..SPENCES BRIDGE-NICOLA RIVER MOUTH</v>
          </cell>
          <cell r="F60">
            <v>30</v>
          </cell>
        </row>
        <row r="61">
          <cell r="A61" t="str">
            <v>2003.8.LOWER FRASER</v>
          </cell>
          <cell r="B61">
            <v>3</v>
          </cell>
          <cell r="E61" t="str">
            <v>1997..SPENCES BRIDGE-NICOLA RIVER MOUTH</v>
          </cell>
          <cell r="F61">
            <v>13</v>
          </cell>
        </row>
        <row r="62">
          <cell r="A62" t="str">
            <v>2004.5.LOWER FRASER</v>
          </cell>
          <cell r="B62">
            <v>4</v>
          </cell>
          <cell r="E62" t="str">
            <v>1994..SPENCES BRIDGE-NICOLA RIVER MOUTH</v>
          </cell>
          <cell r="F62">
            <v>196</v>
          </cell>
        </row>
        <row r="63">
          <cell r="A63" t="str">
            <v>2004.6.LOWER FRASER</v>
          </cell>
          <cell r="B63">
            <v>5</v>
          </cell>
          <cell r="E63" t="str">
            <v>1991..SPENCES BRIDGE-NICOLA RIVER MOUTH</v>
          </cell>
          <cell r="F63">
            <v>84</v>
          </cell>
        </row>
        <row r="64">
          <cell r="A64" t="str">
            <v>2004.7.LOWER FRASER</v>
          </cell>
          <cell r="B64">
            <v>5</v>
          </cell>
          <cell r="E64" t="str">
            <v>1992..SPENCES BRIDGE-NICOLA RIVER MOUTH</v>
          </cell>
          <cell r="F64">
            <v>43</v>
          </cell>
        </row>
        <row r="65">
          <cell r="A65" t="str">
            <v>2004.8.LOWER FRASER</v>
          </cell>
          <cell r="B65">
            <v>4</v>
          </cell>
          <cell r="E65" t="str">
            <v>1990..SPENCES BRIDGE-NICOLA RIVER MOUTH</v>
          </cell>
          <cell r="F65">
            <v>35</v>
          </cell>
        </row>
        <row r="66">
          <cell r="A66" t="str">
            <v>2004.9.LOWER FRASER</v>
          </cell>
          <cell r="B66">
            <v>3</v>
          </cell>
          <cell r="E66" t="str">
            <v>1989..SPENCES BRIDGE-NICOLA RIVER MOUTH</v>
          </cell>
          <cell r="F66">
            <v>20</v>
          </cell>
        </row>
        <row r="67">
          <cell r="A67" t="str">
            <v>2005.6.LOWER FRASER</v>
          </cell>
          <cell r="B67">
            <v>1</v>
          </cell>
          <cell r="E67" t="str">
            <v>1988..SPENCES BRIDGE-NICOLA RIVER MOUTH</v>
          </cell>
          <cell r="F67">
            <v>17</v>
          </cell>
        </row>
        <row r="68">
          <cell r="A68" t="str">
            <v>2005.7.LOWER FRASER</v>
          </cell>
          <cell r="B68">
            <v>2</v>
          </cell>
          <cell r="E68" t="str">
            <v>2001..SPENCES BRIDGE-NICOLA RIVER MOUTH</v>
          </cell>
          <cell r="F68">
            <v>59</v>
          </cell>
        </row>
        <row r="69">
          <cell r="A69" t="str">
            <v>2006.6.LOWER FRASER</v>
          </cell>
          <cell r="B69">
            <v>3</v>
          </cell>
          <cell r="E69" t="str">
            <v>2002..SPENCES BRIDGE-NICOLA RIVER MOUTH</v>
          </cell>
          <cell r="F69">
            <v>56</v>
          </cell>
        </row>
        <row r="70">
          <cell r="A70" t="str">
            <v>2006.7.LOWER FRASER</v>
          </cell>
          <cell r="B70">
            <v>7</v>
          </cell>
          <cell r="E70" t="str">
            <v>2000..SPENCES BRIDGE-NICOLA RIVER MOUTH</v>
          </cell>
          <cell r="F70">
            <v>84</v>
          </cell>
        </row>
        <row r="71">
          <cell r="A71" t="str">
            <v>2006.8.LOWER FRASER</v>
          </cell>
          <cell r="B71">
            <v>2</v>
          </cell>
          <cell r="E71" t="str">
            <v>1996..SPENCES BRIDGE-NICOLA RIVER MOUTH</v>
          </cell>
          <cell r="F71">
            <v>6</v>
          </cell>
        </row>
        <row r="72">
          <cell r="A72" t="str">
            <v>2007.6.LOWER FRASER</v>
          </cell>
          <cell r="B72">
            <v>2</v>
          </cell>
          <cell r="E72" t="str">
            <v>1998..SPENCES BRIDGE-NICOLA RIVER MOUTH</v>
          </cell>
          <cell r="F72">
            <v>57</v>
          </cell>
        </row>
        <row r="73">
          <cell r="A73" t="str">
            <v>2007.8.LOWER FRASER</v>
          </cell>
          <cell r="B73">
            <v>2</v>
          </cell>
          <cell r="E73" t="str">
            <v>1995..SPENCES BRIDGE-NICOLA RIVER MOUTH</v>
          </cell>
          <cell r="F73">
            <v>44</v>
          </cell>
        </row>
        <row r="74">
          <cell r="A74" t="str">
            <v>#N/A</v>
          </cell>
          <cell r="B74">
            <v>16</v>
          </cell>
          <cell r="E74" t="str">
            <v>2003..LOWER FRASER</v>
          </cell>
          <cell r="F74">
            <v>22</v>
          </cell>
        </row>
        <row r="75">
          <cell r="A75" t="str">
            <v>1996.10.LOWER FRASER</v>
          </cell>
          <cell r="B75">
            <v>1</v>
          </cell>
          <cell r="E75" t="str">
            <v>2003..SPENCES BRIDGE-NICOLA RIVER MOUTH</v>
          </cell>
          <cell r="F75">
            <v>53</v>
          </cell>
        </row>
        <row r="76">
          <cell r="A76" t="str">
            <v>1985.10.LOWER FRASER</v>
          </cell>
          <cell r="B76">
            <v>2</v>
          </cell>
          <cell r="E76" t="str">
            <v>2003..MABEL LAKE</v>
          </cell>
          <cell r="F76">
            <v>4</v>
          </cell>
        </row>
        <row r="77">
          <cell r="A77" t="str">
            <v>1991.10.LOWER FRASER</v>
          </cell>
          <cell r="B77">
            <v>1</v>
          </cell>
          <cell r="E77" t="str">
            <v>2003..0</v>
          </cell>
          <cell r="F77">
            <v>2</v>
          </cell>
        </row>
        <row r="78">
          <cell r="A78" t="str">
            <v>1995.10.LOWER FRASER</v>
          </cell>
          <cell r="B78">
            <v>1</v>
          </cell>
          <cell r="E78" t="str">
            <v>2003..LOWER SHUSWAP</v>
          </cell>
          <cell r="F78">
            <v>5</v>
          </cell>
        </row>
        <row r="79">
          <cell r="A79" t="str">
            <v>1997.8.LOWER FRASER</v>
          </cell>
          <cell r="B79">
            <v>1</v>
          </cell>
          <cell r="E79" t="str">
            <v>2003..CHILLIWACK-VEDDAR RIVER</v>
          </cell>
          <cell r="F79">
            <v>35</v>
          </cell>
        </row>
        <row r="80">
          <cell r="A80" t="str">
            <v>1997.6.LOWER FRASER</v>
          </cell>
          <cell r="B80">
            <v>1</v>
          </cell>
          <cell r="E80" t="str">
            <v>2004..LOWER FRASER</v>
          </cell>
          <cell r="F80">
            <v>21</v>
          </cell>
        </row>
        <row r="81">
          <cell r="A81" t="str">
            <v>1994.7.LOWER FRASER</v>
          </cell>
          <cell r="B81">
            <v>4</v>
          </cell>
          <cell r="E81" t="str">
            <v>2004..CHILLIWACK-VEDDAR RIVER</v>
          </cell>
          <cell r="F81">
            <v>39</v>
          </cell>
        </row>
        <row r="82">
          <cell r="A82" t="str">
            <v>1994.6.LOWER FRASER</v>
          </cell>
          <cell r="B82">
            <v>3</v>
          </cell>
          <cell r="E82" t="str">
            <v>2004..LOWER SHUSWAP</v>
          </cell>
          <cell r="F82">
            <v>9</v>
          </cell>
        </row>
        <row r="83">
          <cell r="A83" t="str">
            <v>1991.9.LOWER FRASER</v>
          </cell>
          <cell r="B83">
            <v>1</v>
          </cell>
          <cell r="E83" t="str">
            <v>2005..LOWER FRASER</v>
          </cell>
          <cell r="F83">
            <v>3</v>
          </cell>
        </row>
        <row r="84">
          <cell r="A84" t="str">
            <v>1991.7.LOWER FRASER</v>
          </cell>
          <cell r="B84">
            <v>2</v>
          </cell>
          <cell r="E84" t="str">
            <v>2005..SPENCES BRIDGE-NICOLA RIVER MOUTH</v>
          </cell>
          <cell r="F84">
            <v>9</v>
          </cell>
        </row>
        <row r="85">
          <cell r="A85" t="str">
            <v>1991.8.LOWER FRASER</v>
          </cell>
          <cell r="B85">
            <v>1</v>
          </cell>
          <cell r="E85" t="str">
            <v>2005..LOWER SHUSWAP</v>
          </cell>
          <cell r="F85">
            <v>3</v>
          </cell>
        </row>
        <row r="86">
          <cell r="A86" t="str">
            <v>1993.7.LOWER FRASER</v>
          </cell>
          <cell r="B86">
            <v>3</v>
          </cell>
          <cell r="E86" t="str">
            <v>2005..MABEL LAKE</v>
          </cell>
          <cell r="F86">
            <v>3</v>
          </cell>
        </row>
        <row r="87">
          <cell r="A87" t="str">
            <v>1990.6.LOWER FRASER</v>
          </cell>
          <cell r="B87">
            <v>1</v>
          </cell>
          <cell r="E87" t="str">
            <v>2005..CHILLIWACK-VEDDAR RIVER</v>
          </cell>
          <cell r="F87">
            <v>27</v>
          </cell>
        </row>
        <row r="88">
          <cell r="A88" t="str">
            <v>1989.6.LOWER FRASER</v>
          </cell>
          <cell r="B88">
            <v>4</v>
          </cell>
          <cell r="E88" t="str">
            <v>2006..LOWER FRASER</v>
          </cell>
          <cell r="F88">
            <v>12</v>
          </cell>
        </row>
        <row r="89">
          <cell r="A89" t="str">
            <v>1989.7.LOWER FRASER</v>
          </cell>
          <cell r="B89">
            <v>10</v>
          </cell>
          <cell r="E89" t="str">
            <v>2006..CHILLIWACK-VEDDAR RIVER</v>
          </cell>
          <cell r="F89">
            <v>6</v>
          </cell>
        </row>
        <row r="90">
          <cell r="A90" t="str">
            <v>1987.7.LOWER FRASER</v>
          </cell>
          <cell r="B90">
            <v>1</v>
          </cell>
          <cell r="E90" t="str">
            <v>2006..LOWER SHUSWAP</v>
          </cell>
          <cell r="F90">
            <v>2</v>
          </cell>
        </row>
        <row r="91">
          <cell r="A91" t="str">
            <v>1988.7.LOWER FRASER</v>
          </cell>
          <cell r="B91">
            <v>6</v>
          </cell>
          <cell r="E91" t="str">
            <v>2006..MABEL LAKE</v>
          </cell>
          <cell r="F91">
            <v>1</v>
          </cell>
        </row>
        <row r="92">
          <cell r="A92" t="str">
            <v>1999.8.LOWER FRASER</v>
          </cell>
          <cell r="B92">
            <v>2</v>
          </cell>
          <cell r="E92" t="str">
            <v>2007..LOWER FRASER</v>
          </cell>
          <cell r="F92">
            <v>4</v>
          </cell>
        </row>
        <row r="93">
          <cell r="A93" t="str">
            <v>1999.7.LOWER FRASER</v>
          </cell>
          <cell r="B93">
            <v>3</v>
          </cell>
          <cell r="E93" t="str">
            <v>2007..CHILLIWACK-VEDDAR RIVER</v>
          </cell>
          <cell r="F93">
            <v>8</v>
          </cell>
        </row>
        <row r="94">
          <cell r="A94" t="str">
            <v>1999.6.LOWER FRASER</v>
          </cell>
          <cell r="B94">
            <v>1</v>
          </cell>
          <cell r="E94" t="str">
            <v>1992..CHILLIWACK-VEDDAR RIVER</v>
          </cell>
          <cell r="F94">
            <v>28</v>
          </cell>
        </row>
        <row r="95">
          <cell r="A95" t="str">
            <v>2001.7.LOWER FRASER</v>
          </cell>
          <cell r="B95">
            <v>9</v>
          </cell>
          <cell r="E95" t="str">
            <v>1986..CHILLIWACK-VEDDAR RIVER</v>
          </cell>
          <cell r="F95">
            <v>4</v>
          </cell>
        </row>
        <row r="96">
          <cell r="A96" t="str">
            <v>2002.9.LOWER FRASER</v>
          </cell>
          <cell r="B96">
            <v>1</v>
          </cell>
          <cell r="E96" t="str">
            <v>1997..CHILLIWACK-VEDDAR RIVER</v>
          </cell>
          <cell r="F96">
            <v>14</v>
          </cell>
        </row>
        <row r="97">
          <cell r="A97" t="str">
            <v>2001.6.LOWER FRASER</v>
          </cell>
          <cell r="B97">
            <v>6</v>
          </cell>
          <cell r="E97" t="str">
            <v>1997..LOWER FRASER</v>
          </cell>
          <cell r="F97">
            <v>2</v>
          </cell>
        </row>
        <row r="98">
          <cell r="A98" t="str">
            <v>2000.8.LOWER FRASER</v>
          </cell>
          <cell r="B98">
            <v>1</v>
          </cell>
          <cell r="E98" t="str">
            <v>1997..0</v>
          </cell>
          <cell r="F98">
            <v>1</v>
          </cell>
        </row>
        <row r="99">
          <cell r="A99" t="str">
            <v>2000.6.LOWER FRASER</v>
          </cell>
          <cell r="B99">
            <v>2</v>
          </cell>
          <cell r="E99" t="str">
            <v>1989..LOWER SHUSWAP</v>
          </cell>
          <cell r="F99">
            <v>6</v>
          </cell>
        </row>
        <row r="100">
          <cell r="A100" t="str">
            <v>2000.5.LOWER FRASER</v>
          </cell>
          <cell r="B100">
            <v>1</v>
          </cell>
          <cell r="E100" t="str">
            <v>1994..LOWER FRASER</v>
          </cell>
          <cell r="F100">
            <v>9</v>
          </cell>
        </row>
        <row r="101">
          <cell r="A101" t="str">
            <v>2001.5.LOWER FRASER</v>
          </cell>
          <cell r="B101">
            <v>2</v>
          </cell>
          <cell r="E101" t="str">
            <v>1994..CHILLIWACK-VEDDAR RIVER</v>
          </cell>
          <cell r="F101">
            <v>28</v>
          </cell>
        </row>
        <row r="102">
          <cell r="A102" t="str">
            <v>2000.7.LOWER FRASER</v>
          </cell>
          <cell r="B102">
            <v>4</v>
          </cell>
          <cell r="E102" t="str">
            <v>1991..CHILLIWACK-VEDDAR RIVER</v>
          </cell>
          <cell r="F102">
            <v>16</v>
          </cell>
        </row>
        <row r="103">
          <cell r="A103" t="str">
            <v>2002.7.LOWER FRASER</v>
          </cell>
          <cell r="B103">
            <v>1</v>
          </cell>
          <cell r="E103" t="str">
            <v>1991..LOWER FRASER</v>
          </cell>
          <cell r="F103">
            <v>6</v>
          </cell>
        </row>
        <row r="104">
          <cell r="A104" t="str">
            <v>2002.8.LOWER FRASER</v>
          </cell>
          <cell r="B104">
            <v>2</v>
          </cell>
          <cell r="E104" t="str">
            <v>1991..0</v>
          </cell>
          <cell r="F104">
            <v>8</v>
          </cell>
        </row>
        <row r="105">
          <cell r="A105" t="str">
            <v>1992.8.LOWER FRASER</v>
          </cell>
          <cell r="B105">
            <v>2</v>
          </cell>
          <cell r="E105" t="str">
            <v>1991..LOWER SHUSWAP</v>
          </cell>
          <cell r="F105">
            <v>4</v>
          </cell>
        </row>
        <row r="106">
          <cell r="A106" t="str">
            <v>1992.6.LOWER FRASER</v>
          </cell>
          <cell r="B106">
            <v>4</v>
          </cell>
          <cell r="E106" t="str">
            <v>1993..CHILLIWACK-VEDDAR RIVER</v>
          </cell>
          <cell r="F106">
            <v>29</v>
          </cell>
        </row>
        <row r="107">
          <cell r="A107" t="str">
            <v>1993.9.LOWER FRASER</v>
          </cell>
          <cell r="B107">
            <v>1</v>
          </cell>
          <cell r="E107" t="str">
            <v>1993..LOWER FRASER</v>
          </cell>
          <cell r="F107">
            <v>13</v>
          </cell>
        </row>
        <row r="108">
          <cell r="A108" t="str">
            <v>1996.8.LOWER FRASER</v>
          </cell>
          <cell r="B108">
            <v>1</v>
          </cell>
          <cell r="E108" t="str">
            <v>1993..0</v>
          </cell>
          <cell r="F108">
            <v>1</v>
          </cell>
        </row>
        <row r="109">
          <cell r="A109" t="str">
            <v>1996.7.LOWER FRASER</v>
          </cell>
          <cell r="B109">
            <v>2</v>
          </cell>
          <cell r="E109" t="str">
            <v>1992..LOWER FRASER</v>
          </cell>
          <cell r="F109">
            <v>9</v>
          </cell>
        </row>
        <row r="110">
          <cell r="A110" t="str">
            <v>1996.6.LOWER FRASER</v>
          </cell>
          <cell r="B110">
            <v>2</v>
          </cell>
          <cell r="E110" t="str">
            <v>1992..0</v>
          </cell>
          <cell r="F110">
            <v>2</v>
          </cell>
        </row>
        <row r="111">
          <cell r="A111" t="str">
            <v>1996.5.LOWER FRASER</v>
          </cell>
          <cell r="B111">
            <v>1</v>
          </cell>
          <cell r="E111" t="str">
            <v>1999..LOWER FRASER</v>
          </cell>
          <cell r="F111">
            <v>6</v>
          </cell>
        </row>
        <row r="112">
          <cell r="A112" t="str">
            <v>1994.8.LOWER FRASER</v>
          </cell>
          <cell r="B112">
            <v>1</v>
          </cell>
          <cell r="E112" t="str">
            <v>1999..CHILLIWACK-VEDDAR RIVER</v>
          </cell>
          <cell r="F112">
            <v>23</v>
          </cell>
        </row>
        <row r="113">
          <cell r="A113" t="str">
            <v>1994.9.LOWER FRASER</v>
          </cell>
          <cell r="B113">
            <v>1</v>
          </cell>
          <cell r="E113" t="str">
            <v>1990..LOWER SHUSWAP</v>
          </cell>
          <cell r="F113">
            <v>18</v>
          </cell>
        </row>
        <row r="114">
          <cell r="A114" t="str">
            <v>1992.7.LOWER FRASER</v>
          </cell>
          <cell r="B114">
            <v>3</v>
          </cell>
          <cell r="E114" t="str">
            <v>1990..CHILLIWACK-VEDDAR RIVER</v>
          </cell>
          <cell r="F114">
            <v>13</v>
          </cell>
        </row>
        <row r="115">
          <cell r="A115" t="str">
            <v>1998.7.LOWER FRASER</v>
          </cell>
          <cell r="B115">
            <v>3</v>
          </cell>
          <cell r="E115" t="str">
            <v>1990..LOWER FRASER</v>
          </cell>
          <cell r="F115">
            <v>1</v>
          </cell>
        </row>
        <row r="116">
          <cell r="A116" t="str">
            <v>1998.6.LOWER FRASER</v>
          </cell>
          <cell r="B116">
            <v>8</v>
          </cell>
          <cell r="E116" t="str">
            <v>1989..CHILLIWACK-VEDDAR RIVER</v>
          </cell>
          <cell r="F116">
            <v>12</v>
          </cell>
        </row>
        <row r="117">
          <cell r="A117" t="str">
            <v>1993.6.LOWER FRASER</v>
          </cell>
          <cell r="B117">
            <v>9</v>
          </cell>
          <cell r="E117" t="str">
            <v>1989..LOWER FRASER</v>
          </cell>
          <cell r="F117">
            <v>14</v>
          </cell>
        </row>
        <row r="118">
          <cell r="A118" t="str">
            <v>1991.6.LOWER FRASER</v>
          </cell>
          <cell r="B118">
            <v>1</v>
          </cell>
          <cell r="E118" t="str">
            <v>1988..CHILLIWACK-VEDDAR RIVER</v>
          </cell>
          <cell r="F118">
            <v>8</v>
          </cell>
        </row>
        <row r="119">
          <cell r="A119" t="str">
            <v>1995.9.LOWER FRASER</v>
          </cell>
          <cell r="B119">
            <v>2</v>
          </cell>
          <cell r="E119" t="str">
            <v>1987..LOWER FRASER</v>
          </cell>
          <cell r="F119">
            <v>1</v>
          </cell>
        </row>
        <row r="120">
          <cell r="A120" t="str">
            <v>1995.7.LOWER FRASER</v>
          </cell>
          <cell r="B120">
            <v>7</v>
          </cell>
          <cell r="E120" t="str">
            <v>1988..LOWER FRASER</v>
          </cell>
          <cell r="F120">
            <v>6</v>
          </cell>
        </row>
        <row r="121">
          <cell r="A121" t="str">
            <v>1995.6.LOWER FRASER</v>
          </cell>
          <cell r="B121">
            <v>10</v>
          </cell>
          <cell r="E121" t="str">
            <v>1988..LOWER SHUSWAP</v>
          </cell>
          <cell r="F121">
            <v>22</v>
          </cell>
        </row>
        <row r="122">
          <cell r="A122" t="str">
            <v>2003.7.SPENCES BRIDGE-NICOLA RIVER MOUTH</v>
          </cell>
          <cell r="B122">
            <v>32</v>
          </cell>
          <cell r="E122" t="str">
            <v>1987..CHILLIWACK-VEDDAR RIVER</v>
          </cell>
          <cell r="F122">
            <v>5</v>
          </cell>
        </row>
        <row r="123">
          <cell r="A123" t="str">
            <v>2003.8.MABEL LAKE</v>
          </cell>
          <cell r="B123">
            <v>2</v>
          </cell>
          <cell r="E123" t="str">
            <v>1999..LOWER SHUSWAP</v>
          </cell>
          <cell r="F123">
            <v>2</v>
          </cell>
        </row>
        <row r="124">
          <cell r="A124" t="str">
            <v>2003.8.SPENCES BRIDGE-NICOLA RIVER MOUTH</v>
          </cell>
          <cell r="B124">
            <v>20</v>
          </cell>
          <cell r="E124" t="str">
            <v>2001..0</v>
          </cell>
          <cell r="F124">
            <v>3</v>
          </cell>
        </row>
        <row r="125">
          <cell r="A125" t="str">
            <v>2003.9.LOWER SHUSWAP</v>
          </cell>
          <cell r="B125">
            <v>5</v>
          </cell>
          <cell r="E125" t="str">
            <v>2000..0</v>
          </cell>
          <cell r="F125">
            <v>3</v>
          </cell>
        </row>
        <row r="126">
          <cell r="A126" t="str">
            <v>2003.9.MABEL LAKE</v>
          </cell>
          <cell r="B126">
            <v>2</v>
          </cell>
          <cell r="E126" t="str">
            <v>2002..0</v>
          </cell>
          <cell r="F126">
            <v>3</v>
          </cell>
        </row>
        <row r="127">
          <cell r="A127" t="str">
            <v>2003.9.SPENCES BRIDGE-NICOLA RIVER MOUTH</v>
          </cell>
          <cell r="B127">
            <v>1</v>
          </cell>
          <cell r="E127" t="str">
            <v>2001..LOWER FRASER</v>
          </cell>
          <cell r="F127">
            <v>17</v>
          </cell>
        </row>
        <row r="128">
          <cell r="A128" t="str">
            <v>2003.10.CHILLIWACK-VEDDAR RIVER</v>
          </cell>
          <cell r="B128">
            <v>29</v>
          </cell>
          <cell r="E128" t="str">
            <v>2002..LOWER FRASER</v>
          </cell>
          <cell r="F128">
            <v>5</v>
          </cell>
        </row>
        <row r="129">
          <cell r="A129" t="str">
            <v>2004.8.LOWER SHUSWAP</v>
          </cell>
          <cell r="B129">
            <v>2</v>
          </cell>
          <cell r="E129" t="str">
            <v>2000..LOWER FRASER</v>
          </cell>
          <cell r="F129">
            <v>8</v>
          </cell>
        </row>
        <row r="130">
          <cell r="A130" t="str">
            <v>2004.9.LOWER SHUSWAP</v>
          </cell>
          <cell r="B130">
            <v>7</v>
          </cell>
          <cell r="E130" t="str">
            <v>2002..CHILLIWACK-VEDDAR RIVER</v>
          </cell>
          <cell r="F130">
            <v>79</v>
          </cell>
        </row>
        <row r="131">
          <cell r="A131" t="str">
            <v>2004.10.CHILLIWACK-VEDDAR RIVER</v>
          </cell>
          <cell r="B131">
            <v>32</v>
          </cell>
          <cell r="E131" t="str">
            <v>2001..CHILLIWACK-VEDDAR RIVER</v>
          </cell>
          <cell r="F131">
            <v>14</v>
          </cell>
        </row>
        <row r="132">
          <cell r="A132" t="str">
            <v>2005.7.SPENCES BRIDGE-NICOLA RIVER MOUTH</v>
          </cell>
          <cell r="B132">
            <v>6</v>
          </cell>
          <cell r="E132" t="str">
            <v>2000..CHILLIWACK-VEDDAR RIVER</v>
          </cell>
          <cell r="F132">
            <v>26</v>
          </cell>
        </row>
        <row r="133">
          <cell r="A133" t="str">
            <v>2005.8.LOWER SHUSWAP</v>
          </cell>
          <cell r="B133">
            <v>2</v>
          </cell>
          <cell r="E133" t="str">
            <v>2002..MABEL LAKE</v>
          </cell>
          <cell r="F133">
            <v>2</v>
          </cell>
        </row>
        <row r="134">
          <cell r="A134" t="str">
            <v>2005.8.MABEL LAKE</v>
          </cell>
          <cell r="B134">
            <v>2</v>
          </cell>
          <cell r="E134" t="str">
            <v>2002..LOWER SHUSWAP</v>
          </cell>
          <cell r="F134">
            <v>17</v>
          </cell>
        </row>
        <row r="135">
          <cell r="A135" t="str">
            <v>2005.8.SPENCES BRIDGE-NICOLA RIVER MOUTH</v>
          </cell>
          <cell r="B135">
            <v>3</v>
          </cell>
          <cell r="E135" t="str">
            <v>2001..LOWER SHUSWAP</v>
          </cell>
          <cell r="F135">
            <v>11</v>
          </cell>
        </row>
        <row r="136">
          <cell r="A136" t="str">
            <v>2005.9.LOWER SHUSWAP</v>
          </cell>
          <cell r="B136">
            <v>1</v>
          </cell>
          <cell r="E136" t="str">
            <v>1992..LOWER SHUSWAP</v>
          </cell>
          <cell r="F136">
            <v>7</v>
          </cell>
        </row>
        <row r="137">
          <cell r="A137" t="str">
            <v>2005.9.MABEL LAKE</v>
          </cell>
          <cell r="B137">
            <v>1</v>
          </cell>
          <cell r="E137" t="str">
            <v>1992..MABEL LAKE</v>
          </cell>
          <cell r="F137">
            <v>1</v>
          </cell>
        </row>
        <row r="138">
          <cell r="A138" t="str">
            <v>2005.10.CHILLIWACK-VEDDAR RIVER</v>
          </cell>
          <cell r="B138">
            <v>25</v>
          </cell>
          <cell r="E138" t="str">
            <v>1996..CHILLIWACK-VEDDAR RIVER</v>
          </cell>
          <cell r="F138">
            <v>15</v>
          </cell>
        </row>
        <row r="139">
          <cell r="A139" t="str">
            <v>2006.7.SPENCES BRIDGE-NICOLA RIVER MOUTH</v>
          </cell>
          <cell r="B139">
            <v>21</v>
          </cell>
          <cell r="E139" t="str">
            <v>1996..LOWER FRASER</v>
          </cell>
          <cell r="F139">
            <v>7</v>
          </cell>
        </row>
        <row r="140">
          <cell r="A140" t="str">
            <v>2006.8.SPENCES BRIDGE-NICOLA RIVER MOUTH</v>
          </cell>
          <cell r="B140">
            <v>6</v>
          </cell>
          <cell r="E140" t="str">
            <v>1994..0</v>
          </cell>
          <cell r="F140">
            <v>3</v>
          </cell>
        </row>
        <row r="141">
          <cell r="A141" t="str">
            <v>2006.9.LOWER SHUSWAP</v>
          </cell>
          <cell r="B141">
            <v>2</v>
          </cell>
          <cell r="E141" t="str">
            <v>1994..LOWER SHUSWAP</v>
          </cell>
          <cell r="F141">
            <v>1</v>
          </cell>
        </row>
        <row r="142">
          <cell r="A142" t="str">
            <v>2006.9.SPENCES BRIDGE-NICOLA RIVER MOUTH</v>
          </cell>
          <cell r="B142">
            <v>1</v>
          </cell>
          <cell r="E142" t="str">
            <v>1985..CHILLIWACK-VEDDAR RIVER</v>
          </cell>
          <cell r="F142">
            <v>5</v>
          </cell>
        </row>
        <row r="143">
          <cell r="A143" t="str">
            <v>2006.10.CHILLIWACK-VEDDAR RIVER</v>
          </cell>
          <cell r="B143">
            <v>6</v>
          </cell>
          <cell r="E143" t="str">
            <v>1985..LOWER FRASER</v>
          </cell>
          <cell r="F143">
            <v>2</v>
          </cell>
        </row>
        <row r="144">
          <cell r="A144" t="str">
            <v>2006.10.MABEL LAKE</v>
          </cell>
          <cell r="B144">
            <v>1</v>
          </cell>
          <cell r="E144" t="str">
            <v>1998..CHILLIWACK-VEDDAR RIVER</v>
          </cell>
          <cell r="F144">
            <v>10</v>
          </cell>
        </row>
        <row r="145">
          <cell r="A145" t="str">
            <v>2007.10.CHILLIWACK-VEDDAR RIVER</v>
          </cell>
          <cell r="B145">
            <v>6</v>
          </cell>
          <cell r="E145" t="str">
            <v>1998..LOWER SHUSWAP</v>
          </cell>
          <cell r="F145">
            <v>1</v>
          </cell>
        </row>
        <row r="146">
          <cell r="A146" t="str">
            <v>2007.8.SPENCES BRIDGE-NICOLA RIVER MOUTH</v>
          </cell>
          <cell r="B146">
            <v>4</v>
          </cell>
          <cell r="E146" t="str">
            <v>1998..LOWER FRASER</v>
          </cell>
          <cell r="F146">
            <v>11</v>
          </cell>
        </row>
        <row r="147">
          <cell r="A147" t="str">
            <v>2007.7.SPENCES BRIDGE-NICOLA RIVER MOUTH</v>
          </cell>
          <cell r="B147">
            <v>2</v>
          </cell>
          <cell r="E147" t="str">
            <v>1995..CHILLIWACK-VEDDAR RIVER</v>
          </cell>
          <cell r="F147">
            <v>17</v>
          </cell>
        </row>
        <row r="148">
          <cell r="A148" t="str">
            <v>1993.2.SPENCES BRIDGE-NICOLA RIVER MOUTH</v>
          </cell>
          <cell r="B148">
            <v>1</v>
          </cell>
          <cell r="E148" t="str">
            <v>1995..LOWER FRASER</v>
          </cell>
          <cell r="F148">
            <v>20</v>
          </cell>
        </row>
        <row r="149">
          <cell r="A149" t="str">
            <v>1992.12.CHILLIWACK-VEDDAR RIVER</v>
          </cell>
          <cell r="B149">
            <v>1</v>
          </cell>
          <cell r="E149" t="str">
            <v>1995..LOWER SHUSWAP</v>
          </cell>
          <cell r="F149">
            <v>4</v>
          </cell>
        </row>
        <row r="150">
          <cell r="A150" t="str">
            <v>1997.10.CHILLIWACK-VEDDAR RIVER</v>
          </cell>
          <cell r="B150">
            <v>12</v>
          </cell>
          <cell r="E150" t="str">
            <v>1995..0</v>
          </cell>
          <cell r="F150">
            <v>18</v>
          </cell>
        </row>
        <row r="151">
          <cell r="A151" t="str">
            <v>1997.11.CHILLIWACK-VEDDAR RIVER</v>
          </cell>
          <cell r="B151">
            <v>2</v>
          </cell>
          <cell r="E151" t="str">
            <v>2003..MIDDLE SHUSWAP RIVER</v>
          </cell>
          <cell r="F151">
            <v>7</v>
          </cell>
        </row>
        <row r="152">
          <cell r="A152" t="str">
            <v>1997.8.SPENCES BRIDGE-NICOLA RIVER MOUTH</v>
          </cell>
          <cell r="B152">
            <v>11</v>
          </cell>
          <cell r="E152" t="str">
            <v>2005..MIDDLE SHUSWAP RIVER</v>
          </cell>
          <cell r="F152">
            <v>2</v>
          </cell>
        </row>
        <row r="153">
          <cell r="A153" t="str">
            <v>1997.7.SPENCES BRIDGE-NICOLA RIVER MOUTH</v>
          </cell>
          <cell r="B153">
            <v>2</v>
          </cell>
          <cell r="E153" t="str">
            <v>2007..NICOMEN SLOUGH</v>
          </cell>
          <cell r="F153">
            <v>1</v>
          </cell>
        </row>
        <row r="154">
          <cell r="A154" t="str">
            <v>1989.9.LOWER SHUSWAP</v>
          </cell>
          <cell r="B154">
            <v>2</v>
          </cell>
          <cell r="E154" t="str">
            <v>1997..MIDDLE SHUSWAP RIVER</v>
          </cell>
          <cell r="F154">
            <v>3</v>
          </cell>
        </row>
        <row r="155">
          <cell r="A155" t="str">
            <v>1994.7.SPENCES BRIDGE-NICOLA RIVER MOUTH</v>
          </cell>
          <cell r="B155">
            <v>165</v>
          </cell>
          <cell r="E155" t="str">
            <v>1989..CLEARWATER RIVER</v>
          </cell>
          <cell r="F155">
            <v>5</v>
          </cell>
        </row>
        <row r="156">
          <cell r="A156" t="str">
            <v>1994.7.CHILLIWACK-VEDDAR RIVER</v>
          </cell>
          <cell r="B156">
            <v>9</v>
          </cell>
          <cell r="E156" t="str">
            <v>1994..NICOMEKL RIVER</v>
          </cell>
          <cell r="F156">
            <v>2</v>
          </cell>
        </row>
        <row r="157">
          <cell r="A157" t="str">
            <v>1994.2.CHILLIWACK-VEDDAR RIVER</v>
          </cell>
          <cell r="B157">
            <v>1</v>
          </cell>
          <cell r="E157" t="str">
            <v>1991..MIDDLE SHUSWAP RIVER</v>
          </cell>
          <cell r="F157">
            <v>11</v>
          </cell>
        </row>
        <row r="158">
          <cell r="A158" t="str">
            <v>1994.1.CHILLIWACK-VEDDAR RIVER</v>
          </cell>
          <cell r="B158">
            <v>1</v>
          </cell>
          <cell r="E158" t="str">
            <v>1993..NICOMEKL RIVER</v>
          </cell>
          <cell r="F158">
            <v>1</v>
          </cell>
        </row>
        <row r="159">
          <cell r="A159" t="str">
            <v>1994.6.CHILLIWACK-VEDDAR RIVER</v>
          </cell>
          <cell r="B159">
            <v>2</v>
          </cell>
          <cell r="E159" t="str">
            <v>1993..MIDDLE SHUSWAP RIVER</v>
          </cell>
          <cell r="F159">
            <v>5</v>
          </cell>
        </row>
        <row r="160">
          <cell r="A160" t="str">
            <v>1991.7.SPENCES BRIDGE-NICOLA RIVER MOUTH</v>
          </cell>
          <cell r="B160">
            <v>44</v>
          </cell>
          <cell r="E160" t="str">
            <v>1992..NICOMEKL RIVER</v>
          </cell>
          <cell r="F160">
            <v>5</v>
          </cell>
        </row>
        <row r="161">
          <cell r="A161" t="str">
            <v>1991.7.CHILLIWACK-VEDDAR RIVER</v>
          </cell>
          <cell r="B161">
            <v>4</v>
          </cell>
          <cell r="E161" t="str">
            <v>1992..MIDDLE SHUSWAP RIVER</v>
          </cell>
          <cell r="F161">
            <v>9</v>
          </cell>
        </row>
        <row r="162">
          <cell r="A162" t="str">
            <v>1991.8.0</v>
          </cell>
          <cell r="B162">
            <v>2</v>
          </cell>
          <cell r="E162" t="str">
            <v>1990..CLEARWATER RIVER</v>
          </cell>
          <cell r="F162">
            <v>5</v>
          </cell>
        </row>
        <row r="163">
          <cell r="A163" t="str">
            <v>1991.8.SPENCES BRIDGE-NICOLA RIVER MOUTH</v>
          </cell>
          <cell r="B163">
            <v>40</v>
          </cell>
          <cell r="E163" t="str">
            <v>1990..NICOMEKL RIVER</v>
          </cell>
          <cell r="F163">
            <v>1</v>
          </cell>
        </row>
        <row r="164">
          <cell r="A164" t="str">
            <v>1991.8.CHILLIWACK-VEDDAR RIVER</v>
          </cell>
          <cell r="B164">
            <v>6</v>
          </cell>
          <cell r="E164" t="str">
            <v>2001..MIDDLE SHUSWAP RIVER</v>
          </cell>
          <cell r="F164">
            <v>26</v>
          </cell>
        </row>
        <row r="165">
          <cell r="A165" t="str">
            <v>1991.8.LOWER SHUSWAP</v>
          </cell>
          <cell r="B165">
            <v>4</v>
          </cell>
          <cell r="E165" t="str">
            <v>2000..MIDDLE SHUSWAP RIVER</v>
          </cell>
          <cell r="F165">
            <v>9</v>
          </cell>
        </row>
        <row r="166">
          <cell r="A166" t="str">
            <v>1993.7.CHILLIWACK-VEDDAR RIVER</v>
          </cell>
          <cell r="B166">
            <v>17</v>
          </cell>
          <cell r="E166" t="str">
            <v>2002..MIDDLE SHUSWAP RIVER</v>
          </cell>
          <cell r="F166">
            <v>4</v>
          </cell>
        </row>
        <row r="167">
          <cell r="A167" t="str">
            <v>1993.7.SPENCES BRIDGE-NICOLA RIVER MOUTH</v>
          </cell>
          <cell r="B167">
            <v>27</v>
          </cell>
          <cell r="E167" t="str">
            <v>1992..CLEARWATER RIVER</v>
          </cell>
          <cell r="F167">
            <v>11</v>
          </cell>
        </row>
        <row r="168">
          <cell r="A168" t="str">
            <v>1992.7.SPENCES BRIDGE-NICOLA RIVER MOUTH</v>
          </cell>
          <cell r="B168">
            <v>33</v>
          </cell>
          <cell r="E168" t="str">
            <v>1996..MIDDLE SHUSWAP RIVER</v>
          </cell>
          <cell r="F168">
            <v>13</v>
          </cell>
        </row>
        <row r="169">
          <cell r="A169" t="str">
            <v>1992.7.0</v>
          </cell>
          <cell r="B169">
            <v>1</v>
          </cell>
          <cell r="E169" t="str">
            <v>1994..MIDDLE SHUSWAP RIVER</v>
          </cell>
          <cell r="F169">
            <v>4</v>
          </cell>
        </row>
        <row r="170">
          <cell r="A170" t="str">
            <v>1992.7.CHILLIWACK-VEDDAR RIVER</v>
          </cell>
          <cell r="B170">
            <v>11</v>
          </cell>
          <cell r="E170" t="str">
            <v>1994..CLEARWATER RIVER</v>
          </cell>
          <cell r="F170">
            <v>1</v>
          </cell>
        </row>
        <row r="171">
          <cell r="A171" t="str">
            <v>1993.8.CHILLIWACK-VEDDAR RIVER</v>
          </cell>
          <cell r="B171">
            <v>3</v>
          </cell>
          <cell r="E171" t="str">
            <v>1998..MIDDLE SHUSWAP RIVER</v>
          </cell>
          <cell r="F171">
            <v>2</v>
          </cell>
        </row>
        <row r="172">
          <cell r="A172" t="str">
            <v>1993.8.SPENCES BRIDGE-NICOLA RIVER MOUTH</v>
          </cell>
          <cell r="B172">
            <v>2</v>
          </cell>
          <cell r="E172" t="str">
            <v>1995..MIDDLE SHUSWAP RIVER</v>
          </cell>
          <cell r="F172">
            <v>9</v>
          </cell>
        </row>
        <row r="173">
          <cell r="A173" t="str">
            <v>1999.11.CHILLIWACK-VEDDAR RIVER</v>
          </cell>
          <cell r="B173">
            <v>5</v>
          </cell>
          <cell r="E173" t="str">
            <v>2006..0</v>
          </cell>
          <cell r="F173">
            <v>1</v>
          </cell>
        </row>
        <row r="174">
          <cell r="A174" t="str">
            <v>1999.10.CHILLIWACK-VEDDAR RIVER</v>
          </cell>
          <cell r="B174">
            <v>14</v>
          </cell>
          <cell r="E174" t="str">
            <v>1999..0</v>
          </cell>
          <cell r="F174">
            <v>15</v>
          </cell>
        </row>
        <row r="175">
          <cell r="A175" t="str">
            <v>1990.9.LOWER SHUSWAP</v>
          </cell>
          <cell r="B175">
            <v>11</v>
          </cell>
          <cell r="E175" t="str">
            <v>1985..0</v>
          </cell>
          <cell r="F175">
            <v>2</v>
          </cell>
        </row>
        <row r="176">
          <cell r="A176" t="str">
            <v>1990.9.CHILLIWACK-VEDDAR RIVER</v>
          </cell>
          <cell r="B176">
            <v>1</v>
          </cell>
          <cell r="E176" t="str">
            <v>2008..SPENCES BRIDGE-NICOLA RIVER MOUTH</v>
          </cell>
          <cell r="F176">
            <v>21</v>
          </cell>
        </row>
        <row r="177">
          <cell r="A177" t="str">
            <v>1990.8.CHILLIWACK-VEDDAR RIVER</v>
          </cell>
          <cell r="B177">
            <v>9</v>
          </cell>
          <cell r="E177" t="str">
            <v>2008..LOWER FRASER</v>
          </cell>
          <cell r="F177">
            <v>10</v>
          </cell>
        </row>
        <row r="178">
          <cell r="A178" t="str">
            <v>1990.8.SPENCES BRIDGE-NICOLA RIVER MOUTH</v>
          </cell>
          <cell r="B178">
            <v>16</v>
          </cell>
          <cell r="E178" t="str">
            <v>2008..CHILLIWACK-VEDDAR RIVER</v>
          </cell>
          <cell r="F178">
            <v>29</v>
          </cell>
        </row>
        <row r="179">
          <cell r="A179" t="str">
            <v>1990.8.LOWER SHUSWAP</v>
          </cell>
          <cell r="B179">
            <v>7</v>
          </cell>
          <cell r="E179" t="str">
            <v>2008..LOWER SHUSWAP</v>
          </cell>
          <cell r="F179">
            <v>15</v>
          </cell>
        </row>
        <row r="180">
          <cell r="A180" t="str">
            <v>1989.7.CHILLIWACK-VEDDAR RIVER</v>
          </cell>
          <cell r="B180">
            <v>7</v>
          </cell>
          <cell r="E180" t="str">
            <v>2009..CHILLIWACK-VEDDAR RIVER</v>
          </cell>
          <cell r="F180">
            <v>21</v>
          </cell>
        </row>
        <row r="181">
          <cell r="A181" t="str">
            <v>1989.7.SPENCES BRIDGE-NICOLA RIVER MOUTH</v>
          </cell>
          <cell r="B181">
            <v>19</v>
          </cell>
          <cell r="E181" t="str">
            <v>2009..LOWER SHUSWAP</v>
          </cell>
          <cell r="F181">
            <v>14</v>
          </cell>
        </row>
        <row r="182">
          <cell r="A182" t="str">
            <v>1988.11.CHILLIWACK-VEDDAR RIVER</v>
          </cell>
          <cell r="B182">
            <v>2</v>
          </cell>
          <cell r="E182" t="str">
            <v>2009..LOWER FRASER</v>
          </cell>
          <cell r="F182">
            <v>6</v>
          </cell>
        </row>
        <row r="183">
          <cell r="A183" t="str">
            <v>1986.8.CHILLIWACK-VEDDAR RIVER</v>
          </cell>
          <cell r="B183">
            <v>1</v>
          </cell>
          <cell r="E183" t="str">
            <v>2009..SPENCES BRIDGE-NICOLA RIVER MOUTH</v>
          </cell>
          <cell r="F183">
            <v>10</v>
          </cell>
        </row>
        <row r="184">
          <cell r="A184" t="str">
            <v>1988.8.SPENCES BRIDGE-NICOLA RIVER MOUTH</v>
          </cell>
          <cell r="B184">
            <v>5</v>
          </cell>
          <cell r="E184" t="str">
            <v>2009..MABEL LAKE</v>
          </cell>
          <cell r="F184">
            <v>1</v>
          </cell>
        </row>
        <row r="185">
          <cell r="A185" t="str">
            <v>1986.9.CHILLIWACK-VEDDAR RIVER</v>
          </cell>
          <cell r="B185">
            <v>1</v>
          </cell>
          <cell r="E185" t="str">
            <v>2010..CHILLIWACK-VEDDAR RIVER</v>
          </cell>
          <cell r="F185">
            <v>13</v>
          </cell>
        </row>
        <row r="186">
          <cell r="A186" t="str">
            <v>1986.12.CHILLIWACK-VEDDAR RIVER</v>
          </cell>
          <cell r="B186">
            <v>1</v>
          </cell>
          <cell r="E186" t="str">
            <v>2010..LOWER FRASER</v>
          </cell>
          <cell r="F186">
            <v>6</v>
          </cell>
        </row>
        <row r="187">
          <cell r="A187" t="str">
            <v>1988.7.CHILLIWACK-VEDDAR RIVER</v>
          </cell>
          <cell r="B187">
            <v>1</v>
          </cell>
          <cell r="E187" t="str">
            <v>2010..LOWER SHUSWAP</v>
          </cell>
          <cell r="F187">
            <v>11</v>
          </cell>
        </row>
        <row r="188">
          <cell r="A188" t="str">
            <v>1988.7.SPENCES BRIDGE-NICOLA RIVER MOUTH</v>
          </cell>
          <cell r="B188">
            <v>12</v>
          </cell>
          <cell r="E188" t="str">
            <v>2010..MABEL LAKE</v>
          </cell>
          <cell r="F188">
            <v>3</v>
          </cell>
        </row>
        <row r="189">
          <cell r="A189" t="str">
            <v>1988.9.LOWER SHUSWAP</v>
          </cell>
          <cell r="B189">
            <v>10</v>
          </cell>
          <cell r="E189" t="str">
            <v>2011..LOWER FRASER</v>
          </cell>
          <cell r="F189">
            <v>10</v>
          </cell>
        </row>
        <row r="190">
          <cell r="A190" t="str">
            <v>1988.9.CHILLIWACK-VEDDAR RIVER</v>
          </cell>
          <cell r="B190">
            <v>1</v>
          </cell>
          <cell r="E190" t="str">
            <v>2011..SPENCES BRIDGE-NICOLA RIVER MOUTH</v>
          </cell>
          <cell r="F190">
            <v>2</v>
          </cell>
        </row>
        <row r="191">
          <cell r="A191" t="str">
            <v>1987.10.CHILLIWACK-VEDDAR RIVER</v>
          </cell>
          <cell r="B191">
            <v>5</v>
          </cell>
          <cell r="E191" t="str">
            <v>2011..CHILLIWACK-VEDDAR RIVER</v>
          </cell>
          <cell r="F191">
            <v>13</v>
          </cell>
        </row>
        <row r="192">
          <cell r="A192" t="str">
            <v>1988.10.CHILLIWACK-VEDDAR RIVER</v>
          </cell>
          <cell r="B192">
            <v>2</v>
          </cell>
          <cell r="E192" t="str">
            <v>2011..LOWER SHUSWAP</v>
          </cell>
          <cell r="F192">
            <v>25</v>
          </cell>
        </row>
        <row r="193">
          <cell r="A193" t="str">
            <v>1999.9.CHILLIWACK-VEDDAR RIVER</v>
          </cell>
          <cell r="B193">
            <v>2</v>
          </cell>
          <cell r="E193" t="str">
            <v>2012..LOWER SHUSWAP</v>
          </cell>
          <cell r="F193">
            <v>29</v>
          </cell>
        </row>
        <row r="194">
          <cell r="A194" t="str">
            <v>1999.9.LOWER SHUSWAP</v>
          </cell>
          <cell r="B194">
            <v>1</v>
          </cell>
          <cell r="E194" t="str">
            <v>2012..MABEL LAKE</v>
          </cell>
          <cell r="F194">
            <v>2</v>
          </cell>
        </row>
        <row r="195">
          <cell r="A195" t="str">
            <v>1999.8.LOWER SHUSWAP</v>
          </cell>
          <cell r="B195">
            <v>1</v>
          </cell>
          <cell r="E195" t="str">
            <v>2012..CHILLIWACK-VEDDAR RIVER</v>
          </cell>
          <cell r="F195">
            <v>28</v>
          </cell>
        </row>
        <row r="196">
          <cell r="A196" t="str">
            <v>1999.5.CHILLIWACK-VEDDAR RIVER</v>
          </cell>
          <cell r="B196">
            <v>1</v>
          </cell>
          <cell r="E196" t="str">
            <v>2012..LOWER FRASER</v>
          </cell>
          <cell r="F196">
            <v>6</v>
          </cell>
        </row>
        <row r="197">
          <cell r="A197" t="str">
            <v>1999.4.CHILLIWACK-VEDDAR RIVER</v>
          </cell>
          <cell r="B197">
            <v>1</v>
          </cell>
          <cell r="E197" t="str">
            <v>2012..MIDDLE SHUSWAP RIVER</v>
          </cell>
          <cell r="F197">
            <v>2</v>
          </cell>
        </row>
        <row r="198">
          <cell r="A198" t="str">
            <v>2001.8.SPENCES BRIDGE-NICOLA RIVER MOUTH</v>
          </cell>
          <cell r="B198">
            <v>26</v>
          </cell>
          <cell r="E198" t="str">
            <v>2012..SPENCES BRIDGE-NICOLA RIVER MOUTH</v>
          </cell>
          <cell r="F198">
            <v>2</v>
          </cell>
        </row>
        <row r="199">
          <cell r="A199" t="str">
            <v>2001.7.SPENCES BRIDGE-NICOLA RIVER MOUTH</v>
          </cell>
          <cell r="B199">
            <v>29</v>
          </cell>
        </row>
        <row r="200">
          <cell r="A200" t="str">
            <v>2001.8.0</v>
          </cell>
          <cell r="B200">
            <v>1</v>
          </cell>
        </row>
        <row r="201">
          <cell r="A201" t="str">
            <v>2002.8.SPENCES BRIDGE-NICOLA RIVER MOUTH</v>
          </cell>
          <cell r="B201">
            <v>56</v>
          </cell>
        </row>
        <row r="202">
          <cell r="A202" t="str">
            <v>2000.8.SPENCES BRIDGE-NICOLA RIVER MOUTH</v>
          </cell>
          <cell r="B202">
            <v>36</v>
          </cell>
        </row>
        <row r="203">
          <cell r="A203" t="str">
            <v>2000.7.SPENCES BRIDGE-NICOLA RIVER MOUTH</v>
          </cell>
          <cell r="B203">
            <v>48</v>
          </cell>
        </row>
        <row r="204">
          <cell r="A204" t="str">
            <v>2002.9.CHILLIWACK-VEDDAR RIVER</v>
          </cell>
          <cell r="B204">
            <v>10</v>
          </cell>
        </row>
        <row r="205">
          <cell r="A205" t="str">
            <v>2001.8.CHILLIWACK-VEDDAR RIVER</v>
          </cell>
          <cell r="B205">
            <v>1</v>
          </cell>
        </row>
        <row r="206">
          <cell r="A206" t="str">
            <v>2000.9.CHILLIWACK-VEDDAR RIVER</v>
          </cell>
          <cell r="B206">
            <v>2</v>
          </cell>
        </row>
        <row r="207">
          <cell r="A207" t="str">
            <v>2000.7.CHILLIWACK-VEDDAR RIVER</v>
          </cell>
          <cell r="B207">
            <v>1</v>
          </cell>
        </row>
        <row r="208">
          <cell r="A208" t="str">
            <v>2000.10.CHILLIWACK-VEDDAR RIVER</v>
          </cell>
          <cell r="B208">
            <v>22</v>
          </cell>
        </row>
        <row r="209">
          <cell r="A209" t="str">
            <v>2002.11.CHILLIWACK-VEDDAR RIVER</v>
          </cell>
          <cell r="B209">
            <v>4</v>
          </cell>
        </row>
        <row r="210">
          <cell r="A210" t="str">
            <v>2001.10.CHILLIWACK-VEDDAR RIVER</v>
          </cell>
          <cell r="B210">
            <v>12</v>
          </cell>
        </row>
        <row r="211">
          <cell r="A211" t="str">
            <v>2002.10.CHILLIWACK-VEDDAR RIVER</v>
          </cell>
          <cell r="B211">
            <v>63</v>
          </cell>
        </row>
        <row r="212">
          <cell r="A212" t="str">
            <v>2002.2.CHILLIWACK-VEDDAR RIVER</v>
          </cell>
          <cell r="B212">
            <v>1</v>
          </cell>
        </row>
        <row r="213">
          <cell r="A213" t="str">
            <v>2000.11.CHILLIWACK-VEDDAR RIVER</v>
          </cell>
          <cell r="B213">
            <v>1</v>
          </cell>
        </row>
        <row r="214">
          <cell r="A214" t="str">
            <v>2002.8.MABEL LAKE</v>
          </cell>
          <cell r="B214">
            <v>2</v>
          </cell>
        </row>
        <row r="215">
          <cell r="A215" t="str">
            <v>2001.9.SPENCES BRIDGE-NICOLA RIVER MOUTH</v>
          </cell>
          <cell r="B215">
            <v>4</v>
          </cell>
        </row>
        <row r="216">
          <cell r="A216" t="str">
            <v>2001.7.CHILLIWACK-VEDDAR RIVER</v>
          </cell>
          <cell r="B216">
            <v>1</v>
          </cell>
        </row>
        <row r="217">
          <cell r="A217" t="str">
            <v>2002.3.CHILLIWACK-VEDDAR RIVER</v>
          </cell>
          <cell r="B217">
            <v>1</v>
          </cell>
        </row>
        <row r="218">
          <cell r="A218" t="str">
            <v>2002.8.LOWER SHUSWAP</v>
          </cell>
          <cell r="B218">
            <v>14</v>
          </cell>
        </row>
        <row r="219">
          <cell r="A219" t="str">
            <v>2001.9.LOWER SHUSWAP</v>
          </cell>
          <cell r="B219">
            <v>5</v>
          </cell>
        </row>
        <row r="220">
          <cell r="A220" t="str">
            <v>2002.9.LOWER SHUSWAP</v>
          </cell>
          <cell r="B220">
            <v>3</v>
          </cell>
        </row>
        <row r="221">
          <cell r="A221" t="str">
            <v>2001.7.LOWER SHUSWAP</v>
          </cell>
          <cell r="B221">
            <v>2</v>
          </cell>
        </row>
        <row r="222">
          <cell r="A222" t="str">
            <v>2001.8.LOWER SHUSWAP</v>
          </cell>
          <cell r="B222">
            <v>4</v>
          </cell>
        </row>
        <row r="223">
          <cell r="A223" t="str">
            <v>1993.10.CHILLIWACK-VEDDAR RIVER</v>
          </cell>
          <cell r="B223">
            <v>3</v>
          </cell>
        </row>
        <row r="224">
          <cell r="A224" t="str">
            <v>1992.8.LOWER SHUSWAP</v>
          </cell>
          <cell r="B224">
            <v>3</v>
          </cell>
        </row>
        <row r="225">
          <cell r="A225" t="str">
            <v>1992.8.CHILLIWACK-VEDDAR RIVER</v>
          </cell>
          <cell r="B225">
            <v>2</v>
          </cell>
        </row>
        <row r="226">
          <cell r="A226" t="str">
            <v>1992.8.SPENCES BRIDGE-NICOLA RIVER MOUTH</v>
          </cell>
          <cell r="B226">
            <v>10</v>
          </cell>
        </row>
        <row r="227">
          <cell r="A227" t="str">
            <v>1992.8.MABEL LAKE</v>
          </cell>
          <cell r="B227">
            <v>1</v>
          </cell>
        </row>
        <row r="228">
          <cell r="A228" t="str">
            <v>1992.10.CHILLIWACK-VEDDAR RIVER</v>
          </cell>
          <cell r="B228">
            <v>12</v>
          </cell>
        </row>
        <row r="229">
          <cell r="A229" t="str">
            <v>1993.11.CHILLIWACK-VEDDAR RIVER</v>
          </cell>
          <cell r="B229">
            <v>5</v>
          </cell>
        </row>
        <row r="230">
          <cell r="A230" t="str">
            <v>1993.12.CHILLIWACK-VEDDAR RIVER</v>
          </cell>
          <cell r="B230">
            <v>1</v>
          </cell>
        </row>
        <row r="231">
          <cell r="A231" t="str">
            <v>1992.11.CHILLIWACK-VEDDAR RIVER</v>
          </cell>
          <cell r="B231">
            <v>2</v>
          </cell>
        </row>
        <row r="232">
          <cell r="A232" t="str">
            <v>1992.9.LOWER SHUSWAP</v>
          </cell>
          <cell r="B232">
            <v>4</v>
          </cell>
        </row>
        <row r="233">
          <cell r="A233" t="str">
            <v>1996.10.CHILLIWACK-VEDDAR RIVER</v>
          </cell>
          <cell r="B233">
            <v>5</v>
          </cell>
        </row>
        <row r="234">
          <cell r="A234" t="str">
            <v>1996.9.CHILLIWACK-VEDDAR RIVER</v>
          </cell>
          <cell r="B234">
            <v>1</v>
          </cell>
        </row>
        <row r="235">
          <cell r="A235" t="str">
            <v>1996.8.CHILLIWACK-VEDDAR RIVER</v>
          </cell>
          <cell r="B235">
            <v>3</v>
          </cell>
        </row>
        <row r="236">
          <cell r="A236" t="str">
            <v>1996.7.CHILLIWACK-VEDDAR RIVER</v>
          </cell>
          <cell r="B236">
            <v>6</v>
          </cell>
        </row>
        <row r="237">
          <cell r="A237" t="str">
            <v>1996.7.SPENCES BRIDGE-NICOLA RIVER MOUTH</v>
          </cell>
          <cell r="B237">
            <v>6</v>
          </cell>
        </row>
        <row r="238">
          <cell r="A238" t="str">
            <v>1994.7.0</v>
          </cell>
          <cell r="B238">
            <v>3</v>
          </cell>
        </row>
        <row r="239">
          <cell r="A239" t="str">
            <v>1994.8.SPENCES BRIDGE-NICOLA RIVER MOUTH</v>
          </cell>
          <cell r="B239">
            <v>31</v>
          </cell>
        </row>
        <row r="240">
          <cell r="A240" t="str">
            <v>1994.8.CHILLIWACK-VEDDAR RIVER</v>
          </cell>
          <cell r="B240">
            <v>1</v>
          </cell>
        </row>
        <row r="241">
          <cell r="A241" t="str">
            <v>1994.8.LOWER SHUSWAP</v>
          </cell>
          <cell r="B241">
            <v>1</v>
          </cell>
        </row>
        <row r="242">
          <cell r="A242" t="str">
            <v>1994.10.CHILLIWACK-VEDDAR RIVER</v>
          </cell>
          <cell r="B242">
            <v>10</v>
          </cell>
        </row>
        <row r="243">
          <cell r="A243" t="str">
            <v>1994.11.CHILLIWACK-VEDDAR RIVER</v>
          </cell>
          <cell r="B243">
            <v>4</v>
          </cell>
        </row>
        <row r="244">
          <cell r="A244" t="str">
            <v>1990.7.SPENCES BRIDGE-NICOLA RIVER MOUTH</v>
          </cell>
          <cell r="B244">
            <v>19</v>
          </cell>
        </row>
        <row r="245">
          <cell r="A245" t="str">
            <v>1990.7.CHILLIWACK-VEDDAR RIVER</v>
          </cell>
          <cell r="B245">
            <v>3</v>
          </cell>
        </row>
        <row r="246">
          <cell r="A246" t="str">
            <v>1989.8.LOWER SHUSWAP</v>
          </cell>
          <cell r="B246">
            <v>4</v>
          </cell>
        </row>
        <row r="247">
          <cell r="A247" t="str">
            <v>1989.8.CHILLIWACK-VEDDAR RIVER</v>
          </cell>
          <cell r="B247">
            <v>5</v>
          </cell>
        </row>
        <row r="248">
          <cell r="A248" t="str">
            <v>1989.8.SPENCES BRIDGE-NICOLA RIVER MOUTH</v>
          </cell>
          <cell r="B248">
            <v>1</v>
          </cell>
        </row>
        <row r="249">
          <cell r="A249" t="str">
            <v>1985.10.CHILLIWACK-VEDDAR RIVER</v>
          </cell>
          <cell r="B249">
            <v>5</v>
          </cell>
        </row>
        <row r="250">
          <cell r="A250" t="str">
            <v>1988.8.CHILLIWACK-VEDDAR RIVER</v>
          </cell>
          <cell r="B250">
            <v>1</v>
          </cell>
        </row>
        <row r="251">
          <cell r="A251" t="str">
            <v>1988.8.LOWER SHUSWAP</v>
          </cell>
          <cell r="B251">
            <v>12</v>
          </cell>
        </row>
        <row r="252">
          <cell r="A252" t="str">
            <v>1988.12.CHILLIWACK-VEDDAR RIVER</v>
          </cell>
          <cell r="B252">
            <v>1</v>
          </cell>
        </row>
        <row r="253">
          <cell r="A253" t="str">
            <v>1986.11.CHILLIWACK-VEDDAR RIVER</v>
          </cell>
          <cell r="B253">
            <v>1</v>
          </cell>
        </row>
        <row r="254">
          <cell r="A254" t="str">
            <v>1998.11.CHILLIWACK-VEDDAR RIVER</v>
          </cell>
          <cell r="B254">
            <v>3</v>
          </cell>
        </row>
        <row r="255">
          <cell r="A255" t="str">
            <v>1998.10.CHILLIWACK-VEDDAR RIVER</v>
          </cell>
          <cell r="B255">
            <v>6</v>
          </cell>
        </row>
        <row r="256">
          <cell r="A256" t="str">
            <v>1998.8.SPENCES BRIDGE-NICOLA RIVER MOUTH</v>
          </cell>
          <cell r="B256">
            <v>22</v>
          </cell>
        </row>
        <row r="257">
          <cell r="A257" t="str">
            <v>1998.9.LOWER SHUSWAP</v>
          </cell>
          <cell r="B257">
            <v>1</v>
          </cell>
        </row>
        <row r="258">
          <cell r="A258" t="str">
            <v>1998.7.SPENCES BRIDGE-NICOLA RIVER MOUTH</v>
          </cell>
          <cell r="B258">
            <v>35</v>
          </cell>
        </row>
        <row r="259">
          <cell r="A259" t="str">
            <v>1998.7.CHILLIWACK-VEDDAR RIVER</v>
          </cell>
          <cell r="B259">
            <v>1</v>
          </cell>
        </row>
        <row r="260">
          <cell r="A260" t="str">
            <v>1991.10.CHILLIWACK-VEDDAR RIVER</v>
          </cell>
          <cell r="B260">
            <v>6</v>
          </cell>
        </row>
        <row r="261">
          <cell r="A261" t="str">
            <v>1995.10.CHILLIWACK-VEDDAR RIVER</v>
          </cell>
          <cell r="B261">
            <v>6</v>
          </cell>
        </row>
        <row r="262">
          <cell r="A262" t="str">
            <v>1995.9.LOWER SHUSWAP</v>
          </cell>
          <cell r="B262">
            <v>2</v>
          </cell>
        </row>
        <row r="263">
          <cell r="A263" t="str">
            <v>1995.8.0</v>
          </cell>
          <cell r="B263">
            <v>1</v>
          </cell>
        </row>
        <row r="264">
          <cell r="A264" t="str">
            <v>1995.8.CHILLIWACK-VEDDAR RIVER</v>
          </cell>
          <cell r="B264">
            <v>2</v>
          </cell>
        </row>
        <row r="265">
          <cell r="A265" t="str">
            <v>1995.8.LOWER SHUSWAP</v>
          </cell>
          <cell r="B265">
            <v>2</v>
          </cell>
        </row>
        <row r="266">
          <cell r="A266" t="str">
            <v>1995.8.SPENCES BRIDGE-NICOLA RIVER MOUTH</v>
          </cell>
          <cell r="B266">
            <v>1</v>
          </cell>
        </row>
        <row r="267">
          <cell r="A267" t="str">
            <v>1995.7.SPENCES BRIDGE-NICOLA RIVER MOUTH</v>
          </cell>
          <cell r="B267">
            <v>43</v>
          </cell>
        </row>
        <row r="268">
          <cell r="A268" t="str">
            <v>1995.7.CHILLIWACK-VEDDAR RIVER</v>
          </cell>
          <cell r="B268">
            <v>8</v>
          </cell>
        </row>
        <row r="269">
          <cell r="A269" t="str">
            <v>1995.7.0</v>
          </cell>
          <cell r="B269">
            <v>9</v>
          </cell>
        </row>
        <row r="270">
          <cell r="A270" t="str">
            <v>1995.1.CHILLIWACK-VEDDAR RIVER</v>
          </cell>
          <cell r="B270">
            <v>1</v>
          </cell>
        </row>
        <row r="271">
          <cell r="A271" t="str">
            <v>2003.11.CHILLIWACK-VEDDAR RIVER</v>
          </cell>
          <cell r="B271">
            <v>3</v>
          </cell>
        </row>
        <row r="272">
          <cell r="A272" t="str">
            <v>2004.8.CHILLIWACK-VEDDAR RIVER</v>
          </cell>
          <cell r="B272">
            <v>1</v>
          </cell>
        </row>
        <row r="273">
          <cell r="A273" t="str">
            <v>2004.9.CHILLIWACK-VEDDAR RIVER</v>
          </cell>
          <cell r="B273">
            <v>5</v>
          </cell>
        </row>
        <row r="274">
          <cell r="A274" t="str">
            <v>2004.11.CHILLIWACK-VEDDAR RIVER</v>
          </cell>
          <cell r="B274">
            <v>1</v>
          </cell>
        </row>
        <row r="275">
          <cell r="A275" t="str">
            <v>2005.9.CHILLIWACK-VEDDAR RIVER</v>
          </cell>
          <cell r="B275">
            <v>1</v>
          </cell>
        </row>
        <row r="276">
          <cell r="A276" t="str">
            <v>2005.12.CHILLIWACK-VEDDAR RIVER</v>
          </cell>
          <cell r="B276">
            <v>1</v>
          </cell>
        </row>
        <row r="277">
          <cell r="A277" t="str">
            <v>2007.7.CHILLIWACK-VEDDAR RIVER</v>
          </cell>
          <cell r="B277">
            <v>1</v>
          </cell>
        </row>
        <row r="278">
          <cell r="A278" t="str">
            <v>2007.9.CHILLIWACK-VEDDAR RIVER</v>
          </cell>
          <cell r="B278">
            <v>1</v>
          </cell>
        </row>
        <row r="279">
          <cell r="A279" t="str">
            <v>2003.2.CHILLIWACK-VEDDAR RIVER</v>
          </cell>
          <cell r="B279">
            <v>1</v>
          </cell>
        </row>
        <row r="280">
          <cell r="A280" t="str">
            <v>2003.7.CHILLIWACK-VEDDAR RIVER</v>
          </cell>
          <cell r="B280">
            <v>1</v>
          </cell>
        </row>
        <row r="281">
          <cell r="A281" t="str">
            <v>2003.8.CHILLIWACK-VEDDAR RIVER</v>
          </cell>
          <cell r="B281">
            <v>1</v>
          </cell>
        </row>
        <row r="282">
          <cell r="A282" t="str">
            <v>2003.8.MIDDLE SHUSWAP RIVER</v>
          </cell>
          <cell r="B282">
            <v>7</v>
          </cell>
        </row>
        <row r="283">
          <cell r="A283" t="str">
            <v>2005.7.MIDDLE SHUSWAP RIVER</v>
          </cell>
          <cell r="B283">
            <v>1</v>
          </cell>
        </row>
        <row r="284">
          <cell r="A284" t="str">
            <v>2005.8.MIDDLE SHUSWAP RIVER</v>
          </cell>
          <cell r="B284">
            <v>1</v>
          </cell>
        </row>
        <row r="285">
          <cell r="A285" t="str">
            <v>2007.11.NICOMEN SLOUGH</v>
          </cell>
          <cell r="B285">
            <v>1</v>
          </cell>
        </row>
        <row r="286">
          <cell r="A286" t="str">
            <v>1997.8.MIDDLE SHUSWAP RIVER</v>
          </cell>
          <cell r="B286">
            <v>3</v>
          </cell>
        </row>
        <row r="287">
          <cell r="A287" t="str">
            <v>1989.9.CLEARWATER RIVER</v>
          </cell>
          <cell r="B287">
            <v>2</v>
          </cell>
        </row>
        <row r="288">
          <cell r="A288" t="str">
            <v>1994.7.NICOMEKL RIVER</v>
          </cell>
          <cell r="B288">
            <v>2</v>
          </cell>
        </row>
        <row r="289">
          <cell r="A289" t="str">
            <v>1991.8.MIDDLE SHUSWAP RIVER</v>
          </cell>
          <cell r="B289">
            <v>11</v>
          </cell>
        </row>
        <row r="290">
          <cell r="A290" t="str">
            <v>1993.7.NICOMEKL RIVER</v>
          </cell>
          <cell r="B290">
            <v>1</v>
          </cell>
        </row>
        <row r="291">
          <cell r="A291" t="str">
            <v>1993.7.MIDDLE SHUSWAP RIVER</v>
          </cell>
          <cell r="B291">
            <v>4</v>
          </cell>
        </row>
        <row r="292">
          <cell r="A292" t="str">
            <v>1992.7.NICOMEKL RIVER</v>
          </cell>
          <cell r="B292">
            <v>4</v>
          </cell>
        </row>
        <row r="293">
          <cell r="A293" t="str">
            <v>1992.7.MIDDLE SHUSWAP RIVER</v>
          </cell>
          <cell r="B293">
            <v>7</v>
          </cell>
        </row>
        <row r="294">
          <cell r="A294" t="str">
            <v>1993.8.MIDDLE SHUSWAP RIVER</v>
          </cell>
          <cell r="B294">
            <v>1</v>
          </cell>
        </row>
        <row r="295">
          <cell r="A295" t="str">
            <v>1990.9.CLEARWATER RIVER</v>
          </cell>
          <cell r="B295">
            <v>3</v>
          </cell>
        </row>
        <row r="296">
          <cell r="A296" t="str">
            <v>1990.8.NICOMEKL RIVER</v>
          </cell>
          <cell r="B296">
            <v>1</v>
          </cell>
        </row>
        <row r="297">
          <cell r="A297" t="str">
            <v>1990.8.CLEARWATER RIVER</v>
          </cell>
          <cell r="B297">
            <v>2</v>
          </cell>
        </row>
        <row r="298">
          <cell r="A298" t="str">
            <v>2001.8.MIDDLE SHUSWAP RIVER</v>
          </cell>
          <cell r="B298">
            <v>15</v>
          </cell>
        </row>
        <row r="299">
          <cell r="A299" t="str">
            <v>2001.7.MIDDLE SHUSWAP RIVER</v>
          </cell>
          <cell r="B299">
            <v>11</v>
          </cell>
        </row>
        <row r="300">
          <cell r="A300" t="str">
            <v>2000.8.MIDDLE SHUSWAP RIVER</v>
          </cell>
          <cell r="B300">
            <v>8</v>
          </cell>
        </row>
        <row r="301">
          <cell r="A301" t="str">
            <v>2002.8.MIDDLE SHUSWAP RIVER</v>
          </cell>
          <cell r="B301">
            <v>4</v>
          </cell>
        </row>
        <row r="302">
          <cell r="A302" t="str">
            <v>2000.4.MIDDLE SHUSWAP RIVER</v>
          </cell>
          <cell r="B302">
            <v>1</v>
          </cell>
        </row>
        <row r="303">
          <cell r="A303" t="str">
            <v>1992.8.CLEARWATER RIVER</v>
          </cell>
          <cell r="B303">
            <v>11</v>
          </cell>
        </row>
        <row r="304">
          <cell r="A304" t="str">
            <v>1992.8.MIDDLE SHUSWAP RIVER</v>
          </cell>
          <cell r="B304">
            <v>2</v>
          </cell>
        </row>
        <row r="305">
          <cell r="A305" t="str">
            <v>1992.8.NICOMEKL RIVER</v>
          </cell>
          <cell r="B305">
            <v>1</v>
          </cell>
        </row>
        <row r="306">
          <cell r="A306" t="str">
            <v>1996.8.MIDDLE SHUSWAP RIVER</v>
          </cell>
          <cell r="B306">
            <v>10</v>
          </cell>
        </row>
        <row r="307">
          <cell r="A307" t="str">
            <v>1996.7.MIDDLE SHUSWAP RIVER</v>
          </cell>
          <cell r="B307">
            <v>3</v>
          </cell>
        </row>
        <row r="308">
          <cell r="A308" t="str">
            <v>1994.7.MIDDLE SHUSWAP RIVER</v>
          </cell>
          <cell r="B308">
            <v>1</v>
          </cell>
        </row>
        <row r="309">
          <cell r="A309" t="str">
            <v>1994.8.MIDDLE SHUSWAP RIVER</v>
          </cell>
          <cell r="B309">
            <v>3</v>
          </cell>
        </row>
        <row r="310">
          <cell r="A310" t="str">
            <v>1994.8.CLEARWATER RIVER</v>
          </cell>
          <cell r="B310">
            <v>1</v>
          </cell>
        </row>
        <row r="311">
          <cell r="A311" t="str">
            <v>1989.8.CLEARWATER RIVER</v>
          </cell>
          <cell r="B311">
            <v>3</v>
          </cell>
        </row>
        <row r="312">
          <cell r="A312" t="str">
            <v>1998.8.MIDDLE SHUSWAP RIVER</v>
          </cell>
          <cell r="B312">
            <v>1</v>
          </cell>
        </row>
        <row r="313">
          <cell r="A313" t="str">
            <v>1998.7.MIDDLE SHUSWAP RIVER</v>
          </cell>
          <cell r="B313">
            <v>1</v>
          </cell>
        </row>
        <row r="314">
          <cell r="A314" t="str">
            <v>1995.8.MIDDLE SHUSWAP RIVER</v>
          </cell>
          <cell r="B314">
            <v>4</v>
          </cell>
        </row>
        <row r="315">
          <cell r="A315" t="str">
            <v>1995.7.MIDDLE SHUSWAP RIVER</v>
          </cell>
          <cell r="B315">
            <v>5</v>
          </cell>
        </row>
        <row r="316">
          <cell r="A316" t="str">
            <v>2002.5.LOWER FRASER</v>
          </cell>
          <cell r="B316">
            <v>1</v>
          </cell>
        </row>
        <row r="317">
          <cell r="A317" t="str">
            <v>2003.6.0</v>
          </cell>
          <cell r="B317">
            <v>2</v>
          </cell>
        </row>
        <row r="318">
          <cell r="A318" t="str">
            <v>2006.6.0</v>
          </cell>
          <cell r="B318">
            <v>1</v>
          </cell>
        </row>
        <row r="319">
          <cell r="A319" t="str">
            <v>1997.7.0</v>
          </cell>
          <cell r="B319">
            <v>1</v>
          </cell>
        </row>
        <row r="320">
          <cell r="A320" t="str">
            <v>1991.7.0</v>
          </cell>
          <cell r="B320">
            <v>4</v>
          </cell>
        </row>
        <row r="321">
          <cell r="A321" t="str">
            <v>1999.11.0</v>
          </cell>
          <cell r="B321">
            <v>1</v>
          </cell>
        </row>
        <row r="322">
          <cell r="A322" t="str">
            <v>1999.10.0</v>
          </cell>
          <cell r="B322">
            <v>1</v>
          </cell>
        </row>
        <row r="323">
          <cell r="A323" t="str">
            <v>1999.7.0</v>
          </cell>
          <cell r="B323">
            <v>6</v>
          </cell>
        </row>
        <row r="324">
          <cell r="A324" t="str">
            <v>1999.6.0</v>
          </cell>
          <cell r="B324">
            <v>7</v>
          </cell>
        </row>
        <row r="325">
          <cell r="A325" t="str">
            <v>2002.6.0</v>
          </cell>
          <cell r="B325">
            <v>3</v>
          </cell>
        </row>
        <row r="326">
          <cell r="A326" t="str">
            <v>2000.6.0</v>
          </cell>
          <cell r="B326">
            <v>3</v>
          </cell>
        </row>
        <row r="327">
          <cell r="A327" t="str">
            <v>2001.6.0</v>
          </cell>
          <cell r="B327">
            <v>2</v>
          </cell>
        </row>
        <row r="328">
          <cell r="A328" t="str">
            <v>1993.11.0</v>
          </cell>
          <cell r="B328">
            <v>1</v>
          </cell>
        </row>
        <row r="329">
          <cell r="A329" t="str">
            <v>1992.9.0</v>
          </cell>
          <cell r="B329">
            <v>1</v>
          </cell>
        </row>
        <row r="330">
          <cell r="A330" t="str">
            <v>1985.8.0</v>
          </cell>
          <cell r="B330">
            <v>2</v>
          </cell>
        </row>
        <row r="331">
          <cell r="A331" t="str">
            <v>1991.6.0</v>
          </cell>
          <cell r="B331">
            <v>2</v>
          </cell>
        </row>
        <row r="332">
          <cell r="A332" t="str">
            <v>1995.6.0</v>
          </cell>
          <cell r="B332">
            <v>5</v>
          </cell>
        </row>
        <row r="333">
          <cell r="A333" t="str">
            <v>1995.5.0</v>
          </cell>
          <cell r="B333">
            <v>3</v>
          </cell>
        </row>
        <row r="334">
          <cell r="A334" t="str">
            <v>2008.9.SPENCES BRIDGE-NICOLA RIVER MOUTH</v>
          </cell>
          <cell r="B334">
            <v>3</v>
          </cell>
        </row>
        <row r="335">
          <cell r="A335" t="str">
            <v>2008.8.LOWER FRASER</v>
          </cell>
          <cell r="B335">
            <v>7</v>
          </cell>
        </row>
        <row r="336">
          <cell r="A336" t="str">
            <v>2008.9.CHILLIWACK-VEDDAR RIVER</v>
          </cell>
          <cell r="B336">
            <v>20</v>
          </cell>
        </row>
        <row r="337">
          <cell r="A337" t="str">
            <v>2008.9.LOWER SHUSWAP</v>
          </cell>
          <cell r="B337">
            <v>9</v>
          </cell>
        </row>
        <row r="338">
          <cell r="A338" t="str">
            <v>2008.9.LOWER FRASER</v>
          </cell>
          <cell r="B338">
            <v>2</v>
          </cell>
        </row>
        <row r="339">
          <cell r="A339" t="str">
            <v>2008.8.LOWER SHUSWAP</v>
          </cell>
          <cell r="B339">
            <v>6</v>
          </cell>
        </row>
        <row r="340">
          <cell r="A340" t="str">
            <v>2008.7.CHILLIWACK-VEDDAR RIVER</v>
          </cell>
          <cell r="B340">
            <v>1</v>
          </cell>
        </row>
        <row r="341">
          <cell r="A341" t="str">
            <v>2008.6.LOWER FRASER</v>
          </cell>
          <cell r="B341">
            <v>1</v>
          </cell>
        </row>
        <row r="342">
          <cell r="A342" t="str">
            <v>2008.8.CHILLIWACK-VEDDAR RIVER</v>
          </cell>
          <cell r="B342">
            <v>2</v>
          </cell>
        </row>
        <row r="343">
          <cell r="A343" t="str">
            <v>2008.10.CHILLIWACK-VEDDAR RIVER</v>
          </cell>
          <cell r="B343">
            <v>6</v>
          </cell>
        </row>
        <row r="344">
          <cell r="A344" t="str">
            <v>2008.8.SPENCES BRIDGE-NICOLA RIVER MOUTH</v>
          </cell>
          <cell r="B344">
            <v>11</v>
          </cell>
        </row>
        <row r="345">
          <cell r="A345" t="str">
            <v>2008.7.SPENCES BRIDGE-NICOLA RIVER MOUTH</v>
          </cell>
          <cell r="B345">
            <v>7</v>
          </cell>
        </row>
        <row r="346">
          <cell r="A346" t="str">
            <v>2009.10.CHILLIWACK-VEDDAR RIVER</v>
          </cell>
          <cell r="B346">
            <v>11</v>
          </cell>
        </row>
        <row r="347">
          <cell r="A347" t="str">
            <v>2009.9.CHILLIWACK-VEDDAR RIVER</v>
          </cell>
          <cell r="B347">
            <v>10</v>
          </cell>
        </row>
        <row r="348">
          <cell r="A348" t="str">
            <v>2009.8.LOWER SHUSWAP</v>
          </cell>
          <cell r="B348">
            <v>10</v>
          </cell>
        </row>
        <row r="349">
          <cell r="A349" t="str">
            <v>2009.9.LOWER SHUSWAP</v>
          </cell>
          <cell r="B349">
            <v>4</v>
          </cell>
        </row>
        <row r="350">
          <cell r="A350" t="str">
            <v>2009.9.LOWER FRASER</v>
          </cell>
          <cell r="B350">
            <v>1</v>
          </cell>
        </row>
        <row r="351">
          <cell r="A351" t="str">
            <v>2009.7.SPENCES BRIDGE-NICOLA RIVER MOUTH</v>
          </cell>
          <cell r="B351">
            <v>2</v>
          </cell>
        </row>
        <row r="352">
          <cell r="A352" t="str">
            <v>2009.9.MABEL LAKE</v>
          </cell>
          <cell r="B352">
            <v>1</v>
          </cell>
        </row>
        <row r="353">
          <cell r="A353" t="str">
            <v>2009.8.SPENCES BRIDGE-NICOLA RIVER MOUTH</v>
          </cell>
          <cell r="B353">
            <v>8</v>
          </cell>
        </row>
        <row r="354">
          <cell r="A354" t="str">
            <v>2009.7.LOWER FRASER</v>
          </cell>
          <cell r="B354">
            <v>3</v>
          </cell>
        </row>
        <row r="355">
          <cell r="A355" t="str">
            <v>2009.6.LOWER FRASER</v>
          </cell>
          <cell r="B355">
            <v>2</v>
          </cell>
        </row>
        <row r="356">
          <cell r="A356" t="str">
            <v>2010.10.CHILLIWACK-VEDDAR RIVER</v>
          </cell>
          <cell r="B356">
            <v>12</v>
          </cell>
        </row>
        <row r="357">
          <cell r="A357" t="str">
            <v>2010.9.CHILLIWACK-VEDDAR RIVER</v>
          </cell>
          <cell r="B357">
            <v>1</v>
          </cell>
        </row>
        <row r="358">
          <cell r="A358" t="str">
            <v>2010.8.LOWER FRASER</v>
          </cell>
          <cell r="B358">
            <v>4</v>
          </cell>
        </row>
        <row r="359">
          <cell r="A359" t="str">
            <v>2010.7.LOWER FRASER</v>
          </cell>
          <cell r="B359">
            <v>2</v>
          </cell>
        </row>
        <row r="360">
          <cell r="A360" t="str">
            <v>2010.9.LOWER SHUSWAP</v>
          </cell>
          <cell r="B360">
            <v>6</v>
          </cell>
        </row>
        <row r="361">
          <cell r="A361" t="str">
            <v>2010.8.LOWER SHUSWAP</v>
          </cell>
          <cell r="B361">
            <v>5</v>
          </cell>
        </row>
        <row r="362">
          <cell r="A362" t="str">
            <v>2010.8.MABEL LAKE</v>
          </cell>
          <cell r="B362">
            <v>2</v>
          </cell>
        </row>
        <row r="363">
          <cell r="A363" t="str">
            <v>2010.9.MABEL LAKE</v>
          </cell>
          <cell r="B363">
            <v>1</v>
          </cell>
        </row>
        <row r="364">
          <cell r="A364" t="str">
            <v>2011.10.CHILLIWACK-VEDDAR RIVER</v>
          </cell>
          <cell r="B364">
            <v>6</v>
          </cell>
        </row>
        <row r="365">
          <cell r="A365" t="str">
            <v>2011.10.LOWER FRASER</v>
          </cell>
          <cell r="B365">
            <v>2</v>
          </cell>
        </row>
        <row r="366">
          <cell r="A366" t="str">
            <v>2011.8.LOWER FRASER</v>
          </cell>
          <cell r="B366">
            <v>5</v>
          </cell>
        </row>
        <row r="367">
          <cell r="A367" t="str">
            <v>2011.9.SPENCES BRIDGE-NICOLA RIVER MOUTH</v>
          </cell>
          <cell r="B367">
            <v>2</v>
          </cell>
        </row>
        <row r="368">
          <cell r="A368" t="str">
            <v>2011.9.LOWER SHUSWAP</v>
          </cell>
          <cell r="B368">
            <v>15</v>
          </cell>
        </row>
        <row r="369">
          <cell r="A369" t="str">
            <v>2011.9.CHILLIWACK-VEDDAR RIVER</v>
          </cell>
          <cell r="B369">
            <v>7</v>
          </cell>
        </row>
        <row r="370">
          <cell r="A370" t="str">
            <v>2011.7.LOWER FRASER</v>
          </cell>
          <cell r="B370">
            <v>2</v>
          </cell>
        </row>
        <row r="371">
          <cell r="A371" t="str">
            <v>2011.9.LOWER FRASER</v>
          </cell>
          <cell r="B371">
            <v>1</v>
          </cell>
        </row>
        <row r="372">
          <cell r="A372" t="str">
            <v>2011.8.LOWER SHUSWAP</v>
          </cell>
          <cell r="B372">
            <v>10</v>
          </cell>
        </row>
        <row r="373">
          <cell r="A373" t="str">
            <v>2012.8.LOWER SHUSWAP</v>
          </cell>
          <cell r="B373">
            <v>6</v>
          </cell>
        </row>
        <row r="374">
          <cell r="A374" t="str">
            <v>2012.9.LOWER SHUSWAP</v>
          </cell>
          <cell r="B374">
            <v>23</v>
          </cell>
        </row>
        <row r="375">
          <cell r="A375" t="str">
            <v>2012.9.MABEL LAKE</v>
          </cell>
          <cell r="B375">
            <v>1</v>
          </cell>
        </row>
        <row r="376">
          <cell r="A376" t="str">
            <v>2012.9.CHILLIWACK-VEDDAR RIVER</v>
          </cell>
          <cell r="B376">
            <v>14</v>
          </cell>
        </row>
        <row r="377">
          <cell r="A377" t="str">
            <v>2012.10.CHILLIWACK-VEDDAR RIVER</v>
          </cell>
          <cell r="B377">
            <v>14</v>
          </cell>
        </row>
        <row r="378">
          <cell r="A378" t="str">
            <v>2012.8.LOWER FRASER</v>
          </cell>
          <cell r="B378">
            <v>5</v>
          </cell>
        </row>
        <row r="379">
          <cell r="A379" t="str">
            <v>2012.8.MIDDLE SHUSWAP RIVER</v>
          </cell>
          <cell r="B379">
            <v>1</v>
          </cell>
        </row>
        <row r="380">
          <cell r="A380" t="str">
            <v>2012.9.MIDDLE SHUSWAP RIVER</v>
          </cell>
          <cell r="B380">
            <v>1</v>
          </cell>
        </row>
        <row r="381">
          <cell r="A381" t="str">
            <v>2012.9.SPENCES BRIDGE-NICOLA RIVER MOUTH</v>
          </cell>
          <cell r="B381">
            <v>2</v>
          </cell>
        </row>
        <row r="382">
          <cell r="A382" t="str">
            <v>2012.8.MABEL LAKE</v>
          </cell>
          <cell r="B382">
            <v>1</v>
          </cell>
        </row>
        <row r="383">
          <cell r="A383" t="str">
            <v>2012.7.LOWER FRASER</v>
          </cell>
          <cell r="B383">
            <v>1</v>
          </cell>
        </row>
      </sheetData>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Martin, Sara" id="{AB15CF5A-2253-4934-9861-5A21FA4C87DF}" userId="S::Sara.Martin@dfo-mpo.gc.ca::bdb2e97c-9942-4af7-ae2b-dad562222a64" providerId="AD"/>
  <person displayName="Arbeider, Michael" id="{B668B702-F4A3-4F33-8A06-833183C84E8E}" userId="S::Michael.Arbeider@dfo-mpo.gc.ca::b247dda3-25ee-4d94-a408-4fc2307648c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FO-MPO" refreshedDate="43850.475635185183" createdVersion="6" refreshedVersion="6" minRefreshableVersion="3" recordCount="50" xr:uid="{00000000-000A-0000-FFFF-FFFF00000000}">
  <cacheSource type="worksheet">
    <worksheetSource ref="D5:H55" sheet="Corrected Esc by age"/>
  </cacheSource>
  <cacheFields count="5">
    <cacheField name="year" numFmtId="0">
      <sharedItems containsString="0" containsBlank="1" containsNumber="1" containsInteger="1" minValue="2010" maxValue="2019" count="11">
        <m/>
        <n v="2010"/>
        <n v="2011"/>
        <n v="2012"/>
        <n v="2013"/>
        <n v="2014"/>
        <n v="2015"/>
        <n v="2016"/>
        <n v="2017"/>
        <n v="2018"/>
        <n v="2019"/>
      </sharedItems>
    </cacheField>
    <cacheField name="age" numFmtId="0">
      <sharedItems containsString="0" containsBlank="1" containsNumber="1" containsInteger="1" minValue="3" maxValue="6" count="5">
        <m/>
        <n v="3"/>
        <n v="4"/>
        <n v="5"/>
        <n v="6"/>
      </sharedItems>
    </cacheField>
    <cacheField name="brood year" numFmtId="0">
      <sharedItems containsString="0" containsBlank="1" containsNumber="1" containsInteger="1" minValue="2004" maxValue="2016" count="14">
        <m/>
        <n v="2007"/>
        <n v="2006"/>
        <n v="2005"/>
        <n v="2004"/>
        <n v="2008"/>
        <n v="2009"/>
        <n v="2010"/>
        <n v="2011"/>
        <n v="2012"/>
        <n v="2013"/>
        <n v="2014"/>
        <n v="2015"/>
        <n v="2016"/>
      </sharedItems>
    </cacheField>
    <cacheField name="identifier" numFmtId="0">
      <sharedItems containsBlank="1" count="41">
        <m/>
        <s v="2010.3"/>
        <s v="2010.4"/>
        <s v="2010.5"/>
        <s v="2010.6"/>
        <s v="2011.3"/>
        <s v="2011.4"/>
        <s v="2011.5"/>
        <s v="2011.6"/>
        <s v="2012.3"/>
        <s v="2012.4"/>
        <s v="2012.5"/>
        <s v="2012.6"/>
        <s v="2013.3"/>
        <s v="2013.4"/>
        <s v="2013.5"/>
        <s v="2013.6"/>
        <s v="2014.3"/>
        <s v="2014.4"/>
        <s v="2014.5"/>
        <s v="2014.6"/>
        <s v="2015.3"/>
        <s v="2015.4"/>
        <s v="2015.5"/>
        <s v="2015.6"/>
        <s v="2016.3"/>
        <s v="2016.4"/>
        <s v="2016.5"/>
        <s v="2016.6"/>
        <s v="2017.3"/>
        <s v="2017.4"/>
        <s v="2017.5"/>
        <s v="2017.6"/>
        <s v="2018.3"/>
        <s v="2018.4"/>
        <s v="2018.5"/>
        <s v="2018.6"/>
        <s v="2019.3"/>
        <s v="2019.4"/>
        <s v="2019.5"/>
        <s v="2019.6"/>
      </sharedItems>
    </cacheField>
    <cacheField name="unclipped fish" numFmtId="0">
      <sharedItems containsString="0" containsBlank="1" containsNumber="1" minValue="0" maxValue="7530.911460101868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sy, Travis" refreshedDate="45250.574181597221" createdVersion="6" refreshedVersion="8" minRefreshableVersion="3" recordCount="304" xr:uid="{00000000-000A-0000-FFFF-FFFF12000000}">
  <cacheSource type="worksheet">
    <worksheetSource ref="A7:N311" sheet="Esc by age data"/>
  </cacheSource>
  <cacheFields count="14">
    <cacheField name="Location" numFmtId="0">
      <sharedItems containsBlank="1" count="12">
        <m/>
        <s v="River"/>
        <s v="Hatchery"/>
        <s v="River and Hatchery"/>
        <s v="2015 sex correction"/>
        <s v="2016 sex correction"/>
        <s v="2017 sex correction"/>
        <s v="2018 sex correction"/>
        <s v="2019 sex correction"/>
        <s v="2020 sex correction"/>
        <s v="2021 sex correction"/>
        <s v="2022 sex correction"/>
      </sharedItems>
    </cacheField>
    <cacheField name="Stratum" numFmtId="0">
      <sharedItems containsBlank="1" containsMixedTypes="1" containsNumber="1" minValue="-5.0000000000000001E-3" maxValue="4.0869794460859803E-2" count="8">
        <m/>
        <s v="Adult Males"/>
        <s v="Adult Females"/>
        <s v="Jacks"/>
        <s v="Adults"/>
        <n v="1.3453542291947449E-2"/>
        <n v="-5.0000000000000001E-3"/>
        <n v="4.0869794460859803E-2"/>
      </sharedItems>
    </cacheField>
    <cacheField name="AFC Status" numFmtId="0">
      <sharedItems containsBlank="1"/>
    </cacheField>
    <cacheField name="Petersen Tagged" numFmtId="0">
      <sharedItems containsBlank="1"/>
    </cacheField>
    <cacheField name="Year" numFmtId="0">
      <sharedItems containsString="0" containsBlank="1" containsNumber="1" containsInteger="1" minValue="2010" maxValue="2022" count="14">
        <m/>
        <n v="2010"/>
        <n v="2011"/>
        <n v="2012"/>
        <n v="2013"/>
        <n v="2014"/>
        <n v="2015"/>
        <n v="2016"/>
        <n v="2017"/>
        <n v="2018"/>
        <n v="2019"/>
        <n v="2020"/>
        <n v="2021"/>
        <n v="2022"/>
      </sharedItems>
    </cacheField>
    <cacheField name="Stratum Estimate" numFmtId="0">
      <sharedItems containsString="0" containsBlank="1" containsNumber="1" containsInteger="1" minValue="0" maxValue="8705"/>
    </cacheField>
    <cacheField name="Age-3" numFmtId="0">
      <sharedItems containsBlank="1" containsMixedTypes="1" containsNumber="1" containsInteger="1" minValue="0" maxValue="36"/>
    </cacheField>
    <cacheField name="Age-4" numFmtId="0">
      <sharedItems containsString="0" containsBlank="1" containsNumber="1" containsInteger="1" minValue="0" maxValue="141"/>
    </cacheField>
    <cacheField name="Age-5" numFmtId="0">
      <sharedItems containsString="0" containsBlank="1" containsNumber="1" containsInteger="1" minValue="0" maxValue="290"/>
    </cacheField>
    <cacheField name="Age-6" numFmtId="0">
      <sharedItems containsString="0" containsBlank="1" containsNumber="1" containsInteger="1" minValue="0" maxValue="11"/>
    </cacheField>
    <cacheField name="Raw_ESC_Age-3" numFmtId="0">
      <sharedItems containsString="0" containsBlank="1" containsNumber="1" minValue="0" maxValue="215.56131549609808"/>
    </cacheField>
    <cacheField name="Raw_ESC_Age-4" numFmtId="0">
      <sharedItems containsString="0" containsBlank="1" containsNumber="1" minValue="0" maxValue="3751.0423786739575"/>
    </cacheField>
    <cacheField name="Raw_ESC_Age-5" numFmtId="0">
      <sharedItems containsString="0" containsBlank="1" containsNumber="1" minValue="0" maxValue="5124.9994315485064"/>
    </cacheField>
    <cacheField name="Raw_ESC_Age-6" numFmtId="0">
      <sharedItems containsString="0" containsBlank="1" containsNumber="1" minValue="0" maxValue="211.5993607739817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 Jason" refreshedDate="45686.586891319443" createdVersion="7" refreshedVersion="8" minRefreshableVersion="3" recordCount="62" xr:uid="{FC31432D-8333-44AA-8192-53E956F53110}">
  <cacheSource type="worksheet">
    <worksheetSource ref="B3:H551" sheet="Scale-CWT correction factors"/>
  </cacheSource>
  <cacheFields count="7">
    <cacheField name="Year" numFmtId="0">
      <sharedItems containsString="0" containsBlank="1" containsNumber="1" containsInteger="1" minValue="2010" maxValue="2024"/>
    </cacheField>
    <cacheField name="scale age" numFmtId="0">
      <sharedItems containsString="0" containsBlank="1" containsNumber="1" containsInteger="1" minValue="3" maxValue="6" count="5">
        <n v="3"/>
        <n v="4"/>
        <n v="5"/>
        <n v="6"/>
        <m/>
      </sharedItems>
    </cacheField>
    <cacheField name="2" numFmtId="0">
      <sharedItems containsNonDate="0" containsString="0" containsBlank="1"/>
    </cacheField>
    <cacheField name="3" numFmtId="0">
      <sharedItems containsString="0" containsBlank="1" containsNumber="1" containsInteger="1" minValue="0" maxValue="7"/>
    </cacheField>
    <cacheField name="4" numFmtId="0">
      <sharedItems containsString="0" containsBlank="1" containsNumber="1" containsInteger="1" minValue="0" maxValue="73"/>
    </cacheField>
    <cacheField name="5" numFmtId="0">
      <sharedItems containsString="0" containsBlank="1" containsNumber="1" containsInteger="1" minValue="0" maxValue="26"/>
    </cacheField>
    <cacheField name="6"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 Jason" refreshedDate="45733.529034375002" createdVersion="7" refreshedVersion="8" minRefreshableVersion="3" recordCount="356" xr:uid="{00000000-000A-0000-FFFF-FFFF09000000}">
  <cacheSource type="worksheet">
    <worksheetSource ref="A7:N411" sheet="Esc by age data"/>
  </cacheSource>
  <cacheFields count="14">
    <cacheField name="Location" numFmtId="0">
      <sharedItems containsBlank="1"/>
    </cacheField>
    <cacheField name="Stratum" numFmtId="0">
      <sharedItems containsBlank="1" containsMixedTypes="1" containsNumber="1" minValue="-6.7576564580559099E-3" maxValue="4.0869794460859803E-2"/>
    </cacheField>
    <cacheField name="AFC Status" numFmtId="0">
      <sharedItems containsBlank="1" count="4">
        <m/>
        <s v="Clipped"/>
        <s v="Unclipped"/>
        <s v="both"/>
      </sharedItems>
    </cacheField>
    <cacheField name="Petersen Tagged" numFmtId="0">
      <sharedItems containsBlank="1"/>
    </cacheField>
    <cacheField name="Year" numFmtId="0">
      <sharedItems containsString="0" containsBlank="1" containsNumber="1" containsInteger="1" minValue="2010" maxValue="2024" count="16">
        <m/>
        <n v="2010"/>
        <n v="2011"/>
        <n v="2012"/>
        <n v="2013"/>
        <n v="2014"/>
        <n v="2015"/>
        <n v="2016"/>
        <n v="2017"/>
        <n v="2018"/>
        <n v="2019"/>
        <n v="2020"/>
        <n v="2021"/>
        <n v="2022"/>
        <n v="2023"/>
        <n v="2024"/>
      </sharedItems>
    </cacheField>
    <cacheField name="Stratum Estimate" numFmtId="0">
      <sharedItems containsString="0" containsBlank="1" containsNumber="1" containsInteger="1" minValue="0" maxValue="8705"/>
    </cacheField>
    <cacheField name="Age-3" numFmtId="0">
      <sharedItems containsBlank="1" containsMixedTypes="1" containsNumber="1" containsInteger="1" minValue="0" maxValue="36"/>
    </cacheField>
    <cacheField name="Age-4" numFmtId="0">
      <sharedItems containsString="0" containsBlank="1" containsNumber="1" containsInteger="1" minValue="0" maxValue="141"/>
    </cacheField>
    <cacheField name="Age-5" numFmtId="0">
      <sharedItems containsString="0" containsBlank="1" containsNumber="1" containsInteger="1" minValue="0" maxValue="290"/>
    </cacheField>
    <cacheField name="Age-6" numFmtId="0">
      <sharedItems containsString="0" containsBlank="1" containsNumber="1" containsInteger="1" minValue="0" maxValue="11"/>
    </cacheField>
    <cacheField name="Raw_ESC_Age-3" numFmtId="0">
      <sharedItems containsString="0" containsBlank="1" containsNumber="1" minValue="0" maxValue="351.42857142857144"/>
    </cacheField>
    <cacheField name="Raw_ESC_Age-4" numFmtId="0">
      <sharedItems containsString="0" containsBlank="1" containsNumber="1" minValue="0" maxValue="3751.0423786739575"/>
    </cacheField>
    <cacheField name="Raw_ESC_Age-5" numFmtId="0">
      <sharedItems containsString="0" containsBlank="1" containsNumber="1" minValue="0" maxValue="5124.9994315485064"/>
    </cacheField>
    <cacheField name="Raw_ESC_Age-6" numFmtId="0">
      <sharedItems containsString="0" containsBlank="1" containsNumber="1" minValue="0" maxValue="211.5993607739817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 Jason" refreshedDate="45733.529217592593" createdVersion="8" refreshedVersion="8" minRefreshableVersion="3" recordCount="354" xr:uid="{451570A7-5F09-4418-ADBD-FE53A8B4894E}">
  <cacheSource type="worksheet">
    <worksheetSource ref="A7:N361" sheet="Esc by age data"/>
  </cacheSource>
  <cacheFields count="14">
    <cacheField name="Location" numFmtId="0">
      <sharedItems containsBlank="1" count="14">
        <m/>
        <s v="River"/>
        <s v="Hatchery"/>
        <s v="River and Hatchery"/>
        <s v="2015 sex correction"/>
        <s v="2016 sex correction"/>
        <s v="2017 sex correction"/>
        <s v="2018 sex correction"/>
        <s v="2019 sex correction"/>
        <s v="2020 sex correction"/>
        <s v="2021 sex correction"/>
        <s v="2022 sex correction"/>
        <s v="2023 sex correction"/>
        <s v="2024 sex correction"/>
      </sharedItems>
    </cacheField>
    <cacheField name="Stratum" numFmtId="0">
      <sharedItems containsBlank="1" containsMixedTypes="1" containsNumber="1" minValue="-6.7576564580559099E-3" maxValue="4.0869794460859803E-2" count="10">
        <m/>
        <s v="Adult Males"/>
        <s v="Adult Females"/>
        <s v="Jacks"/>
        <s v="Adults"/>
        <n v="1.3453542291947449E-2"/>
        <n v="-5.0000000000000001E-3"/>
        <n v="4.0869794460859803E-2"/>
        <n v="-6.7576564580559099E-3"/>
        <n v="0"/>
      </sharedItems>
    </cacheField>
    <cacheField name="AFC Status" numFmtId="0">
      <sharedItems containsBlank="1"/>
    </cacheField>
    <cacheField name="Petersen Tagged" numFmtId="0">
      <sharedItems containsBlank="1"/>
    </cacheField>
    <cacheField name="Year" numFmtId="0">
      <sharedItems containsString="0" containsBlank="1" containsNumber="1" containsInteger="1" minValue="2010" maxValue="2024" count="16">
        <m/>
        <n v="2010"/>
        <n v="2011"/>
        <n v="2012"/>
        <n v="2013"/>
        <n v="2014"/>
        <n v="2015"/>
        <n v="2016"/>
        <n v="2017"/>
        <n v="2018"/>
        <n v="2019"/>
        <n v="2020"/>
        <n v="2021"/>
        <n v="2022"/>
        <n v="2023"/>
        <n v="2024"/>
      </sharedItems>
    </cacheField>
    <cacheField name="Stratum Estimate" numFmtId="0">
      <sharedItems containsString="0" containsBlank="1" containsNumber="1" containsInteger="1" minValue="0" maxValue="8705"/>
    </cacheField>
    <cacheField name="Age-3" numFmtId="0">
      <sharedItems containsBlank="1" containsMixedTypes="1" containsNumber="1" containsInteger="1" minValue="0" maxValue="36"/>
    </cacheField>
    <cacheField name="Age-4" numFmtId="0">
      <sharedItems containsString="0" containsBlank="1" containsNumber="1" containsInteger="1" minValue="0" maxValue="141"/>
    </cacheField>
    <cacheField name="Age-5" numFmtId="0">
      <sharedItems containsString="0" containsBlank="1" containsNumber="1" containsInteger="1" minValue="0" maxValue="290"/>
    </cacheField>
    <cacheField name="Age-6" numFmtId="0">
      <sharedItems containsString="0" containsBlank="1" containsNumber="1" containsInteger="1" minValue="0" maxValue="11"/>
    </cacheField>
    <cacheField name="Raw_ESC_Age-3" numFmtId="0">
      <sharedItems containsString="0" containsBlank="1" containsNumber="1" minValue="0" maxValue="351.42857142857144"/>
    </cacheField>
    <cacheField name="Raw_ESC_Age-4" numFmtId="0">
      <sharedItems containsString="0" containsBlank="1" containsNumber="1" minValue="0" maxValue="3751.0423786739575"/>
    </cacheField>
    <cacheField name="Raw_ESC_Age-5" numFmtId="0">
      <sharedItems containsString="0" containsBlank="1" containsNumber="1" minValue="0" maxValue="5124.9994315485064"/>
    </cacheField>
    <cacheField name="Raw_ESC_Age-6" numFmtId="0">
      <sharedItems containsString="0" containsBlank="1" containsNumber="1" minValue="0" maxValue="211.5993607739817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ll, Jason" refreshedDate="45733.529360532404" createdVersion="8" refreshedVersion="8" minRefreshableVersion="3" recordCount="76" xr:uid="{AC113DBB-1C94-465D-A182-15591E13EC1E}">
  <cacheSource type="worksheet">
    <worksheetSource ref="D4:K80" sheet="Corrected Esc by age"/>
  </cacheSource>
  <cacheFields count="8">
    <cacheField name="year" numFmtId="0">
      <sharedItems containsBlank="1" containsMixedTypes="1" containsNumber="1" containsInteger="1" minValue="2010" maxValue="2024" count="17">
        <s v="year"/>
        <m/>
        <n v="2010"/>
        <n v="2011"/>
        <n v="2012"/>
        <n v="2013"/>
        <n v="2014"/>
        <n v="2015"/>
        <n v="2016"/>
        <n v="2017"/>
        <n v="2018"/>
        <n v="2019"/>
        <n v="2020"/>
        <n v="2021"/>
        <n v="2022"/>
        <n v="2023"/>
        <n v="2024"/>
      </sharedItems>
    </cacheField>
    <cacheField name="age" numFmtId="0">
      <sharedItems containsBlank="1" containsMixedTypes="1" containsNumber="1" containsInteger="1" minValue="3" maxValue="6" count="6">
        <s v="age"/>
        <m/>
        <n v="3"/>
        <n v="4"/>
        <n v="5"/>
        <n v="6"/>
      </sharedItems>
    </cacheField>
    <cacheField name="brood year" numFmtId="0">
      <sharedItems containsBlank="1" containsMixedTypes="1" containsNumber="1" containsInteger="1" minValue="2004" maxValue="2021"/>
    </cacheField>
    <cacheField name="unique" numFmtId="0">
      <sharedItems containsBlank="1"/>
    </cacheField>
    <cacheField name="uncorrected " numFmtId="0">
      <sharedItems containsBlank="1" containsMixedTypes="1" containsNumber="1" minValue="0" maxValue="8373.4677983851889"/>
    </cacheField>
    <cacheField name="Corrected_Unclipped" numFmtId="0">
      <sharedItems containsBlank="1" containsMixedTypes="1" containsNumber="1" minValue="0" maxValue="8024.3516016081876"/>
    </cacheField>
    <cacheField name="Corrected_unclipped &amp;clipped" numFmtId="0">
      <sharedItems containsBlank="1" containsMixedTypes="1" containsNumber="1" minValue="0" maxValue="8298.1357600240299"/>
    </cacheField>
    <cacheField name="Clipped" numFmtId="0">
      <sharedItems containsString="0" containsBlank="1" containsNumber="1" minValue="0" maxValue="653.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x v="0"/>
    <m/>
  </r>
  <r>
    <x v="1"/>
    <x v="1"/>
    <x v="1"/>
    <x v="1"/>
    <n v="44.751014357053684"/>
  </r>
  <r>
    <x v="1"/>
    <x v="2"/>
    <x v="2"/>
    <x v="2"/>
    <n v="3880.8798690109156"/>
  </r>
  <r>
    <x v="1"/>
    <x v="3"/>
    <x v="3"/>
    <x v="3"/>
    <n v="3241.3351428742781"/>
  </r>
  <r>
    <x v="1"/>
    <x v="4"/>
    <x v="4"/>
    <x v="4"/>
    <n v="351.03397375775205"/>
  </r>
  <r>
    <x v="0"/>
    <x v="0"/>
    <x v="0"/>
    <x v="0"/>
    <m/>
  </r>
  <r>
    <x v="2"/>
    <x v="1"/>
    <x v="5"/>
    <x v="5"/>
    <n v="19"/>
  </r>
  <r>
    <x v="2"/>
    <x v="2"/>
    <x v="1"/>
    <x v="6"/>
    <n v="1405.2216040009296"/>
  </r>
  <r>
    <x v="2"/>
    <x v="3"/>
    <x v="2"/>
    <x v="7"/>
    <n v="6811.3083797317649"/>
  </r>
  <r>
    <x v="2"/>
    <x v="4"/>
    <x v="3"/>
    <x v="8"/>
    <n v="179.47001626730588"/>
  </r>
  <r>
    <x v="0"/>
    <x v="0"/>
    <x v="0"/>
    <x v="0"/>
    <m/>
  </r>
  <r>
    <x v="3"/>
    <x v="1"/>
    <x v="6"/>
    <x v="9"/>
    <n v="176.92207269381183"/>
  </r>
  <r>
    <x v="3"/>
    <x v="2"/>
    <x v="5"/>
    <x v="10"/>
    <n v="1411.3554609481762"/>
  </r>
  <r>
    <x v="3"/>
    <x v="3"/>
    <x v="1"/>
    <x v="11"/>
    <n v="2626.4035134225169"/>
  </r>
  <r>
    <x v="3"/>
    <x v="4"/>
    <x v="2"/>
    <x v="12"/>
    <n v="72.318952935494821"/>
  </r>
  <r>
    <x v="0"/>
    <x v="0"/>
    <x v="0"/>
    <x v="0"/>
    <m/>
  </r>
  <r>
    <x v="4"/>
    <x v="1"/>
    <x v="7"/>
    <x v="13"/>
    <n v="400.75590451345658"/>
  </r>
  <r>
    <x v="4"/>
    <x v="2"/>
    <x v="6"/>
    <x v="14"/>
    <n v="2495.8152482962564"/>
  </r>
  <r>
    <x v="4"/>
    <x v="3"/>
    <x v="5"/>
    <x v="15"/>
    <n v="1486.2444547810755"/>
  </r>
  <r>
    <x v="4"/>
    <x v="4"/>
    <x v="1"/>
    <x v="16"/>
    <n v="40.184392409211426"/>
  </r>
  <r>
    <x v="0"/>
    <x v="0"/>
    <x v="0"/>
    <x v="0"/>
    <m/>
  </r>
  <r>
    <x v="5"/>
    <x v="1"/>
    <x v="8"/>
    <x v="17"/>
    <n v="30.842105263157894"/>
  </r>
  <r>
    <x v="5"/>
    <x v="2"/>
    <x v="7"/>
    <x v="18"/>
    <n v="5816.2648276535492"/>
  </r>
  <r>
    <x v="5"/>
    <x v="3"/>
    <x v="6"/>
    <x v="19"/>
    <n v="7388.9483025746185"/>
  </r>
  <r>
    <x v="5"/>
    <x v="4"/>
    <x v="5"/>
    <x v="20"/>
    <n v="129.9447645086743"/>
  </r>
  <r>
    <x v="0"/>
    <x v="0"/>
    <x v="0"/>
    <x v="0"/>
    <m/>
  </r>
  <r>
    <x v="6"/>
    <x v="1"/>
    <x v="9"/>
    <x v="21"/>
    <n v="19.136842105263156"/>
  </r>
  <r>
    <x v="6"/>
    <x v="2"/>
    <x v="8"/>
    <x v="22"/>
    <n v="3350.2609958074904"/>
  </r>
  <r>
    <x v="6"/>
    <x v="3"/>
    <x v="7"/>
    <x v="23"/>
    <n v="7530.9114601018682"/>
  </r>
  <r>
    <x v="6"/>
    <x v="4"/>
    <x v="6"/>
    <x v="24"/>
    <n v="97.690701985378183"/>
  </r>
  <r>
    <x v="0"/>
    <x v="0"/>
    <x v="0"/>
    <x v="0"/>
    <m/>
  </r>
  <r>
    <x v="7"/>
    <x v="1"/>
    <x v="10"/>
    <x v="25"/>
    <n v="109"/>
  </r>
  <r>
    <x v="7"/>
    <x v="2"/>
    <x v="9"/>
    <x v="26"/>
    <n v="1251.3861111111112"/>
  </r>
  <r>
    <x v="7"/>
    <x v="3"/>
    <x v="8"/>
    <x v="27"/>
    <n v="2613.9068888888887"/>
  </r>
  <r>
    <x v="7"/>
    <x v="4"/>
    <x v="7"/>
    <x v="28"/>
    <n v="308.70699999999999"/>
  </r>
  <r>
    <x v="0"/>
    <x v="0"/>
    <x v="0"/>
    <x v="0"/>
    <m/>
  </r>
  <r>
    <x v="8"/>
    <x v="1"/>
    <x v="11"/>
    <x v="29"/>
    <n v="8.5"/>
  </r>
  <r>
    <x v="8"/>
    <x v="2"/>
    <x v="10"/>
    <x v="30"/>
    <n v="1540.0465320538451"/>
  </r>
  <r>
    <x v="8"/>
    <x v="3"/>
    <x v="9"/>
    <x v="31"/>
    <n v="1940.5082900173263"/>
  </r>
  <r>
    <x v="8"/>
    <x v="4"/>
    <x v="8"/>
    <x v="32"/>
    <n v="200.94517792882849"/>
  </r>
  <r>
    <x v="0"/>
    <x v="0"/>
    <x v="0"/>
    <x v="0"/>
    <m/>
  </r>
  <r>
    <x v="9"/>
    <x v="1"/>
    <x v="12"/>
    <x v="33"/>
    <n v="0"/>
  </r>
  <r>
    <x v="9"/>
    <x v="2"/>
    <x v="11"/>
    <x v="34"/>
    <n v="1125.4591301230801"/>
  </r>
  <r>
    <x v="9"/>
    <x v="3"/>
    <x v="10"/>
    <x v="35"/>
    <n v="1049.9035471248776"/>
  </r>
  <r>
    <x v="9"/>
    <x v="4"/>
    <x v="9"/>
    <x v="36"/>
    <n v="42.637322752042415"/>
  </r>
  <r>
    <x v="0"/>
    <x v="0"/>
    <x v="0"/>
    <x v="0"/>
    <m/>
  </r>
  <r>
    <x v="10"/>
    <x v="1"/>
    <x v="13"/>
    <x v="37"/>
    <n v="0"/>
  </r>
  <r>
    <x v="10"/>
    <x v="2"/>
    <x v="12"/>
    <x v="38"/>
    <n v="1284.0487804878051"/>
  </r>
  <r>
    <x v="10"/>
    <x v="3"/>
    <x v="11"/>
    <x v="39"/>
    <n v="1031.1300813008131"/>
  </r>
  <r>
    <x v="10"/>
    <x v="4"/>
    <x v="10"/>
    <x v="40"/>
    <n v="77.821138211382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
  <r>
    <x v="0"/>
    <x v="0"/>
    <m/>
    <m/>
    <x v="0"/>
    <m/>
    <m/>
    <m/>
    <m/>
    <m/>
    <m/>
    <m/>
    <m/>
    <m/>
  </r>
  <r>
    <x v="1"/>
    <x v="1"/>
    <s v="Clipped"/>
    <s v="NA"/>
    <x v="1"/>
    <n v="0"/>
    <m/>
    <m/>
    <m/>
    <m/>
    <m/>
    <m/>
    <m/>
    <m/>
  </r>
  <r>
    <x v="1"/>
    <x v="1"/>
    <s v="Unclipped"/>
    <s v="Petersen Tagged"/>
    <x v="1"/>
    <n v="833"/>
    <n v="1"/>
    <n v="102"/>
    <n v="39"/>
    <n v="2"/>
    <n v="5.7847222222222223"/>
    <n v="590.04166666666674"/>
    <n v="225.60416666666666"/>
    <n v="11.569444444444445"/>
  </r>
  <r>
    <x v="1"/>
    <x v="1"/>
    <s v="Unclipped"/>
    <s v="No Petersen Tag"/>
    <x v="1"/>
    <n v="2845"/>
    <n v="1"/>
    <n v="55"/>
    <n v="29"/>
    <n v="4"/>
    <n v="31.966292134831459"/>
    <n v="1758.1460674157302"/>
    <n v="927.02247191011236"/>
    <n v="127.86516853932584"/>
  </r>
  <r>
    <x v="2"/>
    <x v="1"/>
    <s v="Clipped"/>
    <s v="No Petersen Tag"/>
    <x v="1"/>
    <m/>
    <m/>
    <m/>
    <m/>
    <m/>
    <n v="0"/>
    <n v="0"/>
    <n v="0"/>
    <n v="0"/>
  </r>
  <r>
    <x v="2"/>
    <x v="1"/>
    <s v="Unclipped"/>
    <s v="No Petersen Tag"/>
    <x v="1"/>
    <m/>
    <m/>
    <m/>
    <m/>
    <m/>
    <n v="0"/>
    <n v="0"/>
    <n v="0"/>
    <n v="0"/>
  </r>
  <r>
    <x v="1"/>
    <x v="1"/>
    <s v="both"/>
    <s v="both"/>
    <x v="1"/>
    <n v="3678"/>
    <m/>
    <m/>
    <m/>
    <m/>
    <n v="37.751014357053684"/>
    <n v="2348.1877340823967"/>
    <n v="1152.626638576779"/>
    <n v="139.43461298377028"/>
  </r>
  <r>
    <x v="3"/>
    <x v="1"/>
    <s v="both"/>
    <s v="both"/>
    <x v="1"/>
    <n v="3678"/>
    <m/>
    <m/>
    <m/>
    <m/>
    <n v="37.751014357053684"/>
    <n v="2348.1877340823967"/>
    <n v="1152.626638576779"/>
    <n v="139.43461298377028"/>
  </r>
  <r>
    <x v="0"/>
    <x v="0"/>
    <m/>
    <m/>
    <x v="0"/>
    <m/>
    <m/>
    <m/>
    <m/>
    <m/>
    <m/>
    <m/>
    <m/>
    <m/>
  </r>
  <r>
    <x v="1"/>
    <x v="2"/>
    <s v="Clipped"/>
    <s v="NA"/>
    <x v="1"/>
    <n v="0"/>
    <m/>
    <m/>
    <m/>
    <m/>
    <m/>
    <m/>
    <m/>
    <m/>
  </r>
  <r>
    <x v="1"/>
    <x v="2"/>
    <s v="Unclipped"/>
    <s v="Petersen Tagged"/>
    <x v="1"/>
    <n v="648"/>
    <n v="0"/>
    <n v="69"/>
    <n v="93"/>
    <n v="7"/>
    <n v="0"/>
    <n v="264.56804733727807"/>
    <n v="356.59171597633139"/>
    <n v="26.840236686390536"/>
  </r>
  <r>
    <x v="1"/>
    <x v="2"/>
    <s v="Unclipped"/>
    <s v="No Petersen Tag"/>
    <x v="1"/>
    <n v="3164"/>
    <n v="0"/>
    <n v="54"/>
    <n v="75"/>
    <n v="8"/>
    <n v="0"/>
    <n v="1247.1240875912408"/>
    <n v="1732.1167883211679"/>
    <n v="184.75912408759123"/>
  </r>
  <r>
    <x v="2"/>
    <x v="2"/>
    <s v="Clipped"/>
    <s v="No Petersen Tag"/>
    <x v="1"/>
    <m/>
    <m/>
    <m/>
    <m/>
    <m/>
    <n v="0"/>
    <n v="0"/>
    <n v="0"/>
    <n v="0"/>
  </r>
  <r>
    <x v="2"/>
    <x v="2"/>
    <s v="Unclipped"/>
    <s v="No Petersen Tag"/>
    <x v="1"/>
    <m/>
    <m/>
    <m/>
    <m/>
    <m/>
    <n v="0"/>
    <n v="0"/>
    <n v="0"/>
    <n v="0"/>
  </r>
  <r>
    <x v="1"/>
    <x v="2"/>
    <s v="both"/>
    <s v="both"/>
    <x v="1"/>
    <n v="3812"/>
    <m/>
    <m/>
    <m/>
    <m/>
    <n v="0"/>
    <n v="1511.692134928519"/>
    <n v="2088.7085042974991"/>
    <n v="211.59936077398177"/>
  </r>
  <r>
    <x v="3"/>
    <x v="2"/>
    <s v="both"/>
    <s v="both"/>
    <x v="1"/>
    <n v="3812"/>
    <m/>
    <m/>
    <m/>
    <m/>
    <n v="0"/>
    <n v="1511.692134928519"/>
    <n v="2088.7085042974991"/>
    <n v="211.59936077398177"/>
  </r>
  <r>
    <x v="0"/>
    <x v="0"/>
    <m/>
    <m/>
    <x v="0"/>
    <m/>
    <m/>
    <m/>
    <m/>
    <m/>
    <m/>
    <m/>
    <m/>
    <m/>
  </r>
  <r>
    <x v="1"/>
    <x v="3"/>
    <s v="Clipped"/>
    <s v="NA"/>
    <x v="1"/>
    <n v="0"/>
    <m/>
    <m/>
    <m/>
    <m/>
    <m/>
    <m/>
    <m/>
    <m/>
  </r>
  <r>
    <x v="1"/>
    <x v="3"/>
    <s v="Unclipped"/>
    <s v="Petersen Tagged"/>
    <x v="1"/>
    <n v="14"/>
    <n v="0"/>
    <n v="1"/>
    <n v="0"/>
    <n v="0"/>
    <n v="0"/>
    <n v="14"/>
    <n v="0"/>
    <n v="0"/>
  </r>
  <r>
    <x v="1"/>
    <x v="3"/>
    <s v="Unclipped"/>
    <s v="No Petersen Tag"/>
    <x v="1"/>
    <n v="14"/>
    <n v="1"/>
    <n v="1"/>
    <n v="0"/>
    <n v="0"/>
    <n v="7"/>
    <n v="7"/>
    <n v="0"/>
    <n v="0"/>
  </r>
  <r>
    <x v="2"/>
    <x v="3"/>
    <s v="Clipped"/>
    <s v="No Petersen Tag"/>
    <x v="1"/>
    <m/>
    <m/>
    <m/>
    <m/>
    <m/>
    <n v="0"/>
    <n v="0"/>
    <n v="0"/>
    <n v="0"/>
  </r>
  <r>
    <x v="2"/>
    <x v="3"/>
    <s v="Unclipped"/>
    <s v="No Petersen Tag"/>
    <x v="1"/>
    <m/>
    <m/>
    <m/>
    <m/>
    <m/>
    <n v="0"/>
    <n v="0"/>
    <n v="0"/>
    <n v="0"/>
  </r>
  <r>
    <x v="1"/>
    <x v="3"/>
    <s v="both"/>
    <s v="both"/>
    <x v="1"/>
    <n v="28"/>
    <m/>
    <m/>
    <m/>
    <m/>
    <n v="7"/>
    <n v="21"/>
    <n v="0"/>
    <n v="0"/>
  </r>
  <r>
    <x v="3"/>
    <x v="3"/>
    <s v="both"/>
    <s v="both"/>
    <x v="1"/>
    <n v="28"/>
    <m/>
    <m/>
    <m/>
    <m/>
    <n v="7"/>
    <n v="21"/>
    <n v="0"/>
    <n v="0"/>
  </r>
  <r>
    <x v="0"/>
    <x v="0"/>
    <m/>
    <m/>
    <x v="0"/>
    <m/>
    <m/>
    <m/>
    <m/>
    <m/>
    <m/>
    <m/>
    <m/>
    <m/>
  </r>
  <r>
    <x v="1"/>
    <x v="1"/>
    <s v="Clipped"/>
    <s v="NA"/>
    <x v="2"/>
    <n v="0"/>
    <n v="0"/>
    <n v="0"/>
    <n v="0"/>
    <n v="0"/>
    <m/>
    <m/>
    <m/>
    <m/>
  </r>
  <r>
    <x v="1"/>
    <x v="1"/>
    <s v="Unclipped"/>
    <s v="Petersen Tagged"/>
    <x v="2"/>
    <n v="265"/>
    <n v="0"/>
    <n v="32"/>
    <n v="66"/>
    <n v="1"/>
    <n v="0"/>
    <n v="85.656565656565661"/>
    <n v="176.66666666666666"/>
    <n v="2.6767676767676769"/>
  </r>
  <r>
    <x v="1"/>
    <x v="1"/>
    <s v="Unclipped"/>
    <s v="No Petersen Tag"/>
    <x v="2"/>
    <n v="3250"/>
    <n v="0"/>
    <n v="39"/>
    <n v="127"/>
    <n v="5"/>
    <n v="0"/>
    <n v="741.22807017543857"/>
    <n v="2413.7426900584796"/>
    <n v="95.029239766081872"/>
  </r>
  <r>
    <x v="2"/>
    <x v="1"/>
    <s v="Clipped"/>
    <s v="No Petersen Tag"/>
    <x v="2"/>
    <m/>
    <m/>
    <m/>
    <m/>
    <m/>
    <n v="0"/>
    <n v="0"/>
    <n v="0"/>
    <n v="0"/>
  </r>
  <r>
    <x v="2"/>
    <x v="1"/>
    <s v="Unclipped"/>
    <s v="No Petersen Tag"/>
    <x v="2"/>
    <m/>
    <m/>
    <m/>
    <m/>
    <m/>
    <n v="0"/>
    <n v="0"/>
    <n v="0"/>
    <n v="0"/>
  </r>
  <r>
    <x v="1"/>
    <x v="1"/>
    <s v="both"/>
    <s v="both"/>
    <x v="2"/>
    <n v="3515"/>
    <m/>
    <m/>
    <m/>
    <m/>
    <n v="0"/>
    <n v="826.88463583200428"/>
    <n v="2590.4093567251462"/>
    <n v="97.706007442849554"/>
  </r>
  <r>
    <x v="3"/>
    <x v="1"/>
    <s v="both"/>
    <s v="both"/>
    <x v="2"/>
    <n v="3515"/>
    <m/>
    <m/>
    <m/>
    <m/>
    <n v="0"/>
    <n v="826.88463583200428"/>
    <n v="2590.4093567251462"/>
    <n v="97.706007442849554"/>
  </r>
  <r>
    <x v="0"/>
    <x v="0"/>
    <m/>
    <m/>
    <x v="0"/>
    <m/>
    <m/>
    <m/>
    <m/>
    <m/>
    <m/>
    <m/>
    <m/>
    <m/>
  </r>
  <r>
    <x v="1"/>
    <x v="2"/>
    <s v="Clipped"/>
    <s v="NA"/>
    <x v="2"/>
    <n v="0"/>
    <m/>
    <m/>
    <m/>
    <m/>
    <m/>
    <m/>
    <m/>
    <m/>
  </r>
  <r>
    <x v="1"/>
    <x v="2"/>
    <s v="Unclipped"/>
    <s v="Petersen Tagged"/>
    <x v="2"/>
    <n v="466"/>
    <n v="0"/>
    <n v="31"/>
    <n v="158"/>
    <n v="1"/>
    <n v="0"/>
    <n v="76.03157894736843"/>
    <n v="387.51578947368421"/>
    <n v="2.4526315789473685"/>
  </r>
  <r>
    <x v="1"/>
    <x v="2"/>
    <s v="Unclipped"/>
    <s v="No Petersen Tag"/>
    <x v="2"/>
    <n v="4415"/>
    <n v="0"/>
    <n v="38"/>
    <n v="290"/>
    <n v="6"/>
    <n v="0"/>
    <n v="502.30538922155688"/>
    <n v="3833.3832335329339"/>
    <n v="79.311377245508979"/>
  </r>
  <r>
    <x v="2"/>
    <x v="2"/>
    <s v="Clipped"/>
    <s v="No Petersen Tag"/>
    <x v="2"/>
    <m/>
    <m/>
    <m/>
    <m/>
    <m/>
    <n v="0"/>
    <n v="0"/>
    <n v="0"/>
    <n v="0"/>
  </r>
  <r>
    <x v="2"/>
    <x v="2"/>
    <s v="Unclipped"/>
    <s v="No Petersen Tag"/>
    <x v="2"/>
    <m/>
    <m/>
    <m/>
    <m/>
    <m/>
    <n v="0"/>
    <n v="0"/>
    <n v="0"/>
    <n v="0"/>
  </r>
  <r>
    <x v="1"/>
    <x v="2"/>
    <s v="both"/>
    <s v="both"/>
    <x v="2"/>
    <n v="4881"/>
    <m/>
    <m/>
    <m/>
    <m/>
    <n v="0"/>
    <n v="578.3369681689253"/>
    <n v="4220.8990230066183"/>
    <n v="81.76400882445634"/>
  </r>
  <r>
    <x v="3"/>
    <x v="2"/>
    <s v="both"/>
    <s v="both"/>
    <x v="2"/>
    <n v="4881"/>
    <m/>
    <m/>
    <m/>
    <m/>
    <n v="0"/>
    <n v="578.3369681689253"/>
    <n v="4220.8990230066183"/>
    <n v="81.76400882445634"/>
  </r>
  <r>
    <x v="0"/>
    <x v="0"/>
    <m/>
    <m/>
    <x v="0"/>
    <m/>
    <m/>
    <m/>
    <m/>
    <m/>
    <m/>
    <m/>
    <m/>
    <m/>
  </r>
  <r>
    <x v="1"/>
    <x v="3"/>
    <s v="Clipped"/>
    <s v="NA"/>
    <x v="2"/>
    <n v="0"/>
    <n v="0"/>
    <n v="0"/>
    <n v="0"/>
    <n v="0"/>
    <m/>
    <m/>
    <m/>
    <m/>
  </r>
  <r>
    <x v="1"/>
    <x v="3"/>
    <s v="Unclipped"/>
    <s v="Petersen Tagged"/>
    <x v="2"/>
    <n v="3"/>
    <m/>
    <m/>
    <m/>
    <m/>
    <n v="3"/>
    <n v="0"/>
    <n v="0"/>
    <n v="0"/>
  </r>
  <r>
    <x v="1"/>
    <x v="3"/>
    <s v="Unclipped"/>
    <s v="No Petersen Tag"/>
    <x v="2"/>
    <n v="16"/>
    <n v="1"/>
    <n v="0"/>
    <n v="0"/>
    <n v="0"/>
    <n v="16"/>
    <n v="0"/>
    <n v="0"/>
    <n v="0"/>
  </r>
  <r>
    <x v="2"/>
    <x v="3"/>
    <s v="Clipped"/>
    <s v="No Petersen Tag"/>
    <x v="2"/>
    <m/>
    <m/>
    <m/>
    <m/>
    <m/>
    <n v="0"/>
    <n v="0"/>
    <n v="0"/>
    <n v="0"/>
  </r>
  <r>
    <x v="2"/>
    <x v="3"/>
    <s v="Unclipped"/>
    <s v="No Petersen Tag"/>
    <x v="2"/>
    <m/>
    <m/>
    <m/>
    <m/>
    <m/>
    <n v="0"/>
    <n v="0"/>
    <n v="0"/>
    <n v="0"/>
  </r>
  <r>
    <x v="1"/>
    <x v="3"/>
    <s v="both"/>
    <s v="both"/>
    <x v="2"/>
    <n v="19"/>
    <m/>
    <m/>
    <m/>
    <m/>
    <n v="19"/>
    <n v="0"/>
    <n v="0"/>
    <n v="0"/>
  </r>
  <r>
    <x v="3"/>
    <x v="3"/>
    <s v="both"/>
    <s v="both"/>
    <x v="2"/>
    <n v="19"/>
    <m/>
    <m/>
    <m/>
    <m/>
    <n v="19"/>
    <n v="0"/>
    <n v="0"/>
    <n v="0"/>
  </r>
  <r>
    <x v="0"/>
    <x v="0"/>
    <m/>
    <m/>
    <x v="0"/>
    <m/>
    <m/>
    <m/>
    <m/>
    <m/>
    <m/>
    <m/>
    <m/>
    <m/>
  </r>
  <r>
    <x v="1"/>
    <x v="1"/>
    <s v="Clipped"/>
    <s v="NA"/>
    <x v="3"/>
    <n v="0"/>
    <m/>
    <m/>
    <m/>
    <m/>
    <m/>
    <m/>
    <m/>
    <m/>
  </r>
  <r>
    <x v="1"/>
    <x v="1"/>
    <s v="Unclipped"/>
    <s v="Petersen Tagged"/>
    <x v="3"/>
    <n v="274"/>
    <n v="4"/>
    <n v="21"/>
    <n v="28"/>
    <n v="1"/>
    <n v="20.296296296296294"/>
    <n v="106.55555555555556"/>
    <n v="142.07407407407408"/>
    <n v="5.0740740740740735"/>
  </r>
  <r>
    <x v="1"/>
    <x v="1"/>
    <s v="Unclipped"/>
    <s v="No Petersen Tag"/>
    <x v="3"/>
    <n v="1887"/>
    <n v="5"/>
    <n v="26"/>
    <n v="52"/>
    <n v="1"/>
    <n v="112.32142857142857"/>
    <n v="584.07142857142856"/>
    <n v="1168.1428571428571"/>
    <n v="22.464285714285712"/>
  </r>
  <r>
    <x v="2"/>
    <x v="1"/>
    <s v="Clipped"/>
    <s v="No Petersen Tag"/>
    <x v="3"/>
    <m/>
    <m/>
    <m/>
    <m/>
    <m/>
    <n v="0"/>
    <n v="0"/>
    <n v="0"/>
    <n v="0"/>
  </r>
  <r>
    <x v="2"/>
    <x v="1"/>
    <s v="Unclipped"/>
    <s v="No Petersen Tag"/>
    <x v="3"/>
    <m/>
    <m/>
    <m/>
    <m/>
    <m/>
    <n v="0"/>
    <n v="0"/>
    <n v="0"/>
    <n v="0"/>
  </r>
  <r>
    <x v="1"/>
    <x v="1"/>
    <s v="both"/>
    <s v="both"/>
    <x v="3"/>
    <n v="2161"/>
    <m/>
    <m/>
    <m/>
    <m/>
    <n v="132.61772486772486"/>
    <n v="690.6269841269841"/>
    <n v="1310.2169312169312"/>
    <n v="27.538359788359784"/>
  </r>
  <r>
    <x v="3"/>
    <x v="1"/>
    <s v="both"/>
    <s v="both"/>
    <x v="3"/>
    <n v="2161"/>
    <m/>
    <m/>
    <m/>
    <m/>
    <n v="132.61772486772486"/>
    <n v="690.6269841269841"/>
    <n v="1310.2169312169312"/>
    <n v="27.538359788359784"/>
  </r>
  <r>
    <x v="0"/>
    <x v="0"/>
    <m/>
    <m/>
    <x v="0"/>
    <m/>
    <m/>
    <m/>
    <m/>
    <m/>
    <m/>
    <m/>
    <m/>
    <m/>
  </r>
  <r>
    <x v="1"/>
    <x v="2"/>
    <s v="Clipped"/>
    <s v="NA"/>
    <x v="3"/>
    <n v="0"/>
    <m/>
    <m/>
    <m/>
    <m/>
    <m/>
    <m/>
    <m/>
    <m/>
  </r>
  <r>
    <x v="1"/>
    <x v="2"/>
    <s v="Unclipped"/>
    <s v="Petersen Tagged"/>
    <x v="3"/>
    <n v="396"/>
    <n v="0"/>
    <n v="59"/>
    <n v="89"/>
    <n v="3"/>
    <n v="0"/>
    <n v="154.72847682119206"/>
    <n v="233.40397350993379"/>
    <n v="7.8675496688741724"/>
  </r>
  <r>
    <x v="1"/>
    <x v="2"/>
    <s v="Unclipped"/>
    <s v="No Petersen Tag"/>
    <x v="3"/>
    <n v="1698"/>
    <n v="1"/>
    <n v="46"/>
    <n v="88"/>
    <n v="3"/>
    <n v="12.304347826086957"/>
    <n v="566"/>
    <n v="1082.782608695652"/>
    <n v="36.913043478260867"/>
  </r>
  <r>
    <x v="2"/>
    <x v="2"/>
    <s v="Clipped"/>
    <s v="No Petersen Tag"/>
    <x v="3"/>
    <m/>
    <m/>
    <m/>
    <m/>
    <m/>
    <n v="0"/>
    <n v="0"/>
    <n v="0"/>
    <n v="0"/>
  </r>
  <r>
    <x v="2"/>
    <x v="2"/>
    <s v="Unclipped"/>
    <s v="No Petersen Tag"/>
    <x v="3"/>
    <m/>
    <m/>
    <m/>
    <m/>
    <m/>
    <n v="0"/>
    <n v="0"/>
    <n v="0"/>
    <n v="0"/>
  </r>
  <r>
    <x v="1"/>
    <x v="2"/>
    <s v="both"/>
    <s v="both"/>
    <x v="3"/>
    <n v="2094"/>
    <m/>
    <m/>
    <m/>
    <m/>
    <n v="12.304347826086957"/>
    <n v="720.72847682119209"/>
    <n v="1316.1865822055859"/>
    <n v="44.780593147135036"/>
  </r>
  <r>
    <x v="3"/>
    <x v="2"/>
    <s v="both"/>
    <s v="both"/>
    <x v="3"/>
    <n v="2094"/>
    <m/>
    <m/>
    <m/>
    <m/>
    <n v="12.304347826086957"/>
    <n v="720.72847682119209"/>
    <n v="1316.1865822055859"/>
    <n v="44.780593147135036"/>
  </r>
  <r>
    <x v="0"/>
    <x v="0"/>
    <m/>
    <m/>
    <x v="0"/>
    <m/>
    <m/>
    <m/>
    <m/>
    <m/>
    <m/>
    <m/>
    <m/>
    <m/>
  </r>
  <r>
    <x v="1"/>
    <x v="3"/>
    <s v="Clipped"/>
    <s v="NA"/>
    <x v="3"/>
    <n v="0"/>
    <m/>
    <m/>
    <m/>
    <m/>
    <m/>
    <m/>
    <m/>
    <m/>
  </r>
  <r>
    <x v="1"/>
    <x v="3"/>
    <s v="Unclipped"/>
    <s v="Petersen Tagged"/>
    <x v="3"/>
    <n v="2"/>
    <m/>
    <m/>
    <m/>
    <m/>
    <n v="2"/>
    <n v="0"/>
    <n v="0"/>
    <n v="0"/>
  </r>
  <r>
    <x v="1"/>
    <x v="3"/>
    <s v="Unclipped"/>
    <s v="No Petersen Tag"/>
    <x v="3"/>
    <n v="30"/>
    <n v="4"/>
    <n v="0"/>
    <n v="0"/>
    <n v="0"/>
    <n v="30"/>
    <n v="0"/>
    <n v="0"/>
    <n v="0"/>
  </r>
  <r>
    <x v="2"/>
    <x v="3"/>
    <s v="Clipped"/>
    <s v="No Petersen Tag"/>
    <x v="3"/>
    <m/>
    <m/>
    <m/>
    <m/>
    <m/>
    <n v="0"/>
    <n v="0"/>
    <n v="0"/>
    <n v="0"/>
  </r>
  <r>
    <x v="2"/>
    <x v="3"/>
    <s v="Unclipped"/>
    <s v="No Petersen Tag"/>
    <x v="3"/>
    <m/>
    <m/>
    <m/>
    <m/>
    <m/>
    <n v="0"/>
    <n v="0"/>
    <n v="0"/>
    <n v="0"/>
  </r>
  <r>
    <x v="1"/>
    <x v="3"/>
    <s v="both"/>
    <s v="both"/>
    <x v="3"/>
    <n v="32"/>
    <m/>
    <m/>
    <m/>
    <m/>
    <n v="32"/>
    <n v="0"/>
    <n v="0"/>
    <n v="0"/>
  </r>
  <r>
    <x v="3"/>
    <x v="3"/>
    <s v="both"/>
    <s v="both"/>
    <x v="3"/>
    <n v="32"/>
    <m/>
    <m/>
    <m/>
    <m/>
    <n v="32"/>
    <n v="0"/>
    <n v="0"/>
    <n v="0"/>
  </r>
  <r>
    <x v="0"/>
    <x v="0"/>
    <m/>
    <m/>
    <x v="0"/>
    <m/>
    <m/>
    <m/>
    <m/>
    <m/>
    <m/>
    <m/>
    <m/>
    <m/>
  </r>
  <r>
    <x v="1"/>
    <x v="1"/>
    <s v="Clipped"/>
    <s v="NA"/>
    <x v="4"/>
    <n v="0"/>
    <m/>
    <m/>
    <m/>
    <m/>
    <m/>
    <m/>
    <m/>
    <m/>
  </r>
  <r>
    <x v="1"/>
    <x v="1"/>
    <s v="Unclipped"/>
    <s v="Petersen Tagged"/>
    <x v="4"/>
    <n v="367"/>
    <n v="16"/>
    <n v="110"/>
    <n v="28"/>
    <n v="0"/>
    <n v="38.129870129870135"/>
    <n v="262.14285714285717"/>
    <n v="66.727272727272734"/>
    <n v="0"/>
  </r>
  <r>
    <x v="1"/>
    <x v="1"/>
    <s v="Unclipped"/>
    <s v="No Petersen Tag"/>
    <x v="4"/>
    <n v="1771"/>
    <n v="16"/>
    <n v="107"/>
    <n v="43"/>
    <n v="1"/>
    <n v="169.67664670658684"/>
    <n v="1134.7125748502995"/>
    <n v="456.00598802395206"/>
    <n v="10.604790419161677"/>
  </r>
  <r>
    <x v="2"/>
    <x v="1"/>
    <s v="Clipped"/>
    <s v="No Petersen Tag"/>
    <x v="4"/>
    <m/>
    <m/>
    <m/>
    <m/>
    <m/>
    <n v="0"/>
    <n v="0"/>
    <n v="0"/>
    <n v="0"/>
  </r>
  <r>
    <x v="2"/>
    <x v="1"/>
    <s v="Unclipped"/>
    <s v="No Petersen Tag"/>
    <x v="4"/>
    <m/>
    <m/>
    <m/>
    <m/>
    <m/>
    <n v="0"/>
    <n v="0"/>
    <n v="0"/>
    <n v="0"/>
  </r>
  <r>
    <x v="1"/>
    <x v="1"/>
    <s v="both"/>
    <s v="both"/>
    <x v="4"/>
    <n v="2138"/>
    <m/>
    <m/>
    <m/>
    <m/>
    <n v="207.80651683645698"/>
    <n v="1396.8554319931566"/>
    <n v="522.73326075122475"/>
    <n v="10.604790419161677"/>
  </r>
  <r>
    <x v="3"/>
    <x v="1"/>
    <s v="both"/>
    <s v="both"/>
    <x v="4"/>
    <n v="2138"/>
    <m/>
    <m/>
    <m/>
    <m/>
    <n v="207.80651683645698"/>
    <n v="1396.8554319931566"/>
    <n v="522.73326075122475"/>
    <n v="10.604790419161677"/>
  </r>
  <r>
    <x v="0"/>
    <x v="0"/>
    <m/>
    <m/>
    <x v="0"/>
    <m/>
    <m/>
    <m/>
    <m/>
    <m/>
    <m/>
    <m/>
    <m/>
    <m/>
  </r>
  <r>
    <x v="1"/>
    <x v="2"/>
    <s v="Clipped"/>
    <s v="NA"/>
    <x v="4"/>
    <n v="0"/>
    <m/>
    <m/>
    <m/>
    <m/>
    <m/>
    <m/>
    <m/>
    <m/>
  </r>
  <r>
    <x v="1"/>
    <x v="2"/>
    <s v="Unclipped"/>
    <s v="Petersen Tagged"/>
    <x v="4"/>
    <n v="368"/>
    <n v="4"/>
    <n v="93"/>
    <n v="93"/>
    <n v="2"/>
    <n v="7.6666666666666661"/>
    <n v="178.25"/>
    <n v="178.25"/>
    <n v="3.833333333333333"/>
  </r>
  <r>
    <x v="1"/>
    <x v="2"/>
    <s v="Unclipped"/>
    <s v="No Petersen Tag"/>
    <x v="4"/>
    <n v="1725"/>
    <n v="1"/>
    <n v="141"/>
    <n v="122"/>
    <n v="4"/>
    <n v="6.4365671641791042"/>
    <n v="907.55597014925377"/>
    <n v="785.26119402985069"/>
    <n v="25.746268656716417"/>
  </r>
  <r>
    <x v="2"/>
    <x v="2"/>
    <s v="Clipped"/>
    <s v="No Petersen Tag"/>
    <x v="4"/>
    <m/>
    <m/>
    <m/>
    <m/>
    <m/>
    <n v="0"/>
    <n v="0"/>
    <n v="0"/>
    <n v="0"/>
  </r>
  <r>
    <x v="2"/>
    <x v="2"/>
    <s v="Unclipped"/>
    <s v="No Petersen Tag"/>
    <x v="4"/>
    <m/>
    <m/>
    <m/>
    <m/>
    <m/>
    <n v="0"/>
    <n v="0"/>
    <n v="0"/>
    <n v="0"/>
  </r>
  <r>
    <x v="1"/>
    <x v="2"/>
    <s v="both"/>
    <s v="both"/>
    <x v="4"/>
    <n v="2093"/>
    <m/>
    <m/>
    <m/>
    <m/>
    <n v="14.10323383084577"/>
    <n v="1085.8059701492539"/>
    <n v="963.51119402985069"/>
    <n v="29.579601990049749"/>
  </r>
  <r>
    <x v="3"/>
    <x v="2"/>
    <s v="both"/>
    <s v="both"/>
    <x v="4"/>
    <n v="2093"/>
    <m/>
    <m/>
    <m/>
    <m/>
    <n v="14.10323383084577"/>
    <n v="1085.8059701492539"/>
    <n v="963.51119402985069"/>
    <n v="29.579601990049749"/>
  </r>
  <r>
    <x v="0"/>
    <x v="0"/>
    <m/>
    <m/>
    <x v="0"/>
    <m/>
    <m/>
    <m/>
    <m/>
    <m/>
    <m/>
    <m/>
    <m/>
    <m/>
  </r>
  <r>
    <x v="1"/>
    <x v="3"/>
    <s v="Clipped"/>
    <s v="NA"/>
    <x v="4"/>
    <n v="0"/>
    <n v="0"/>
    <n v="0"/>
    <n v="0"/>
    <n v="0"/>
    <m/>
    <m/>
    <m/>
    <m/>
  </r>
  <r>
    <x v="1"/>
    <x v="3"/>
    <s v="Unclipped"/>
    <s v="Petersen Tagged"/>
    <x v="4"/>
    <n v="21"/>
    <n v="3"/>
    <n v="0"/>
    <n v="0"/>
    <n v="0"/>
    <n v="21"/>
    <n v="0"/>
    <n v="0"/>
    <n v="0"/>
  </r>
  <r>
    <x v="1"/>
    <x v="3"/>
    <s v="Unclipped"/>
    <s v="No Petersen Tag"/>
    <x v="4"/>
    <n v="171"/>
    <n v="36"/>
    <n v="3"/>
    <n v="0"/>
    <n v="0"/>
    <n v="157.84615384615387"/>
    <n v="13.153846153846155"/>
    <n v="0"/>
    <n v="0"/>
  </r>
  <r>
    <x v="2"/>
    <x v="3"/>
    <s v="Clipped"/>
    <s v="No Petersen Tag"/>
    <x v="4"/>
    <m/>
    <m/>
    <m/>
    <m/>
    <m/>
    <n v="0"/>
    <n v="0"/>
    <n v="0"/>
    <n v="0"/>
  </r>
  <r>
    <x v="2"/>
    <x v="3"/>
    <s v="Unclipped"/>
    <s v="No Petersen Tag"/>
    <x v="4"/>
    <m/>
    <m/>
    <m/>
    <m/>
    <m/>
    <n v="0"/>
    <n v="0"/>
    <n v="0"/>
    <n v="0"/>
  </r>
  <r>
    <x v="1"/>
    <x v="3"/>
    <s v="both"/>
    <s v="both"/>
    <x v="4"/>
    <n v="192"/>
    <m/>
    <m/>
    <m/>
    <m/>
    <n v="178.84615384615387"/>
    <n v="13.153846153846155"/>
    <n v="0"/>
    <n v="0"/>
  </r>
  <r>
    <x v="3"/>
    <x v="3"/>
    <s v="both"/>
    <s v="both"/>
    <x v="4"/>
    <n v="192"/>
    <m/>
    <m/>
    <m/>
    <m/>
    <n v="178.84615384615387"/>
    <n v="13.153846153846155"/>
    <n v="0"/>
    <n v="0"/>
  </r>
  <r>
    <x v="0"/>
    <x v="0"/>
    <m/>
    <m/>
    <x v="0"/>
    <m/>
    <m/>
    <m/>
    <m/>
    <m/>
    <m/>
    <m/>
    <m/>
    <m/>
  </r>
  <r>
    <x v="1"/>
    <x v="1"/>
    <s v="Clipped"/>
    <s v="NA"/>
    <x v="5"/>
    <n v="0"/>
    <m/>
    <m/>
    <m/>
    <m/>
    <m/>
    <m/>
    <m/>
    <m/>
  </r>
  <r>
    <x v="1"/>
    <x v="1"/>
    <s v="Unclipped"/>
    <s v="Petersen Tagged"/>
    <x v="5"/>
    <n v="824"/>
    <n v="1"/>
    <n v="49"/>
    <n v="25"/>
    <n v="1"/>
    <n v="10.842105263157894"/>
    <n v="531.26315789473688"/>
    <n v="271.0526315789474"/>
    <n v="10.842105263157894"/>
  </r>
  <r>
    <x v="1"/>
    <x v="1"/>
    <s v="Unclipped"/>
    <s v="No Petersen Tag"/>
    <x v="5"/>
    <n v="6306"/>
    <n v="0"/>
    <n v="39"/>
    <n v="37"/>
    <n v="1"/>
    <n v="0"/>
    <n v="3193.9480519480517"/>
    <n v="3030.1558441558441"/>
    <n v="81.896103896103895"/>
  </r>
  <r>
    <x v="2"/>
    <x v="1"/>
    <s v="Clipped"/>
    <s v="No Petersen Tag"/>
    <x v="5"/>
    <n v="0"/>
    <m/>
    <m/>
    <m/>
    <m/>
    <n v="0"/>
    <n v="0"/>
    <n v="0"/>
    <n v="0"/>
  </r>
  <r>
    <x v="2"/>
    <x v="1"/>
    <s v="Unclipped"/>
    <s v="No Petersen Tag"/>
    <x v="5"/>
    <n v="51"/>
    <m/>
    <m/>
    <m/>
    <m/>
    <n v="0"/>
    <n v="25.831168831168828"/>
    <n v="24.506493506493506"/>
    <n v="0.66233766233766234"/>
  </r>
  <r>
    <x v="1"/>
    <x v="1"/>
    <s v="both"/>
    <s v="both"/>
    <x v="5"/>
    <n v="7130"/>
    <m/>
    <m/>
    <m/>
    <m/>
    <n v="10.842105263157894"/>
    <n v="3725.2112098427888"/>
    <n v="3301.2084757347916"/>
    <n v="92.738209159261785"/>
  </r>
  <r>
    <x v="3"/>
    <x v="1"/>
    <s v="both"/>
    <s v="both"/>
    <x v="5"/>
    <n v="7181"/>
    <m/>
    <m/>
    <m/>
    <m/>
    <n v="10.842105263157894"/>
    <n v="3751.0423786739575"/>
    <n v="3325.714969241285"/>
    <n v="93.400546821599448"/>
  </r>
  <r>
    <x v="0"/>
    <x v="0"/>
    <m/>
    <m/>
    <x v="0"/>
    <m/>
    <m/>
    <m/>
    <m/>
    <m/>
    <m/>
    <m/>
    <m/>
    <m/>
  </r>
  <r>
    <x v="1"/>
    <x v="2"/>
    <s v="Clipped"/>
    <s v="NA"/>
    <x v="5"/>
    <n v="0"/>
    <m/>
    <m/>
    <m/>
    <m/>
    <m/>
    <m/>
    <m/>
    <m/>
  </r>
  <r>
    <x v="1"/>
    <x v="2"/>
    <s v="Unclipped"/>
    <s v="Petersen Tagged"/>
    <x v="5"/>
    <n v="793"/>
    <n v="0"/>
    <n v="51"/>
    <n v="79"/>
    <n v="0"/>
    <n v="0"/>
    <n v="311.10000000000002"/>
    <n v="481.9"/>
    <n v="0"/>
  </r>
  <r>
    <x v="1"/>
    <x v="2"/>
    <s v="Unclipped"/>
    <s v="No Petersen Tag"/>
    <x v="5"/>
    <n v="5323"/>
    <n v="0"/>
    <n v="48"/>
    <n v="98"/>
    <n v="1"/>
    <n v="0"/>
    <n v="1738.1224489795918"/>
    <n v="3548.6666666666665"/>
    <n v="36.210884353741498"/>
  </r>
  <r>
    <x v="2"/>
    <x v="2"/>
    <s v="Clipped"/>
    <s v="No Petersen Tag"/>
    <x v="5"/>
    <n v="0"/>
    <m/>
    <m/>
    <m/>
    <m/>
    <n v="0"/>
    <n v="0"/>
    <n v="0"/>
    <n v="0"/>
  </r>
  <r>
    <x v="2"/>
    <x v="2"/>
    <s v="Unclipped"/>
    <s v="No Petersen Tag"/>
    <x v="5"/>
    <n v="49"/>
    <m/>
    <m/>
    <m/>
    <m/>
    <n v="0"/>
    <n v="15.999999999999998"/>
    <n v="32.666666666666664"/>
    <n v="0.33333333333333331"/>
  </r>
  <r>
    <x v="1"/>
    <x v="2"/>
    <s v="both"/>
    <s v="both"/>
    <x v="5"/>
    <n v="6116"/>
    <m/>
    <m/>
    <m/>
    <m/>
    <n v="0"/>
    <n v="2049.2224489795917"/>
    <n v="4030.5666666666666"/>
    <n v="36.210884353741498"/>
  </r>
  <r>
    <x v="3"/>
    <x v="2"/>
    <s v="both"/>
    <s v="both"/>
    <x v="5"/>
    <n v="6165"/>
    <m/>
    <m/>
    <m/>
    <m/>
    <n v="0"/>
    <n v="2065.2224489795917"/>
    <n v="4063.2333333333331"/>
    <n v="36.544217687074834"/>
  </r>
  <r>
    <x v="0"/>
    <x v="0"/>
    <m/>
    <m/>
    <x v="0"/>
    <m/>
    <m/>
    <m/>
    <m/>
    <m/>
    <m/>
    <m/>
    <m/>
    <m/>
  </r>
  <r>
    <x v="1"/>
    <x v="3"/>
    <s v="Clipped"/>
    <s v="NA"/>
    <x v="5"/>
    <n v="0"/>
    <m/>
    <m/>
    <m/>
    <m/>
    <m/>
    <m/>
    <m/>
    <m/>
  </r>
  <r>
    <x v="1"/>
    <x v="3"/>
    <s v="Unclipped"/>
    <s v="Petersen Tagged"/>
    <x v="5"/>
    <n v="2"/>
    <m/>
    <m/>
    <m/>
    <m/>
    <n v="2"/>
    <n v="0"/>
    <n v="0"/>
    <n v="0"/>
  </r>
  <r>
    <x v="1"/>
    <x v="3"/>
    <s v="Unclipped"/>
    <s v="No Petersen Tag"/>
    <x v="5"/>
    <n v="18"/>
    <n v="1"/>
    <n v="0"/>
    <n v="0"/>
    <n v="0"/>
    <n v="18"/>
    <n v="0"/>
    <n v="0"/>
    <n v="0"/>
  </r>
  <r>
    <x v="2"/>
    <x v="3"/>
    <s v="Clipped"/>
    <s v="No Petersen Tag"/>
    <x v="5"/>
    <m/>
    <m/>
    <m/>
    <m/>
    <m/>
    <n v="0"/>
    <n v="0"/>
    <n v="0"/>
    <n v="0"/>
  </r>
  <r>
    <x v="2"/>
    <x v="3"/>
    <s v="Unclipped"/>
    <s v="No Petersen Tag"/>
    <x v="5"/>
    <m/>
    <m/>
    <m/>
    <m/>
    <m/>
    <n v="0"/>
    <n v="0"/>
    <n v="0"/>
    <n v="0"/>
  </r>
  <r>
    <x v="1"/>
    <x v="3"/>
    <s v="both"/>
    <s v="both"/>
    <x v="5"/>
    <n v="20"/>
    <m/>
    <m/>
    <m/>
    <m/>
    <n v="20"/>
    <n v="0"/>
    <n v="0"/>
    <n v="0"/>
  </r>
  <r>
    <x v="3"/>
    <x v="3"/>
    <s v="both"/>
    <s v="both"/>
    <x v="5"/>
    <n v="20"/>
    <m/>
    <m/>
    <m/>
    <m/>
    <n v="20"/>
    <n v="0"/>
    <n v="0"/>
    <n v="0"/>
  </r>
  <r>
    <x v="0"/>
    <x v="0"/>
    <m/>
    <m/>
    <x v="0"/>
    <m/>
    <m/>
    <m/>
    <m/>
    <m/>
    <m/>
    <m/>
    <m/>
    <m/>
  </r>
  <r>
    <x v="4"/>
    <x v="0"/>
    <m/>
    <m/>
    <x v="0"/>
    <m/>
    <m/>
    <m/>
    <m/>
    <m/>
    <m/>
    <m/>
    <m/>
    <m/>
  </r>
  <r>
    <x v="1"/>
    <x v="1"/>
    <s v="Clipped"/>
    <s v="NA"/>
    <x v="6"/>
    <n v="0"/>
    <m/>
    <m/>
    <m/>
    <m/>
    <m/>
    <m/>
    <m/>
    <m/>
  </r>
  <r>
    <x v="1"/>
    <x v="1"/>
    <s v="Unclipped"/>
    <s v="Petersen Tagged"/>
    <x v="6"/>
    <n v="583"/>
    <n v="1"/>
    <n v="42"/>
    <n v="50"/>
    <n v="2"/>
    <n v="6.1368421052631579"/>
    <n v="257.74736842105261"/>
    <n v="306.84210526315786"/>
    <n v="12.273684210526316"/>
  </r>
  <r>
    <x v="1"/>
    <x v="1"/>
    <s v="Unclipped"/>
    <s v="No Petersen Tag"/>
    <x v="6"/>
    <n v="4276"/>
    <n v="0"/>
    <n v="34"/>
    <n v="63"/>
    <n v="1"/>
    <n v="0"/>
    <n v="1483.5102040816325"/>
    <n v="2748.8571428571431"/>
    <n v="43.632653061224488"/>
  </r>
  <r>
    <x v="2"/>
    <x v="1"/>
    <s v="Clipped"/>
    <s v="No Petersen Tag"/>
    <x v="6"/>
    <n v="0"/>
    <m/>
    <m/>
    <m/>
    <m/>
    <n v="0"/>
    <n v="0"/>
    <n v="0"/>
    <n v="0"/>
  </r>
  <r>
    <x v="2"/>
    <x v="1"/>
    <s v="Unclipped"/>
    <s v="No Petersen Tag"/>
    <x v="6"/>
    <n v="32"/>
    <m/>
    <m/>
    <m/>
    <m/>
    <n v="0"/>
    <n v="11.102040816326531"/>
    <n v="20.571428571428573"/>
    <n v="0.32653061224489793"/>
  </r>
  <r>
    <x v="1"/>
    <x v="1"/>
    <s v="both"/>
    <s v="both"/>
    <x v="6"/>
    <n v="4859"/>
    <m/>
    <m/>
    <m/>
    <m/>
    <n v="6.1368421052631579"/>
    <n v="1741.2575725026852"/>
    <n v="3055.699248120301"/>
    <n v="55.9063372717508"/>
  </r>
  <r>
    <x v="3"/>
    <x v="1"/>
    <s v="both"/>
    <s v="both"/>
    <x v="6"/>
    <n v="4891"/>
    <m/>
    <m/>
    <m/>
    <m/>
    <n v="6.1368421052631579"/>
    <n v="1752.3596133190117"/>
    <n v="3076.2706766917295"/>
    <n v="56.232867883995695"/>
  </r>
  <r>
    <x v="0"/>
    <x v="0"/>
    <m/>
    <m/>
    <x v="0"/>
    <m/>
    <m/>
    <m/>
    <m/>
    <m/>
    <m/>
    <m/>
    <m/>
    <m/>
  </r>
  <r>
    <x v="1"/>
    <x v="2"/>
    <s v="Clipped"/>
    <s v="NA"/>
    <x v="6"/>
    <n v="0"/>
    <m/>
    <m/>
    <m/>
    <m/>
    <m/>
    <m/>
    <m/>
    <m/>
  </r>
  <r>
    <x v="1"/>
    <x v="2"/>
    <s v="Unclipped"/>
    <s v="Petersen Tagged"/>
    <x v="6"/>
    <n v="817"/>
    <n v="0"/>
    <n v="64"/>
    <n v="152"/>
    <n v="1"/>
    <n v="0"/>
    <n v="240.95852534562212"/>
    <n v="572.27649769585253"/>
    <n v="3.7649769585253456"/>
  </r>
  <r>
    <x v="1"/>
    <x v="2"/>
    <s v="Unclipped"/>
    <s v="No Petersen Tag"/>
    <x v="6"/>
    <n v="5245"/>
    <n v="0"/>
    <n v="36"/>
    <n v="103"/>
    <n v="1"/>
    <n v="0"/>
    <n v="1348.7142857142856"/>
    <n v="3858.8214285714289"/>
    <n v="37.464285714285715"/>
  </r>
  <r>
    <x v="2"/>
    <x v="2"/>
    <s v="Clipped"/>
    <s v="No Petersen Tag"/>
    <x v="6"/>
    <n v="0"/>
    <m/>
    <m/>
    <m/>
    <m/>
    <n v="0"/>
    <n v="0"/>
    <n v="0"/>
    <n v="0"/>
  </r>
  <r>
    <x v="2"/>
    <x v="2"/>
    <s v="Unclipped"/>
    <s v="No Petersen Tag"/>
    <x v="6"/>
    <n v="32"/>
    <m/>
    <m/>
    <m/>
    <m/>
    <n v="0"/>
    <n v="8.2285714285714278"/>
    <n v="23.542857142857144"/>
    <n v="0.22857142857142856"/>
  </r>
  <r>
    <x v="1"/>
    <x v="2"/>
    <s v="both"/>
    <s v="both"/>
    <x v="6"/>
    <n v="6062"/>
    <m/>
    <m/>
    <m/>
    <m/>
    <n v="0"/>
    <n v="1589.6728110599076"/>
    <n v="4431.0979262672818"/>
    <n v="41.22926267281106"/>
  </r>
  <r>
    <x v="3"/>
    <x v="2"/>
    <s v="both"/>
    <s v="both"/>
    <x v="6"/>
    <n v="6094"/>
    <m/>
    <m/>
    <m/>
    <m/>
    <n v="0"/>
    <n v="1597.9013824884792"/>
    <n v="4454.6407834101392"/>
    <n v="41.457834101382488"/>
  </r>
  <r>
    <x v="0"/>
    <x v="0"/>
    <m/>
    <m/>
    <x v="0"/>
    <m/>
    <m/>
    <m/>
    <m/>
    <m/>
    <m/>
    <m/>
    <m/>
    <m/>
  </r>
  <r>
    <x v="1"/>
    <x v="3"/>
    <s v="Clipped"/>
    <s v="NA"/>
    <x v="6"/>
    <n v="0"/>
    <m/>
    <m/>
    <m/>
    <m/>
    <m/>
    <m/>
    <m/>
    <m/>
  </r>
  <r>
    <x v="1"/>
    <x v="3"/>
    <s v="Unclipped"/>
    <s v="Petersen Tagged"/>
    <x v="6"/>
    <n v="2"/>
    <m/>
    <m/>
    <m/>
    <m/>
    <n v="2"/>
    <n v="0"/>
    <n v="0"/>
    <n v="0"/>
  </r>
  <r>
    <x v="1"/>
    <x v="3"/>
    <s v="Unclipped"/>
    <s v="No Petersen Tag"/>
    <x v="6"/>
    <n v="11"/>
    <n v="1"/>
    <n v="0"/>
    <n v="0"/>
    <n v="0"/>
    <n v="11"/>
    <n v="0"/>
    <n v="0"/>
    <n v="0"/>
  </r>
  <r>
    <x v="2"/>
    <x v="3"/>
    <s v="Clipped"/>
    <s v="No Petersen Tag"/>
    <x v="6"/>
    <m/>
    <m/>
    <m/>
    <m/>
    <m/>
    <n v="0"/>
    <n v="0"/>
    <n v="0"/>
    <n v="0"/>
  </r>
  <r>
    <x v="2"/>
    <x v="3"/>
    <s v="Unclipped"/>
    <s v="No Petersen Tag"/>
    <x v="6"/>
    <m/>
    <m/>
    <m/>
    <m/>
    <m/>
    <n v="0"/>
    <n v="0"/>
    <n v="0"/>
    <n v="0"/>
  </r>
  <r>
    <x v="1"/>
    <x v="3"/>
    <s v="both"/>
    <s v="both"/>
    <x v="6"/>
    <n v="13"/>
    <m/>
    <m/>
    <m/>
    <m/>
    <n v="13"/>
    <n v="0"/>
    <n v="0"/>
    <n v="0"/>
  </r>
  <r>
    <x v="3"/>
    <x v="3"/>
    <s v="both"/>
    <s v="both"/>
    <x v="6"/>
    <n v="13"/>
    <m/>
    <m/>
    <m/>
    <m/>
    <n v="13"/>
    <n v="0"/>
    <n v="0"/>
    <n v="0"/>
  </r>
  <r>
    <x v="0"/>
    <x v="0"/>
    <m/>
    <m/>
    <x v="0"/>
    <m/>
    <m/>
    <m/>
    <m/>
    <m/>
    <m/>
    <m/>
    <m/>
    <m/>
  </r>
  <r>
    <x v="5"/>
    <x v="0"/>
    <m/>
    <m/>
    <x v="0"/>
    <m/>
    <m/>
    <m/>
    <m/>
    <m/>
    <m/>
    <m/>
    <m/>
    <m/>
  </r>
  <r>
    <x v="1"/>
    <x v="1"/>
    <s v="Clipped"/>
    <s v="NA"/>
    <x v="7"/>
    <n v="0"/>
    <m/>
    <m/>
    <m/>
    <m/>
    <m/>
    <m/>
    <m/>
    <m/>
  </r>
  <r>
    <x v="1"/>
    <x v="1"/>
    <s v="Unclipped"/>
    <s v="Petersen Tagged"/>
    <x v="7"/>
    <n v="284"/>
    <n v="0"/>
    <n v="4"/>
    <n v="6"/>
    <n v="2"/>
    <n v="0"/>
    <n v="94.666666666666657"/>
    <n v="142"/>
    <n v="47.333333333333329"/>
  </r>
  <r>
    <x v="1"/>
    <x v="1"/>
    <s v="Unclipped"/>
    <s v="No Petersen Tag"/>
    <x v="7"/>
    <n v="1908"/>
    <n v="0"/>
    <n v="17"/>
    <n v="25"/>
    <n v="3"/>
    <n v="0"/>
    <n v="720.8"/>
    <n v="1060"/>
    <n v="127.2"/>
  </r>
  <r>
    <x v="2"/>
    <x v="1"/>
    <s v="Clipped"/>
    <s v="No Petersen Tag"/>
    <x v="7"/>
    <n v="0"/>
    <m/>
    <m/>
    <m/>
    <m/>
    <n v="0"/>
    <n v="0"/>
    <n v="0"/>
    <n v="0"/>
  </r>
  <r>
    <x v="2"/>
    <x v="1"/>
    <s v="Unclipped"/>
    <s v="No Petersen Tag"/>
    <x v="7"/>
    <n v="25"/>
    <m/>
    <m/>
    <m/>
    <m/>
    <n v="0"/>
    <n v="9.4444444444444446"/>
    <n v="13.888888888888889"/>
    <n v="1.6666666666666667"/>
  </r>
  <r>
    <x v="1"/>
    <x v="1"/>
    <s v="both"/>
    <s v="both"/>
    <x v="7"/>
    <n v="2192"/>
    <m/>
    <m/>
    <m/>
    <m/>
    <n v="0"/>
    <n v="815.46666666666658"/>
    <n v="1202"/>
    <n v="174.53333333333333"/>
  </r>
  <r>
    <x v="3"/>
    <x v="1"/>
    <s v="both"/>
    <s v="both"/>
    <x v="7"/>
    <n v="2217"/>
    <m/>
    <m/>
    <m/>
    <m/>
    <n v="0"/>
    <n v="824.91111111111104"/>
    <n v="1215.8888888888889"/>
    <n v="176.2"/>
  </r>
  <r>
    <x v="0"/>
    <x v="0"/>
    <m/>
    <m/>
    <x v="0"/>
    <m/>
    <m/>
    <m/>
    <m/>
    <m/>
    <m/>
    <m/>
    <m/>
    <m/>
  </r>
  <r>
    <x v="1"/>
    <x v="2"/>
    <s v="Clipped"/>
    <s v="NA"/>
    <x v="7"/>
    <n v="0"/>
    <m/>
    <m/>
    <m/>
    <m/>
    <m/>
    <m/>
    <m/>
    <m/>
  </r>
  <r>
    <x v="1"/>
    <x v="2"/>
    <s v="Unclipped"/>
    <s v="Petersen Tagged"/>
    <x v="7"/>
    <n v="244"/>
    <n v="0"/>
    <n v="11"/>
    <n v="18"/>
    <n v="3"/>
    <n v="0"/>
    <n v="83.875"/>
    <n v="137.25"/>
    <n v="22.875"/>
  </r>
  <r>
    <x v="1"/>
    <x v="2"/>
    <s v="Unclipped"/>
    <s v="No Petersen Tag"/>
    <x v="7"/>
    <n v="1687"/>
    <n v="0"/>
    <n v="25"/>
    <n v="92"/>
    <n v="8"/>
    <n v="0"/>
    <n v="337.40000000000003"/>
    <n v="1241.6320000000001"/>
    <n v="107.968"/>
  </r>
  <r>
    <x v="2"/>
    <x v="2"/>
    <s v="Clipped"/>
    <s v="No Petersen Tag"/>
    <x v="7"/>
    <n v="0"/>
    <m/>
    <m/>
    <m/>
    <m/>
    <n v="0"/>
    <n v="0"/>
    <n v="0"/>
    <n v="0"/>
  </r>
  <r>
    <x v="2"/>
    <x v="2"/>
    <s v="Unclipped"/>
    <s v="No Petersen Tag"/>
    <x v="7"/>
    <n v="26"/>
    <m/>
    <m/>
    <m/>
    <m/>
    <n v="0"/>
    <n v="5.2"/>
    <n v="19.135999999999999"/>
    <n v="1.6640000000000001"/>
  </r>
  <r>
    <x v="1"/>
    <x v="2"/>
    <s v="both"/>
    <s v="both"/>
    <x v="7"/>
    <n v="1931"/>
    <m/>
    <m/>
    <m/>
    <m/>
    <n v="0"/>
    <n v="421.27500000000003"/>
    <n v="1378.8820000000001"/>
    <n v="130.84300000000002"/>
  </r>
  <r>
    <x v="3"/>
    <x v="2"/>
    <s v="both"/>
    <s v="both"/>
    <x v="7"/>
    <n v="1957"/>
    <m/>
    <m/>
    <m/>
    <m/>
    <n v="0"/>
    <n v="426.47500000000002"/>
    <n v="1398.018"/>
    <n v="132.50700000000001"/>
  </r>
  <r>
    <x v="0"/>
    <x v="0"/>
    <m/>
    <m/>
    <x v="0"/>
    <m/>
    <m/>
    <m/>
    <m/>
    <m/>
    <m/>
    <m/>
    <m/>
    <m/>
  </r>
  <r>
    <x v="1"/>
    <x v="3"/>
    <s v="Clipped"/>
    <s v="NA"/>
    <x v="7"/>
    <n v="0"/>
    <m/>
    <m/>
    <m/>
    <m/>
    <m/>
    <m/>
    <m/>
    <m/>
  </r>
  <r>
    <x v="1"/>
    <x v="3"/>
    <s v="Unclipped"/>
    <s v="Petersen Tagged"/>
    <x v="7"/>
    <n v="4"/>
    <m/>
    <m/>
    <m/>
    <m/>
    <n v="4"/>
    <n v="0"/>
    <n v="0"/>
    <n v="0"/>
  </r>
  <r>
    <x v="1"/>
    <x v="3"/>
    <s v="Unclipped"/>
    <s v="No Petersen Tag"/>
    <x v="7"/>
    <n v="105"/>
    <n v="1"/>
    <n v="0"/>
    <n v="0"/>
    <n v="0"/>
    <n v="105"/>
    <n v="0"/>
    <n v="0"/>
    <n v="0"/>
  </r>
  <r>
    <x v="2"/>
    <x v="3"/>
    <s v="Clipped"/>
    <s v="No Petersen Tag"/>
    <x v="7"/>
    <m/>
    <m/>
    <m/>
    <m/>
    <m/>
    <n v="0"/>
    <n v="0"/>
    <n v="0"/>
    <n v="0"/>
  </r>
  <r>
    <x v="2"/>
    <x v="3"/>
    <s v="Unclipped"/>
    <s v="No Petersen Tag"/>
    <x v="7"/>
    <m/>
    <m/>
    <m/>
    <m/>
    <m/>
    <n v="0"/>
    <n v="0"/>
    <n v="0"/>
    <n v="0"/>
  </r>
  <r>
    <x v="1"/>
    <x v="3"/>
    <s v="both"/>
    <s v="both"/>
    <x v="7"/>
    <n v="109"/>
    <m/>
    <m/>
    <m/>
    <m/>
    <n v="109"/>
    <n v="0"/>
    <n v="0"/>
    <n v="0"/>
  </r>
  <r>
    <x v="3"/>
    <x v="3"/>
    <s v="both"/>
    <s v="both"/>
    <x v="7"/>
    <n v="109"/>
    <m/>
    <m/>
    <m/>
    <m/>
    <n v="109"/>
    <n v="0"/>
    <n v="0"/>
    <n v="0"/>
  </r>
  <r>
    <x v="0"/>
    <x v="0"/>
    <m/>
    <m/>
    <x v="0"/>
    <m/>
    <m/>
    <m/>
    <m/>
    <m/>
    <m/>
    <m/>
    <m/>
    <m/>
  </r>
  <r>
    <x v="6"/>
    <x v="0"/>
    <m/>
    <m/>
    <x v="0"/>
    <m/>
    <s v="First Year when Age 3 CWT may be available."/>
    <m/>
    <m/>
    <m/>
    <m/>
    <m/>
    <m/>
    <m/>
  </r>
  <r>
    <x v="1"/>
    <x v="1"/>
    <s v="Clipped"/>
    <s v="NA"/>
    <x v="8"/>
    <n v="2"/>
    <n v="1"/>
    <n v="0"/>
    <n v="0"/>
    <n v="0"/>
    <n v="2"/>
    <n v="0"/>
    <n v="0"/>
    <n v="0"/>
  </r>
  <r>
    <x v="1"/>
    <x v="1"/>
    <s v="Unclipped"/>
    <s v="Petersen Tagged"/>
    <x v="8"/>
    <n v="278"/>
    <n v="0"/>
    <n v="49"/>
    <n v="25"/>
    <n v="1"/>
    <n v="0"/>
    <n v="181.62666666666667"/>
    <n v="92.666666666666657"/>
    <n v="3.706666666666667"/>
  </r>
  <r>
    <x v="1"/>
    <x v="1"/>
    <s v="Unclipped"/>
    <s v="No Petersen Tag"/>
    <x v="8"/>
    <n v="1788"/>
    <n v="0"/>
    <n v="97"/>
    <n v="75"/>
    <n v="11"/>
    <n v="0"/>
    <n v="947.73770491803282"/>
    <n v="732.78688524590166"/>
    <n v="107.47540983606557"/>
  </r>
  <r>
    <x v="2"/>
    <x v="1"/>
    <s v="Clipped"/>
    <s v="No Petersen Tag"/>
    <x v="8"/>
    <n v="1"/>
    <n v="1"/>
    <m/>
    <m/>
    <m/>
    <n v="1"/>
    <n v="0"/>
    <n v="0"/>
    <n v="0"/>
  </r>
  <r>
    <x v="2"/>
    <x v="1"/>
    <s v="Unclipped"/>
    <s v="No Petersen Tag"/>
    <x v="8"/>
    <n v="44"/>
    <m/>
    <m/>
    <m/>
    <m/>
    <n v="0"/>
    <n v="23.3224043715847"/>
    <n v="18.032786885245901"/>
    <n v="2.6448087431693987"/>
  </r>
  <r>
    <x v="1"/>
    <x v="1"/>
    <s v="both"/>
    <s v="both"/>
    <x v="8"/>
    <n v="2068"/>
    <m/>
    <m/>
    <m/>
    <m/>
    <n v="2"/>
    <n v="1129.3643715846995"/>
    <n v="825.45355191256829"/>
    <n v="111.18207650273223"/>
  </r>
  <r>
    <x v="3"/>
    <x v="1"/>
    <s v="both"/>
    <s v="both"/>
    <x v="8"/>
    <n v="2113"/>
    <m/>
    <m/>
    <m/>
    <m/>
    <n v="3"/>
    <n v="1152.6867759562842"/>
    <n v="843.48633879781414"/>
    <n v="113.82688524590162"/>
  </r>
  <r>
    <x v="0"/>
    <x v="0"/>
    <m/>
    <m/>
    <x v="0"/>
    <m/>
    <m/>
    <m/>
    <m/>
    <m/>
    <m/>
    <m/>
    <m/>
    <m/>
  </r>
  <r>
    <x v="1"/>
    <x v="2"/>
    <s v="Clipped"/>
    <s v="NA"/>
    <x v="8"/>
    <n v="5"/>
    <n v="3"/>
    <n v="0"/>
    <n v="0"/>
    <n v="0"/>
    <n v="5"/>
    <n v="0"/>
    <n v="0"/>
    <n v="0"/>
  </r>
  <r>
    <x v="1"/>
    <x v="2"/>
    <s v="Unclipped"/>
    <s v="Petersen Tagged"/>
    <x v="8"/>
    <n v="193"/>
    <n v="0"/>
    <n v="30"/>
    <n v="47"/>
    <n v="5"/>
    <n v="0"/>
    <n v="70.609756097560975"/>
    <n v="110.62195121951218"/>
    <n v="11.768292682926829"/>
  </r>
  <r>
    <x v="1"/>
    <x v="2"/>
    <s v="Unclipped"/>
    <s v="No Petersen Tag"/>
    <x v="8"/>
    <n v="1326"/>
    <n v="0"/>
    <n v="45"/>
    <n v="144"/>
    <n v="11"/>
    <n v="0"/>
    <n v="298.35000000000002"/>
    <n v="954.71999999999991"/>
    <n v="72.930000000000007"/>
  </r>
  <r>
    <x v="2"/>
    <x v="2"/>
    <s v="Clipped"/>
    <s v="No Petersen Tag"/>
    <x v="8"/>
    <n v="0"/>
    <m/>
    <m/>
    <m/>
    <m/>
    <n v="0"/>
    <n v="0"/>
    <n v="0"/>
    <n v="0"/>
  </r>
  <r>
    <x v="2"/>
    <x v="2"/>
    <s v="Unclipped"/>
    <s v="No Petersen Tag"/>
    <x v="8"/>
    <n v="44"/>
    <m/>
    <m/>
    <m/>
    <m/>
    <n v="0"/>
    <n v="9.9"/>
    <n v="31.68"/>
    <n v="2.42"/>
  </r>
  <r>
    <x v="1"/>
    <x v="2"/>
    <s v="both"/>
    <s v="both"/>
    <x v="8"/>
    <n v="1524"/>
    <m/>
    <m/>
    <m/>
    <m/>
    <n v="5"/>
    <n v="368.95975609756101"/>
    <n v="1065.3419512195121"/>
    <n v="84.698292682926834"/>
  </r>
  <r>
    <x v="3"/>
    <x v="2"/>
    <s v="both"/>
    <s v="both"/>
    <x v="8"/>
    <n v="1568"/>
    <m/>
    <m/>
    <m/>
    <m/>
    <n v="5"/>
    <n v="378.85975609756099"/>
    <n v="1097.0219512195122"/>
    <n v="87.118292682926835"/>
  </r>
  <r>
    <x v="0"/>
    <x v="0"/>
    <m/>
    <m/>
    <x v="0"/>
    <m/>
    <m/>
    <m/>
    <m/>
    <m/>
    <m/>
    <m/>
    <m/>
    <m/>
  </r>
  <r>
    <x v="1"/>
    <x v="3"/>
    <s v="Clipped"/>
    <s v="NA"/>
    <x v="8"/>
    <n v="0"/>
    <m/>
    <m/>
    <m/>
    <m/>
    <m/>
    <m/>
    <m/>
    <m/>
  </r>
  <r>
    <x v="1"/>
    <x v="3"/>
    <s v="Unclipped"/>
    <s v="Petersen Tagged"/>
    <x v="8"/>
    <n v="0"/>
    <m/>
    <m/>
    <m/>
    <m/>
    <m/>
    <m/>
    <m/>
    <m/>
  </r>
  <r>
    <x v="1"/>
    <x v="3"/>
    <s v="Unclipped"/>
    <s v="No Petersen Tag"/>
    <x v="8"/>
    <n v="17"/>
    <n v="1"/>
    <n v="1"/>
    <n v="0"/>
    <n v="0"/>
    <n v="8.5"/>
    <n v="8.5"/>
    <n v="0"/>
    <n v="0"/>
  </r>
  <r>
    <x v="2"/>
    <x v="3"/>
    <s v="Clipped"/>
    <s v="No Petersen Tag"/>
    <x v="8"/>
    <m/>
    <m/>
    <m/>
    <m/>
    <m/>
    <n v="0"/>
    <n v="0"/>
    <n v="0"/>
    <n v="0"/>
  </r>
  <r>
    <x v="2"/>
    <x v="3"/>
    <s v="Unclipped"/>
    <s v="No Petersen Tag"/>
    <x v="8"/>
    <m/>
    <m/>
    <m/>
    <m/>
    <m/>
    <n v="0"/>
    <n v="0"/>
    <n v="0"/>
    <n v="0"/>
  </r>
  <r>
    <x v="1"/>
    <x v="3"/>
    <s v="both"/>
    <s v="both"/>
    <x v="8"/>
    <n v="17"/>
    <m/>
    <m/>
    <m/>
    <m/>
    <n v="8.5"/>
    <n v="8.5"/>
    <n v="0"/>
    <n v="0"/>
  </r>
  <r>
    <x v="3"/>
    <x v="3"/>
    <s v="both"/>
    <s v="both"/>
    <x v="8"/>
    <n v="17"/>
    <m/>
    <m/>
    <m/>
    <m/>
    <n v="8.5"/>
    <n v="8.5"/>
    <n v="0"/>
    <n v="0"/>
  </r>
  <r>
    <x v="0"/>
    <x v="0"/>
    <m/>
    <m/>
    <x v="0"/>
    <m/>
    <m/>
    <m/>
    <m/>
    <m/>
    <m/>
    <m/>
    <m/>
    <m/>
  </r>
  <r>
    <x v="7"/>
    <x v="0"/>
    <m/>
    <m/>
    <x v="0"/>
    <m/>
    <s v="See notes regarding 2018 scale ages. First Year Age 4 CWT."/>
    <m/>
    <m/>
    <m/>
    <m/>
    <m/>
    <m/>
    <m/>
  </r>
  <r>
    <x v="1"/>
    <x v="1"/>
    <s v="Clipped"/>
    <s v="NA"/>
    <x v="9"/>
    <n v="27"/>
    <n v="0"/>
    <n v="6"/>
    <n v="0"/>
    <n v="0"/>
    <n v="0"/>
    <n v="27"/>
    <n v="0"/>
    <n v="0"/>
  </r>
  <r>
    <x v="1"/>
    <x v="1"/>
    <s v="Unclipped"/>
    <s v="Petersen Tagged"/>
    <x v="9"/>
    <n v="176"/>
    <n v="0"/>
    <n v="37"/>
    <n v="8"/>
    <n v="1"/>
    <n v="0"/>
    <n v="141.56521739130434"/>
    <n v="30.608695652173914"/>
    <n v="3.8260869565217392"/>
  </r>
  <r>
    <x v="1"/>
    <x v="1"/>
    <s v="Unclipped"/>
    <s v="No Petersen Tag"/>
    <x v="9"/>
    <n v="801"/>
    <n v="0"/>
    <n v="98"/>
    <n v="69"/>
    <n v="1"/>
    <n v="0"/>
    <n v="467.25000000000006"/>
    <n v="328.98214285714283"/>
    <n v="4.7678571428571423"/>
  </r>
  <r>
    <x v="2"/>
    <x v="1"/>
    <s v="Clipped"/>
    <s v="No Petersen Tag"/>
    <x v="9"/>
    <n v="7"/>
    <m/>
    <n v="7"/>
    <m/>
    <m/>
    <n v="0"/>
    <n v="7"/>
    <n v="0"/>
    <n v="0"/>
  </r>
  <r>
    <x v="2"/>
    <x v="1"/>
    <s v="Unclipped"/>
    <s v="No Petersen Tag"/>
    <x v="9"/>
    <n v="29"/>
    <m/>
    <m/>
    <m/>
    <m/>
    <n v="0"/>
    <n v="16.916666666666668"/>
    <n v="11.910714285714285"/>
    <n v="0.17261904761904762"/>
  </r>
  <r>
    <x v="1"/>
    <x v="1"/>
    <s v="both"/>
    <s v="both"/>
    <x v="9"/>
    <n v="1004"/>
    <m/>
    <m/>
    <m/>
    <m/>
    <n v="0"/>
    <n v="635.81521739130437"/>
    <n v="359.59083850931677"/>
    <n v="8.5939440993788807"/>
  </r>
  <r>
    <x v="3"/>
    <x v="1"/>
    <s v="both"/>
    <s v="both"/>
    <x v="9"/>
    <n v="1040"/>
    <m/>
    <m/>
    <m/>
    <m/>
    <n v="0"/>
    <n v="659.731884057971"/>
    <n v="371.50155279503105"/>
    <n v="8.7665631469979282"/>
  </r>
  <r>
    <x v="0"/>
    <x v="0"/>
    <m/>
    <m/>
    <x v="0"/>
    <m/>
    <m/>
    <m/>
    <m/>
    <m/>
    <m/>
    <m/>
    <m/>
    <m/>
  </r>
  <r>
    <x v="1"/>
    <x v="2"/>
    <s v="Clipped"/>
    <s v="NA"/>
    <x v="9"/>
    <n v="36"/>
    <n v="0"/>
    <n v="13"/>
    <n v="0"/>
    <n v="0"/>
    <n v="0"/>
    <n v="36"/>
    <n v="0"/>
    <n v="0"/>
  </r>
  <r>
    <x v="1"/>
    <x v="2"/>
    <s v="Unclipped"/>
    <s v="Petersen Tagged"/>
    <x v="9"/>
    <n v="244"/>
    <n v="0"/>
    <n v="43"/>
    <n v="59"/>
    <n v="4"/>
    <n v="0"/>
    <n v="98.981132075471706"/>
    <n v="135.81132075471697"/>
    <n v="9.2075471698113205"/>
  </r>
  <r>
    <x v="1"/>
    <x v="2"/>
    <s v="Unclipped"/>
    <s v="No Petersen Tag"/>
    <x v="9"/>
    <n v="924"/>
    <m/>
    <n v="78"/>
    <n v="110"/>
    <n v="5"/>
    <n v="0"/>
    <n v="373.43005181347149"/>
    <n v="526.63212435233163"/>
    <n v="23.937823834196891"/>
  </r>
  <r>
    <x v="2"/>
    <x v="2"/>
    <s v="Clipped"/>
    <s v="No Petersen Tag"/>
    <x v="9"/>
    <n v="8"/>
    <m/>
    <n v="8"/>
    <m/>
    <m/>
    <n v="0"/>
    <n v="8"/>
    <n v="0"/>
    <n v="0"/>
  </r>
  <r>
    <x v="2"/>
    <x v="2"/>
    <s v="Unclipped"/>
    <s v="No Petersen Tag"/>
    <x v="9"/>
    <n v="28"/>
    <m/>
    <m/>
    <m/>
    <m/>
    <n v="0"/>
    <n v="11.316062176165802"/>
    <n v="15.958549222797927"/>
    <n v="0.72538860103626934"/>
  </r>
  <r>
    <x v="1"/>
    <x v="2"/>
    <s v="both"/>
    <s v="both"/>
    <x v="9"/>
    <n v="1204"/>
    <m/>
    <m/>
    <m/>
    <m/>
    <n v="0"/>
    <n v="508.41118388894319"/>
    <n v="662.44344510704855"/>
    <n v="33.145371004008211"/>
  </r>
  <r>
    <x v="3"/>
    <x v="2"/>
    <s v="both"/>
    <s v="both"/>
    <x v="9"/>
    <n v="1240"/>
    <m/>
    <m/>
    <m/>
    <m/>
    <n v="0"/>
    <n v="527.72724606510906"/>
    <n v="678.4019943298465"/>
    <n v="33.870759605044483"/>
  </r>
  <r>
    <x v="0"/>
    <x v="0"/>
    <m/>
    <m/>
    <x v="0"/>
    <m/>
    <m/>
    <m/>
    <m/>
    <m/>
    <m/>
    <m/>
    <m/>
    <m/>
  </r>
  <r>
    <x v="1"/>
    <x v="3"/>
    <s v="Clipped"/>
    <s v="NA"/>
    <x v="9"/>
    <n v="0"/>
    <n v="0"/>
    <n v="0"/>
    <n v="0"/>
    <n v="0"/>
    <m/>
    <m/>
    <m/>
    <m/>
  </r>
  <r>
    <x v="1"/>
    <x v="3"/>
    <s v="Unclipped"/>
    <s v="Petersen Tagged"/>
    <x v="9"/>
    <n v="5"/>
    <m/>
    <m/>
    <m/>
    <m/>
    <n v="0"/>
    <n v="5"/>
    <n v="0"/>
    <n v="0"/>
  </r>
  <r>
    <x v="1"/>
    <x v="3"/>
    <s v="Unclipped"/>
    <s v="No Petersen Tag"/>
    <x v="9"/>
    <n v="11"/>
    <n v="0"/>
    <n v="1"/>
    <n v="0"/>
    <n v="0"/>
    <n v="0"/>
    <n v="11"/>
    <n v="0"/>
    <n v="0"/>
  </r>
  <r>
    <x v="2"/>
    <x v="3"/>
    <s v="Clipped"/>
    <s v="No Petersen Tag"/>
    <x v="9"/>
    <m/>
    <m/>
    <m/>
    <m/>
    <m/>
    <n v="0"/>
    <n v="0"/>
    <n v="0"/>
    <n v="0"/>
  </r>
  <r>
    <x v="2"/>
    <x v="3"/>
    <s v="Unclipped"/>
    <s v="No Petersen Tag"/>
    <x v="9"/>
    <m/>
    <m/>
    <m/>
    <m/>
    <m/>
    <n v="0"/>
    <n v="0"/>
    <n v="0"/>
    <n v="0"/>
  </r>
  <r>
    <x v="1"/>
    <x v="3"/>
    <s v="both"/>
    <s v="both"/>
    <x v="9"/>
    <n v="16"/>
    <m/>
    <m/>
    <m/>
    <m/>
    <n v="0"/>
    <n v="16"/>
    <n v="0"/>
    <n v="0"/>
  </r>
  <r>
    <x v="3"/>
    <x v="3"/>
    <s v="both"/>
    <s v="both"/>
    <x v="9"/>
    <n v="16"/>
    <m/>
    <m/>
    <m/>
    <m/>
    <n v="0"/>
    <n v="16"/>
    <n v="0"/>
    <n v="0"/>
  </r>
  <r>
    <x v="0"/>
    <x v="0"/>
    <m/>
    <m/>
    <x v="0"/>
    <m/>
    <m/>
    <m/>
    <m/>
    <m/>
    <m/>
    <m/>
    <m/>
    <m/>
  </r>
  <r>
    <x v="8"/>
    <x v="0"/>
    <m/>
    <m/>
    <x v="0"/>
    <m/>
    <s v="First Year when Age 5 CWT may be available."/>
    <m/>
    <m/>
    <m/>
    <m/>
    <m/>
    <m/>
    <m/>
  </r>
  <r>
    <x v="1"/>
    <x v="4"/>
    <s v="Clipped"/>
    <s v="NA"/>
    <x v="10"/>
    <n v="93"/>
    <n v="0"/>
    <n v="7"/>
    <n v="3"/>
    <n v="0"/>
    <n v="0"/>
    <n v="65.099999999999994"/>
    <n v="27.9"/>
    <n v="0"/>
  </r>
  <r>
    <x v="1"/>
    <x v="4"/>
    <s v="Unclipped"/>
    <s v="Petersen Tagged"/>
    <x v="10"/>
    <n v="0"/>
    <m/>
    <m/>
    <m/>
    <m/>
    <n v="0"/>
    <n v="0"/>
    <n v="0"/>
    <n v="0"/>
  </r>
  <r>
    <x v="1"/>
    <x v="4"/>
    <s v="Unclipped"/>
    <s v="No Petersen Tag"/>
    <x v="10"/>
    <n v="2393"/>
    <n v="0"/>
    <n v="66"/>
    <n v="53"/>
    <n v="4"/>
    <n v="0"/>
    <n v="1284.0487804878051"/>
    <n v="1031.1300813008131"/>
    <n v="77.82113821138212"/>
  </r>
  <r>
    <x v="2"/>
    <x v="4"/>
    <s v="Clipped"/>
    <s v="No Petersen Tag"/>
    <x v="10"/>
    <m/>
    <m/>
    <m/>
    <m/>
    <m/>
    <n v="0"/>
    <n v="0"/>
    <n v="0"/>
    <n v="0"/>
  </r>
  <r>
    <x v="2"/>
    <x v="4"/>
    <s v="Unclipped"/>
    <s v="No Petersen Tag"/>
    <x v="10"/>
    <m/>
    <m/>
    <m/>
    <m/>
    <m/>
    <n v="0"/>
    <n v="0"/>
    <n v="0"/>
    <n v="0"/>
  </r>
  <r>
    <x v="1"/>
    <x v="4"/>
    <s v="both"/>
    <s v="both"/>
    <x v="10"/>
    <n v="2486"/>
    <m/>
    <m/>
    <m/>
    <m/>
    <n v="0"/>
    <n v="1349.148780487805"/>
    <n v="1059.0300813008132"/>
    <n v="77.82113821138212"/>
  </r>
  <r>
    <x v="3"/>
    <x v="4"/>
    <s v="both"/>
    <s v="both"/>
    <x v="10"/>
    <n v="2486"/>
    <m/>
    <m/>
    <m/>
    <m/>
    <n v="0"/>
    <n v="1349.148780487805"/>
    <n v="1059.0300813008132"/>
    <n v="77.82113821138212"/>
  </r>
  <r>
    <x v="0"/>
    <x v="0"/>
    <m/>
    <m/>
    <x v="0"/>
    <m/>
    <m/>
    <m/>
    <m/>
    <m/>
    <m/>
    <m/>
    <m/>
    <m/>
  </r>
  <r>
    <x v="9"/>
    <x v="5"/>
    <m/>
    <m/>
    <x v="0"/>
    <m/>
    <s v="First Year when Age 6 CWT may be available."/>
    <m/>
    <m/>
    <m/>
    <m/>
    <m/>
    <m/>
    <m/>
  </r>
  <r>
    <x v="1"/>
    <x v="1"/>
    <s v="Clipped"/>
    <s v="NA"/>
    <x v="11"/>
    <n v="94"/>
    <n v="0"/>
    <n v="12"/>
    <n v="10"/>
    <n v="0"/>
    <n v="0"/>
    <n v="51.272727272727266"/>
    <n v="42.727272727272727"/>
    <n v="0"/>
  </r>
  <r>
    <x v="1"/>
    <x v="1"/>
    <s v="Unclipped"/>
    <s v="Petersen Tagged"/>
    <x v="11"/>
    <n v="344"/>
    <n v="0"/>
    <n v="16"/>
    <n v="22"/>
    <n v="0"/>
    <n v="0"/>
    <n v="144.84210526315789"/>
    <n v="199.15789473684211"/>
    <n v="0"/>
  </r>
  <r>
    <x v="1"/>
    <x v="1"/>
    <s v="Unclipped"/>
    <s v="No Petersen Tag"/>
    <x v="11"/>
    <n v="2950"/>
    <n v="0"/>
    <n v="60"/>
    <n v="86"/>
    <n v="0"/>
    <n v="0"/>
    <n v="1212.3287671232877"/>
    <n v="1737.6712328767123"/>
    <n v="0"/>
  </r>
  <r>
    <x v="2"/>
    <x v="1"/>
    <s v="Clipped"/>
    <s v="No Petersen Tag"/>
    <x v="11"/>
    <n v="0"/>
    <m/>
    <m/>
    <m/>
    <m/>
    <n v="0"/>
    <n v="0"/>
    <n v="0"/>
    <n v="0"/>
  </r>
  <r>
    <x v="2"/>
    <x v="1"/>
    <s v="Unclipped"/>
    <s v="No Petersen Tag"/>
    <x v="11"/>
    <n v="46"/>
    <m/>
    <m/>
    <m/>
    <m/>
    <n v="0"/>
    <n v="18.904109589041095"/>
    <n v="27.095890410958905"/>
    <n v="0"/>
  </r>
  <r>
    <x v="1"/>
    <x v="1"/>
    <s v="both"/>
    <s v="both"/>
    <x v="11"/>
    <n v="3388"/>
    <m/>
    <m/>
    <m/>
    <m/>
    <n v="0"/>
    <n v="1408.4435996591728"/>
    <n v="1979.5564003408272"/>
    <n v="0"/>
  </r>
  <r>
    <x v="3"/>
    <x v="1"/>
    <s v="both"/>
    <s v="both"/>
    <x v="11"/>
    <n v="3434"/>
    <m/>
    <m/>
    <m/>
    <m/>
    <n v="0"/>
    <n v="1427.347709248214"/>
    <n v="2006.652290751786"/>
    <n v="0"/>
  </r>
  <r>
    <x v="0"/>
    <x v="0"/>
    <m/>
    <m/>
    <x v="0"/>
    <m/>
    <m/>
    <m/>
    <m/>
    <m/>
    <m/>
    <m/>
    <m/>
    <m/>
  </r>
  <r>
    <x v="1"/>
    <x v="2"/>
    <s v="Clipped"/>
    <s v="NA"/>
    <x v="11"/>
    <n v="96"/>
    <n v="0"/>
    <n v="19"/>
    <n v="15"/>
    <n v="0"/>
    <n v="0"/>
    <n v="53.647058823529413"/>
    <n v="42.352941176470587"/>
    <n v="0"/>
  </r>
  <r>
    <x v="1"/>
    <x v="2"/>
    <s v="Unclipped"/>
    <s v="Petersen Tagged"/>
    <x v="11"/>
    <n v="415"/>
    <n v="0"/>
    <n v="31"/>
    <n v="58"/>
    <n v="0"/>
    <n v="0"/>
    <n v="144.55056179775281"/>
    <n v="270.44943820224722"/>
    <n v="0"/>
  </r>
  <r>
    <x v="1"/>
    <x v="2"/>
    <s v="Unclipped"/>
    <s v="No Petersen Tag"/>
    <x v="11"/>
    <n v="2325"/>
    <n v="0"/>
    <n v="46"/>
    <n v="175"/>
    <n v="0"/>
    <n v="0"/>
    <n v="483.93665158371044"/>
    <n v="1841.0633484162895"/>
    <n v="0"/>
  </r>
  <r>
    <x v="2"/>
    <x v="2"/>
    <s v="Clipped"/>
    <s v="No Petersen Tag"/>
    <x v="11"/>
    <n v="0"/>
    <m/>
    <m/>
    <m/>
    <m/>
    <n v="0"/>
    <n v="0"/>
    <n v="0"/>
    <n v="0"/>
  </r>
  <r>
    <x v="2"/>
    <x v="2"/>
    <s v="Unclipped"/>
    <s v="No Petersen Tag"/>
    <x v="11"/>
    <n v="42"/>
    <m/>
    <m/>
    <m/>
    <m/>
    <n v="0"/>
    <n v="8.7420814479638018"/>
    <n v="33.257918552036195"/>
    <n v="0"/>
  </r>
  <r>
    <x v="1"/>
    <x v="2"/>
    <s v="both"/>
    <s v="both"/>
    <x v="11"/>
    <n v="2836"/>
    <m/>
    <m/>
    <m/>
    <m/>
    <n v="0"/>
    <n v="682.13427220499261"/>
    <n v="2153.8657277950074"/>
    <n v="0"/>
  </r>
  <r>
    <x v="3"/>
    <x v="2"/>
    <s v="both"/>
    <s v="both"/>
    <x v="11"/>
    <n v="2878"/>
    <m/>
    <m/>
    <m/>
    <m/>
    <n v="0"/>
    <n v="690.87635365295637"/>
    <n v="2187.1236463470436"/>
    <n v="0"/>
  </r>
  <r>
    <x v="0"/>
    <x v="0"/>
    <m/>
    <m/>
    <x v="0"/>
    <m/>
    <m/>
    <m/>
    <m/>
    <m/>
    <m/>
    <m/>
    <m/>
    <m/>
  </r>
  <r>
    <x v="1"/>
    <x v="3"/>
    <s v="Clipped"/>
    <s v="NA"/>
    <x v="11"/>
    <n v="7"/>
    <n v="1"/>
    <n v="0"/>
    <n v="0"/>
    <n v="0"/>
    <n v="7"/>
    <n v="0"/>
    <n v="0"/>
    <n v="0"/>
  </r>
  <r>
    <x v="1"/>
    <x v="3"/>
    <s v="Unclipped"/>
    <s v="Petersen Tagged"/>
    <x v="11"/>
    <n v="10"/>
    <n v="1"/>
    <n v="0"/>
    <n v="0"/>
    <n v="0"/>
    <n v="10"/>
    <n v="0"/>
    <n v="0"/>
    <n v="0"/>
  </r>
  <r>
    <x v="1"/>
    <x v="3"/>
    <s v="Unclipped"/>
    <s v="No Petersen Tag"/>
    <x v="11"/>
    <n v="125"/>
    <n v="5"/>
    <n v="0"/>
    <n v="0"/>
    <n v="0"/>
    <n v="125"/>
    <n v="0"/>
    <n v="0"/>
    <n v="0"/>
  </r>
  <r>
    <x v="2"/>
    <x v="3"/>
    <s v="Clipped"/>
    <s v="No Petersen Tag"/>
    <x v="11"/>
    <n v="0"/>
    <m/>
    <m/>
    <m/>
    <m/>
    <n v="0"/>
    <n v="0"/>
    <n v="0"/>
    <n v="0"/>
  </r>
  <r>
    <x v="2"/>
    <x v="3"/>
    <s v="Unclipped"/>
    <s v="No Petersen Tag"/>
    <x v="11"/>
    <n v="1"/>
    <m/>
    <m/>
    <m/>
    <m/>
    <n v="1"/>
    <n v="0"/>
    <n v="0"/>
    <n v="0"/>
  </r>
  <r>
    <x v="1"/>
    <x v="3"/>
    <s v="both"/>
    <s v="both"/>
    <x v="11"/>
    <n v="142"/>
    <m/>
    <m/>
    <m/>
    <m/>
    <n v="142"/>
    <n v="0"/>
    <n v="0"/>
    <n v="0"/>
  </r>
  <r>
    <x v="3"/>
    <x v="3"/>
    <s v="both"/>
    <s v="both"/>
    <x v="11"/>
    <n v="143"/>
    <m/>
    <m/>
    <m/>
    <m/>
    <n v="143"/>
    <n v="0"/>
    <n v="0"/>
    <n v="0"/>
  </r>
  <r>
    <x v="0"/>
    <x v="0"/>
    <m/>
    <m/>
    <x v="0"/>
    <m/>
    <m/>
    <m/>
    <m/>
    <m/>
    <m/>
    <m/>
    <m/>
    <m/>
  </r>
  <r>
    <x v="10"/>
    <x v="6"/>
    <m/>
    <m/>
    <x v="0"/>
    <m/>
    <m/>
    <m/>
    <m/>
    <m/>
    <m/>
    <m/>
    <m/>
    <m/>
  </r>
  <r>
    <x v="1"/>
    <x v="1"/>
    <s v="Clipped"/>
    <s v="NA"/>
    <x v="12"/>
    <n v="246"/>
    <n v="1"/>
    <n v="65"/>
    <n v="4"/>
    <n v="0"/>
    <n v="3.5142857142857142"/>
    <n v="228.42857142857144"/>
    <n v="14.057142857142857"/>
    <n v="0"/>
  </r>
  <r>
    <x v="1"/>
    <x v="1"/>
    <s v="Unclipped"/>
    <s v="Petersen Tagged"/>
    <x v="12"/>
    <n v="587"/>
    <n v="0"/>
    <n v="69"/>
    <n v="28"/>
    <n v="0"/>
    <n v="0"/>
    <n v="417.55670103092785"/>
    <n v="169.44329896907215"/>
    <n v="0"/>
  </r>
  <r>
    <x v="1"/>
    <x v="1"/>
    <s v="Unclipped"/>
    <s v="No Petersen Tag"/>
    <x v="12"/>
    <n v="2699"/>
    <n v="0"/>
    <n v="106"/>
    <n v="40"/>
    <n v="0"/>
    <n v="0"/>
    <n v="1959.5479452054794"/>
    <n v="739.45205479452056"/>
    <n v="0"/>
  </r>
  <r>
    <x v="2"/>
    <x v="1"/>
    <s v="Clipped"/>
    <s v="No Petersen Tag"/>
    <x v="12"/>
    <n v="0"/>
    <m/>
    <m/>
    <m/>
    <m/>
    <n v="0"/>
    <n v="0"/>
    <n v="0"/>
    <n v="0"/>
  </r>
  <r>
    <x v="2"/>
    <x v="1"/>
    <s v="Unclipped"/>
    <s v="No Petersen Tag"/>
    <x v="12"/>
    <n v="50"/>
    <m/>
    <m/>
    <m/>
    <m/>
    <n v="0"/>
    <n v="36.301369863013697"/>
    <n v="13.698630136986301"/>
    <n v="0"/>
  </r>
  <r>
    <x v="1"/>
    <x v="1"/>
    <s v="both"/>
    <s v="both"/>
    <x v="12"/>
    <n v="3532"/>
    <m/>
    <m/>
    <m/>
    <m/>
    <n v="3.5142857142857142"/>
    <n v="2605.533217664979"/>
    <n v="922.95249662073559"/>
    <n v="0"/>
  </r>
  <r>
    <x v="3"/>
    <x v="1"/>
    <s v="both"/>
    <s v="both"/>
    <x v="12"/>
    <n v="3582"/>
    <m/>
    <m/>
    <m/>
    <m/>
    <n v="3.5142857142857142"/>
    <n v="2641.8345875279929"/>
    <n v="936.65112675772184"/>
    <n v="0"/>
  </r>
  <r>
    <x v="0"/>
    <x v="0"/>
    <m/>
    <m/>
    <x v="0"/>
    <m/>
    <m/>
    <m/>
    <m/>
    <m/>
    <m/>
    <m/>
    <m/>
    <m/>
  </r>
  <r>
    <x v="1"/>
    <x v="2"/>
    <s v="Clipped"/>
    <s v="NA"/>
    <x v="12"/>
    <n v="147"/>
    <n v="0"/>
    <n v="73"/>
    <n v="9"/>
    <n v="0"/>
    <n v="0"/>
    <n v="130.86585365853659"/>
    <n v="16.134146341463413"/>
    <n v="0"/>
  </r>
  <r>
    <x v="1"/>
    <x v="2"/>
    <s v="Unclipped"/>
    <s v="Petersen Tagged"/>
    <x v="12"/>
    <n v="392"/>
    <n v="0"/>
    <n v="62"/>
    <n v="62"/>
    <n v="0"/>
    <n v="0"/>
    <n v="196"/>
    <n v="196"/>
    <n v="0"/>
  </r>
  <r>
    <x v="1"/>
    <x v="2"/>
    <s v="Unclipped"/>
    <s v="No Petersen Tag"/>
    <x v="12"/>
    <n v="1306"/>
    <n v="0"/>
    <n v="79"/>
    <n v="95"/>
    <n v="2"/>
    <n v="0"/>
    <n v="586.21590909090912"/>
    <n v="704.94318181818187"/>
    <n v="14.840909090909092"/>
  </r>
  <r>
    <x v="2"/>
    <x v="2"/>
    <s v="Clipped"/>
    <s v="No Petersen Tag"/>
    <x v="12"/>
    <n v="2"/>
    <m/>
    <n v="2"/>
    <m/>
    <m/>
    <n v="0"/>
    <n v="2"/>
    <n v="0"/>
    <n v="0"/>
  </r>
  <r>
    <x v="2"/>
    <x v="2"/>
    <s v="Unclipped"/>
    <s v="No Petersen Tag"/>
    <x v="12"/>
    <n v="47"/>
    <m/>
    <m/>
    <m/>
    <m/>
    <n v="0"/>
    <n v="21.09659090909091"/>
    <n v="25.369318181818183"/>
    <n v="0.53409090909090906"/>
  </r>
  <r>
    <x v="1"/>
    <x v="2"/>
    <s v="both"/>
    <s v="both"/>
    <x v="12"/>
    <n v="1845"/>
    <m/>
    <m/>
    <m/>
    <m/>
    <n v="0"/>
    <n v="913.08176274944572"/>
    <n v="917.07732815964528"/>
    <n v="14.840909090909092"/>
  </r>
  <r>
    <x v="3"/>
    <x v="2"/>
    <s v="both"/>
    <s v="both"/>
    <x v="12"/>
    <n v="1894"/>
    <m/>
    <m/>
    <m/>
    <m/>
    <n v="0"/>
    <n v="936.17835365853659"/>
    <n v="942.44664634146341"/>
    <n v="15.375"/>
  </r>
  <r>
    <x v="0"/>
    <x v="0"/>
    <m/>
    <m/>
    <x v="0"/>
    <m/>
    <m/>
    <m/>
    <m/>
    <m/>
    <m/>
    <m/>
    <m/>
    <m/>
  </r>
  <r>
    <x v="1"/>
    <x v="3"/>
    <s v="Clipped"/>
    <s v="NA"/>
    <x v="12"/>
    <n v="58"/>
    <n v="12"/>
    <n v="0"/>
    <n v="0"/>
    <n v="0"/>
    <n v="58"/>
    <n v="0"/>
    <n v="0"/>
    <n v="0"/>
  </r>
  <r>
    <x v="1"/>
    <x v="3"/>
    <s v="Unclipped"/>
    <s v="Petersen Tagged"/>
    <x v="12"/>
    <n v="14"/>
    <m/>
    <m/>
    <m/>
    <m/>
    <n v="3.8181818181818179"/>
    <n v="10.181818181818182"/>
    <n v="0"/>
    <n v="0"/>
  </r>
  <r>
    <x v="1"/>
    <x v="3"/>
    <s v="Unclipped"/>
    <s v="No Petersen Tag"/>
    <x v="12"/>
    <n v="126"/>
    <n v="3"/>
    <n v="8"/>
    <n v="0"/>
    <n v="0"/>
    <n v="34.36363636363636"/>
    <n v="91.63636363636364"/>
    <n v="0"/>
    <n v="0"/>
  </r>
  <r>
    <x v="2"/>
    <x v="3"/>
    <s v="Clipped"/>
    <s v="No Petersen Tag"/>
    <x v="12"/>
    <n v="0"/>
    <m/>
    <m/>
    <m/>
    <m/>
    <n v="0"/>
    <n v="0"/>
    <n v="0"/>
    <n v="0"/>
  </r>
  <r>
    <x v="2"/>
    <x v="3"/>
    <s v="Unclipped"/>
    <s v="No Petersen Tag"/>
    <x v="12"/>
    <n v="0"/>
    <m/>
    <m/>
    <m/>
    <m/>
    <n v="0"/>
    <n v="0"/>
    <n v="0"/>
    <n v="0"/>
  </r>
  <r>
    <x v="1"/>
    <x v="3"/>
    <s v="both"/>
    <s v="both"/>
    <x v="12"/>
    <n v="198"/>
    <m/>
    <m/>
    <m/>
    <m/>
    <n v="96.181818181818187"/>
    <n v="101.81818181818183"/>
    <n v="0"/>
    <n v="0"/>
  </r>
  <r>
    <x v="3"/>
    <x v="3"/>
    <s v="both"/>
    <s v="both"/>
    <x v="12"/>
    <n v="198"/>
    <m/>
    <m/>
    <m/>
    <m/>
    <n v="96.181818181818187"/>
    <n v="101.81818181818183"/>
    <n v="0"/>
    <n v="0"/>
  </r>
  <r>
    <x v="0"/>
    <x v="0"/>
    <m/>
    <m/>
    <x v="0"/>
    <m/>
    <m/>
    <m/>
    <m/>
    <m/>
    <m/>
    <m/>
    <m/>
    <m/>
  </r>
  <r>
    <x v="11"/>
    <x v="7"/>
    <m/>
    <m/>
    <x v="0"/>
    <m/>
    <s v="Arbeider Comment: Only included scale ages 32,42,52,and 62. All other scale ages removed."/>
    <m/>
    <m/>
    <m/>
    <m/>
    <m/>
    <m/>
    <m/>
  </r>
  <r>
    <x v="1"/>
    <x v="1"/>
    <s v="Clipped"/>
    <s v="NA"/>
    <x v="13"/>
    <n v="478"/>
    <n v="0"/>
    <n v="77"/>
    <n v="24"/>
    <n v="0"/>
    <n v="0"/>
    <n v="364.41584158415844"/>
    <n v="113.58415841584159"/>
    <n v="0"/>
  </r>
  <r>
    <x v="1"/>
    <x v="1"/>
    <s v="Unclipped"/>
    <s v="Petersen Tagged"/>
    <x v="13"/>
    <n v="662"/>
    <n v="3"/>
    <n v="52"/>
    <n v="36"/>
    <n v="1"/>
    <n v="21.586956521739129"/>
    <n v="374.17391304347825"/>
    <n v="259.04347826086956"/>
    <n v="7.195652173913043"/>
  </r>
  <r>
    <x v="1"/>
    <x v="1"/>
    <s v="Unclipped"/>
    <s v="No Petersen Tag"/>
    <x v="13"/>
    <n v="7516"/>
    <n v="4"/>
    <n v="54"/>
    <n v="98"/>
    <n v="0"/>
    <n v="192.7179487179487"/>
    <n v="2601.6923076923076"/>
    <n v="4721.5897435897432"/>
    <n v="0"/>
  </r>
  <r>
    <x v="2"/>
    <x v="1"/>
    <s v="Clipped"/>
    <s v="No Petersen Tag"/>
    <x v="13"/>
    <n v="0"/>
    <m/>
    <m/>
    <m/>
    <m/>
    <n v="0"/>
    <n v="0"/>
    <n v="0"/>
    <n v="0"/>
  </r>
  <r>
    <x v="2"/>
    <x v="1"/>
    <s v="Unclipped"/>
    <s v="No Petersen Tag"/>
    <x v="13"/>
    <n v="49"/>
    <m/>
    <m/>
    <m/>
    <m/>
    <n v="1.2564102564102564"/>
    <n v="16.96153846153846"/>
    <n v="30.782051282051281"/>
    <n v="0"/>
  </r>
  <r>
    <x v="1"/>
    <x v="1"/>
    <s v="both"/>
    <s v="both"/>
    <x v="13"/>
    <n v="8656"/>
    <m/>
    <m/>
    <m/>
    <m/>
    <n v="214.30490523968783"/>
    <n v="3340.2820623199441"/>
    <n v="5094.2173802664547"/>
    <n v="7.195652173913043"/>
  </r>
  <r>
    <x v="3"/>
    <x v="1"/>
    <s v="both"/>
    <s v="both"/>
    <x v="13"/>
    <n v="8705"/>
    <m/>
    <m/>
    <m/>
    <m/>
    <n v="215.56131549609808"/>
    <n v="3357.2436007814827"/>
    <n v="5124.9994315485064"/>
    <n v="7.195652173913043"/>
  </r>
  <r>
    <x v="0"/>
    <x v="0"/>
    <m/>
    <m/>
    <x v="0"/>
    <m/>
    <m/>
    <m/>
    <m/>
    <m/>
    <m/>
    <m/>
    <m/>
    <m/>
  </r>
  <r>
    <x v="1"/>
    <x v="2"/>
    <s v="Clipped"/>
    <s v="NA"/>
    <x v="13"/>
    <n v="356"/>
    <n v="0"/>
    <n v="77"/>
    <n v="63"/>
    <n v="0"/>
    <n v="0"/>
    <n v="195.8"/>
    <n v="160.20000000000002"/>
    <n v="0"/>
  </r>
  <r>
    <x v="1"/>
    <x v="2"/>
    <s v="Unclipped"/>
    <s v="Petersen Tagged"/>
    <x v="13"/>
    <n v="503"/>
    <n v="0"/>
    <n v="37"/>
    <n v="96"/>
    <n v="2"/>
    <n v="0"/>
    <n v="137.85925925925926"/>
    <n v="357.68888888888893"/>
    <n v="7.4518518518518517"/>
  </r>
  <r>
    <x v="1"/>
    <x v="2"/>
    <s v="Unclipped"/>
    <s v="No Petersen Tag"/>
    <x v="13"/>
    <n v="4081"/>
    <n v="0"/>
    <n v="49"/>
    <n v="136"/>
    <n v="2"/>
    <n v="0"/>
    <n v="1069.3529411764705"/>
    <n v="2968"/>
    <n v="43.647058823529406"/>
  </r>
  <r>
    <x v="2"/>
    <x v="2"/>
    <s v="Clipped"/>
    <s v="No Petersen Tag"/>
    <x v="13"/>
    <n v="0"/>
    <m/>
    <m/>
    <m/>
    <m/>
    <n v="0"/>
    <n v="0"/>
    <n v="0"/>
    <n v="0"/>
  </r>
  <r>
    <x v="2"/>
    <x v="2"/>
    <s v="Unclipped"/>
    <s v="No Petersen Tag"/>
    <x v="13"/>
    <n v="50"/>
    <m/>
    <m/>
    <m/>
    <m/>
    <n v="0"/>
    <n v="13.101604278074866"/>
    <n v="36.363636363636367"/>
    <n v="0.53475935828876997"/>
  </r>
  <r>
    <x v="1"/>
    <x v="2"/>
    <s v="both"/>
    <s v="both"/>
    <x v="13"/>
    <n v="4940"/>
    <m/>
    <m/>
    <m/>
    <m/>
    <n v="0"/>
    <n v="1403.0122004357297"/>
    <n v="3485.8888888888887"/>
    <n v="51.098910675381255"/>
  </r>
  <r>
    <x v="3"/>
    <x v="2"/>
    <s v="both"/>
    <s v="both"/>
    <x v="13"/>
    <n v="4990"/>
    <m/>
    <m/>
    <m/>
    <m/>
    <n v="0"/>
    <n v="1416.1138047138045"/>
    <n v="3522.2525252525252"/>
    <n v="51.633670033670022"/>
  </r>
  <r>
    <x v="0"/>
    <x v="0"/>
    <m/>
    <m/>
    <x v="0"/>
    <m/>
    <m/>
    <m/>
    <m/>
    <m/>
    <m/>
    <m/>
    <m/>
    <m/>
  </r>
  <r>
    <x v="1"/>
    <x v="3"/>
    <s v="Clipped"/>
    <s v="NA"/>
    <x v="13"/>
    <n v="45"/>
    <n v="1"/>
    <n v="2"/>
    <n v="0"/>
    <n v="0"/>
    <n v="15"/>
    <n v="30"/>
    <n v="0"/>
    <n v="0"/>
  </r>
  <r>
    <x v="1"/>
    <x v="3"/>
    <s v="Unclipped"/>
    <s v="Petersen Tagged"/>
    <x v="13"/>
    <n v="2"/>
    <m/>
    <m/>
    <m/>
    <m/>
    <n v="1.5"/>
    <n v="0.5"/>
    <n v="0"/>
    <n v="0"/>
  </r>
  <r>
    <x v="1"/>
    <x v="3"/>
    <s v="Unclipped"/>
    <s v="No Petersen Tag"/>
    <x v="13"/>
    <n v="133"/>
    <n v="6"/>
    <n v="2"/>
    <n v="0"/>
    <n v="0"/>
    <n v="99.75"/>
    <n v="33.25"/>
    <n v="0"/>
    <n v="0"/>
  </r>
  <r>
    <x v="2"/>
    <x v="3"/>
    <s v="Clipped"/>
    <s v="No Petersen Tag"/>
    <x v="13"/>
    <n v="0"/>
    <m/>
    <m/>
    <m/>
    <m/>
    <n v="0"/>
    <n v="0"/>
    <n v="0"/>
    <n v="0"/>
  </r>
  <r>
    <x v="2"/>
    <x v="3"/>
    <s v="Unclipped"/>
    <s v="No Petersen Tag"/>
    <x v="13"/>
    <n v="0"/>
    <m/>
    <m/>
    <m/>
    <m/>
    <n v="0"/>
    <n v="0"/>
    <n v="0"/>
    <n v="0"/>
  </r>
  <r>
    <x v="1"/>
    <x v="3"/>
    <s v="both"/>
    <s v="both"/>
    <x v="13"/>
    <n v="180"/>
    <m/>
    <m/>
    <m/>
    <m/>
    <n v="116.25"/>
    <n v="63.75"/>
    <n v="0"/>
    <n v="0"/>
  </r>
  <r>
    <x v="3"/>
    <x v="3"/>
    <s v="both"/>
    <s v="both"/>
    <x v="13"/>
    <n v="180"/>
    <m/>
    <m/>
    <m/>
    <m/>
    <n v="116.25"/>
    <n v="63.75"/>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2010"/>
    <x v="0"/>
    <m/>
    <m/>
    <m/>
    <m/>
    <m/>
  </r>
  <r>
    <n v="2010"/>
    <x v="1"/>
    <m/>
    <m/>
    <m/>
    <m/>
    <m/>
  </r>
  <r>
    <n v="2010"/>
    <x v="2"/>
    <m/>
    <m/>
    <m/>
    <m/>
    <m/>
  </r>
  <r>
    <n v="2010"/>
    <x v="3"/>
    <m/>
    <m/>
    <m/>
    <m/>
    <m/>
  </r>
  <r>
    <n v="2011"/>
    <x v="0"/>
    <m/>
    <m/>
    <m/>
    <m/>
    <m/>
  </r>
  <r>
    <n v="2011"/>
    <x v="1"/>
    <m/>
    <m/>
    <m/>
    <m/>
    <m/>
  </r>
  <r>
    <n v="2011"/>
    <x v="2"/>
    <m/>
    <m/>
    <m/>
    <m/>
    <m/>
  </r>
  <r>
    <n v="2011"/>
    <x v="3"/>
    <m/>
    <m/>
    <m/>
    <m/>
    <m/>
  </r>
  <r>
    <n v="2012"/>
    <x v="0"/>
    <m/>
    <m/>
    <m/>
    <m/>
    <m/>
  </r>
  <r>
    <n v="2012"/>
    <x v="1"/>
    <m/>
    <m/>
    <m/>
    <m/>
    <m/>
  </r>
  <r>
    <n v="2012"/>
    <x v="2"/>
    <m/>
    <m/>
    <m/>
    <m/>
    <m/>
  </r>
  <r>
    <n v="2012"/>
    <x v="3"/>
    <m/>
    <m/>
    <m/>
    <m/>
    <m/>
  </r>
  <r>
    <n v="2013"/>
    <x v="0"/>
    <m/>
    <m/>
    <m/>
    <m/>
    <m/>
  </r>
  <r>
    <n v="2013"/>
    <x v="1"/>
    <m/>
    <m/>
    <m/>
    <m/>
    <m/>
  </r>
  <r>
    <n v="2013"/>
    <x v="2"/>
    <m/>
    <m/>
    <m/>
    <m/>
    <m/>
  </r>
  <r>
    <n v="2013"/>
    <x v="3"/>
    <m/>
    <m/>
    <m/>
    <m/>
    <m/>
  </r>
  <r>
    <n v="2014"/>
    <x v="0"/>
    <m/>
    <m/>
    <m/>
    <m/>
    <m/>
  </r>
  <r>
    <n v="2014"/>
    <x v="1"/>
    <m/>
    <m/>
    <m/>
    <m/>
    <m/>
  </r>
  <r>
    <n v="2014"/>
    <x v="2"/>
    <m/>
    <m/>
    <m/>
    <m/>
    <m/>
  </r>
  <r>
    <n v="2014"/>
    <x v="3"/>
    <m/>
    <m/>
    <m/>
    <m/>
    <m/>
  </r>
  <r>
    <n v="2015"/>
    <x v="0"/>
    <m/>
    <m/>
    <m/>
    <m/>
    <m/>
  </r>
  <r>
    <n v="2015"/>
    <x v="1"/>
    <m/>
    <m/>
    <m/>
    <m/>
    <m/>
  </r>
  <r>
    <n v="2015"/>
    <x v="2"/>
    <m/>
    <m/>
    <m/>
    <m/>
    <m/>
  </r>
  <r>
    <n v="2015"/>
    <x v="3"/>
    <m/>
    <m/>
    <m/>
    <m/>
    <m/>
  </r>
  <r>
    <n v="2016"/>
    <x v="0"/>
    <m/>
    <m/>
    <m/>
    <m/>
    <m/>
  </r>
  <r>
    <n v="2016"/>
    <x v="1"/>
    <m/>
    <m/>
    <m/>
    <m/>
    <m/>
  </r>
  <r>
    <n v="2016"/>
    <x v="2"/>
    <m/>
    <m/>
    <m/>
    <m/>
    <m/>
  </r>
  <r>
    <n v="2016"/>
    <x v="3"/>
    <m/>
    <m/>
    <m/>
    <m/>
    <m/>
  </r>
  <r>
    <n v="2017"/>
    <x v="0"/>
    <m/>
    <m/>
    <m/>
    <m/>
    <m/>
  </r>
  <r>
    <n v="2017"/>
    <x v="1"/>
    <m/>
    <m/>
    <m/>
    <m/>
    <m/>
  </r>
  <r>
    <n v="2017"/>
    <x v="2"/>
    <m/>
    <m/>
    <m/>
    <m/>
    <m/>
  </r>
  <r>
    <n v="2017"/>
    <x v="3"/>
    <m/>
    <m/>
    <m/>
    <m/>
    <m/>
  </r>
  <r>
    <n v="2018"/>
    <x v="0"/>
    <m/>
    <m/>
    <m/>
    <m/>
    <m/>
  </r>
  <r>
    <n v="2018"/>
    <x v="1"/>
    <m/>
    <m/>
    <n v="14"/>
    <m/>
    <m/>
  </r>
  <r>
    <n v="2018"/>
    <x v="2"/>
    <m/>
    <m/>
    <m/>
    <m/>
    <m/>
  </r>
  <r>
    <n v="2018"/>
    <x v="3"/>
    <m/>
    <m/>
    <m/>
    <m/>
    <m/>
  </r>
  <r>
    <n v="2019"/>
    <x v="0"/>
    <m/>
    <m/>
    <m/>
    <m/>
    <m/>
  </r>
  <r>
    <n v="2019"/>
    <x v="1"/>
    <m/>
    <m/>
    <n v="4"/>
    <n v="1"/>
    <m/>
  </r>
  <r>
    <n v="2019"/>
    <x v="2"/>
    <m/>
    <m/>
    <m/>
    <n v="2"/>
    <m/>
  </r>
  <r>
    <n v="2019"/>
    <x v="3"/>
    <m/>
    <m/>
    <m/>
    <m/>
    <m/>
  </r>
  <r>
    <n v="2020"/>
    <x v="0"/>
    <m/>
    <n v="1"/>
    <m/>
    <m/>
    <m/>
  </r>
  <r>
    <n v="2020"/>
    <x v="1"/>
    <m/>
    <m/>
    <n v="25"/>
    <n v="3"/>
    <m/>
  </r>
  <r>
    <n v="2020"/>
    <x v="2"/>
    <m/>
    <m/>
    <m/>
    <n v="11"/>
    <m/>
  </r>
  <r>
    <n v="2020"/>
    <x v="3"/>
    <m/>
    <m/>
    <m/>
    <n v="3"/>
    <m/>
  </r>
  <r>
    <n v="2021"/>
    <x v="0"/>
    <m/>
    <n v="5"/>
    <m/>
    <m/>
    <m/>
  </r>
  <r>
    <n v="2021"/>
    <x v="1"/>
    <m/>
    <n v="3"/>
    <n v="73"/>
    <n v="2"/>
    <m/>
  </r>
  <r>
    <n v="2021"/>
    <x v="2"/>
    <m/>
    <m/>
    <m/>
    <n v="7"/>
    <m/>
  </r>
  <r>
    <n v="2021"/>
    <x v="3"/>
    <m/>
    <m/>
    <m/>
    <m/>
    <m/>
  </r>
  <r>
    <n v="2022"/>
    <x v="0"/>
    <m/>
    <n v="0"/>
    <n v="1"/>
    <n v="0"/>
    <m/>
  </r>
  <r>
    <n v="2022"/>
    <x v="1"/>
    <m/>
    <n v="0"/>
    <n v="64"/>
    <n v="3"/>
    <m/>
  </r>
  <r>
    <n v="2022"/>
    <x v="2"/>
    <m/>
    <n v="0"/>
    <n v="2"/>
    <n v="26"/>
    <m/>
  </r>
  <r>
    <n v="2022"/>
    <x v="3"/>
    <m/>
    <n v="0"/>
    <n v="0"/>
    <n v="0"/>
    <m/>
  </r>
  <r>
    <n v="2023"/>
    <x v="0"/>
    <m/>
    <n v="7"/>
    <n v="0"/>
    <n v="0"/>
    <m/>
  </r>
  <r>
    <n v="2023"/>
    <x v="1"/>
    <m/>
    <n v="1"/>
    <n v="54"/>
    <n v="2"/>
    <m/>
  </r>
  <r>
    <n v="2023"/>
    <x v="2"/>
    <m/>
    <n v="0"/>
    <n v="0"/>
    <n v="18"/>
    <m/>
  </r>
  <r>
    <n v="2023"/>
    <x v="3"/>
    <m/>
    <n v="0"/>
    <n v="0"/>
    <n v="0"/>
    <m/>
  </r>
  <r>
    <n v="2024"/>
    <x v="0"/>
    <m/>
    <m/>
    <m/>
    <m/>
    <m/>
  </r>
  <r>
    <n v="2024"/>
    <x v="1"/>
    <m/>
    <m/>
    <n v="19"/>
    <n v="1"/>
    <m/>
  </r>
  <r>
    <n v="2024"/>
    <x v="2"/>
    <m/>
    <m/>
    <n v="2"/>
    <n v="1"/>
    <m/>
  </r>
  <r>
    <n v="2024"/>
    <x v="3"/>
    <m/>
    <m/>
    <m/>
    <m/>
    <m/>
  </r>
  <r>
    <m/>
    <x v="4"/>
    <m/>
    <m/>
    <m/>
    <m/>
    <m/>
  </r>
  <r>
    <m/>
    <x v="4"/>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6">
  <r>
    <m/>
    <m/>
    <x v="0"/>
    <m/>
    <x v="0"/>
    <m/>
    <m/>
    <m/>
    <m/>
    <m/>
    <m/>
    <m/>
    <m/>
    <m/>
  </r>
  <r>
    <s v="River"/>
    <s v="Adult Males"/>
    <x v="1"/>
    <s v="NA"/>
    <x v="1"/>
    <n v="0"/>
    <m/>
    <m/>
    <m/>
    <m/>
    <m/>
    <m/>
    <m/>
    <m/>
  </r>
  <r>
    <s v="River"/>
    <s v="Adult Males"/>
    <x v="2"/>
    <s v="Petersen Tagged"/>
    <x v="1"/>
    <n v="833"/>
    <n v="1"/>
    <n v="102"/>
    <n v="39"/>
    <n v="2"/>
    <n v="5.7847222222222223"/>
    <n v="590.04166666666674"/>
    <n v="225.60416666666666"/>
    <n v="11.569444444444445"/>
  </r>
  <r>
    <s v="River"/>
    <s v="Adult Males"/>
    <x v="2"/>
    <s v="No Petersen Tag"/>
    <x v="1"/>
    <n v="2845"/>
    <n v="1"/>
    <n v="55"/>
    <n v="29"/>
    <n v="4"/>
    <n v="31.966292134831459"/>
    <n v="1758.1460674157302"/>
    <n v="927.02247191011236"/>
    <n v="127.86516853932584"/>
  </r>
  <r>
    <s v="Hatchery"/>
    <s v="Adult Males"/>
    <x v="1"/>
    <s v="No Petersen Tag"/>
    <x v="1"/>
    <m/>
    <m/>
    <m/>
    <m/>
    <m/>
    <n v="0"/>
    <n v="0"/>
    <n v="0"/>
    <n v="0"/>
  </r>
  <r>
    <s v="Hatchery"/>
    <s v="Adult Males"/>
    <x v="2"/>
    <s v="No Petersen Tag"/>
    <x v="1"/>
    <m/>
    <m/>
    <m/>
    <m/>
    <m/>
    <n v="0"/>
    <n v="0"/>
    <n v="0"/>
    <n v="0"/>
  </r>
  <r>
    <s v="River"/>
    <s v="Adult Males"/>
    <x v="3"/>
    <s v="both"/>
    <x v="1"/>
    <n v="3678"/>
    <m/>
    <m/>
    <m/>
    <m/>
    <n v="37.751014357053684"/>
    <n v="2348.1877340823967"/>
    <n v="1152.626638576779"/>
    <n v="139.43461298377028"/>
  </r>
  <r>
    <s v="River and Hatchery"/>
    <s v="Adult Males"/>
    <x v="3"/>
    <s v="both"/>
    <x v="1"/>
    <n v="3678"/>
    <m/>
    <m/>
    <m/>
    <m/>
    <n v="37.751014357053684"/>
    <n v="2348.1877340823967"/>
    <n v="1152.626638576779"/>
    <n v="139.43461298377028"/>
  </r>
  <r>
    <m/>
    <m/>
    <x v="0"/>
    <m/>
    <x v="0"/>
    <m/>
    <m/>
    <m/>
    <m/>
    <m/>
    <m/>
    <m/>
    <m/>
    <m/>
  </r>
  <r>
    <s v="River"/>
    <s v="Adult Females"/>
    <x v="1"/>
    <s v="NA"/>
    <x v="1"/>
    <n v="0"/>
    <m/>
    <m/>
    <m/>
    <m/>
    <m/>
    <m/>
    <m/>
    <m/>
  </r>
  <r>
    <s v="River"/>
    <s v="Adult Females"/>
    <x v="2"/>
    <s v="Petersen Tagged"/>
    <x v="1"/>
    <n v="648"/>
    <n v="0"/>
    <n v="69"/>
    <n v="93"/>
    <n v="7"/>
    <n v="0"/>
    <n v="264.56804733727807"/>
    <n v="356.59171597633139"/>
    <n v="26.840236686390536"/>
  </r>
  <r>
    <s v="River"/>
    <s v="Adult Females"/>
    <x v="2"/>
    <s v="No Petersen Tag"/>
    <x v="1"/>
    <n v="3164"/>
    <n v="0"/>
    <n v="54"/>
    <n v="75"/>
    <n v="8"/>
    <n v="0"/>
    <n v="1247.1240875912408"/>
    <n v="1732.1167883211679"/>
    <n v="184.75912408759123"/>
  </r>
  <r>
    <s v="Hatchery"/>
    <s v="Adult Females"/>
    <x v="1"/>
    <s v="No Petersen Tag"/>
    <x v="1"/>
    <m/>
    <m/>
    <m/>
    <m/>
    <m/>
    <n v="0"/>
    <n v="0"/>
    <n v="0"/>
    <n v="0"/>
  </r>
  <r>
    <s v="Hatchery"/>
    <s v="Adult Females"/>
    <x v="2"/>
    <s v="No Petersen Tag"/>
    <x v="1"/>
    <m/>
    <m/>
    <m/>
    <m/>
    <m/>
    <n v="0"/>
    <n v="0"/>
    <n v="0"/>
    <n v="0"/>
  </r>
  <r>
    <s v="River"/>
    <s v="Adult Females"/>
    <x v="3"/>
    <s v="both"/>
    <x v="1"/>
    <n v="3812"/>
    <m/>
    <m/>
    <m/>
    <m/>
    <n v="0"/>
    <n v="1511.692134928519"/>
    <n v="2088.7085042974991"/>
    <n v="211.59936077398177"/>
  </r>
  <r>
    <s v="River and Hatchery"/>
    <s v="Adult Females"/>
    <x v="3"/>
    <s v="both"/>
    <x v="1"/>
    <n v="3812"/>
    <m/>
    <m/>
    <m/>
    <m/>
    <n v="0"/>
    <n v="1511.692134928519"/>
    <n v="2088.7085042974991"/>
    <n v="211.59936077398177"/>
  </r>
  <r>
    <m/>
    <m/>
    <x v="0"/>
    <m/>
    <x v="0"/>
    <m/>
    <m/>
    <m/>
    <m/>
    <m/>
    <m/>
    <m/>
    <m/>
    <m/>
  </r>
  <r>
    <s v="River"/>
    <s v="Jacks"/>
    <x v="1"/>
    <s v="NA"/>
    <x v="1"/>
    <n v="0"/>
    <m/>
    <m/>
    <m/>
    <m/>
    <m/>
    <m/>
    <m/>
    <m/>
  </r>
  <r>
    <s v="River"/>
    <s v="Jacks"/>
    <x v="2"/>
    <s v="Petersen Tagged"/>
    <x v="1"/>
    <n v="14"/>
    <n v="0"/>
    <n v="1"/>
    <n v="0"/>
    <n v="0"/>
    <n v="0"/>
    <n v="14"/>
    <n v="0"/>
    <n v="0"/>
  </r>
  <r>
    <s v="River"/>
    <s v="Jacks"/>
    <x v="2"/>
    <s v="No Petersen Tag"/>
    <x v="1"/>
    <n v="14"/>
    <n v="1"/>
    <n v="1"/>
    <n v="0"/>
    <n v="0"/>
    <n v="7"/>
    <n v="7"/>
    <n v="0"/>
    <n v="0"/>
  </r>
  <r>
    <s v="Hatchery"/>
    <s v="Jacks"/>
    <x v="1"/>
    <s v="No Petersen Tag"/>
    <x v="1"/>
    <m/>
    <m/>
    <m/>
    <m/>
    <m/>
    <n v="0"/>
    <n v="0"/>
    <n v="0"/>
    <n v="0"/>
  </r>
  <r>
    <s v="Hatchery"/>
    <s v="Jacks"/>
    <x v="2"/>
    <s v="No Petersen Tag"/>
    <x v="1"/>
    <m/>
    <m/>
    <m/>
    <m/>
    <m/>
    <n v="0"/>
    <n v="0"/>
    <n v="0"/>
    <n v="0"/>
  </r>
  <r>
    <s v="River"/>
    <s v="Jacks"/>
    <x v="3"/>
    <s v="both"/>
    <x v="1"/>
    <n v="28"/>
    <m/>
    <m/>
    <m/>
    <m/>
    <n v="7"/>
    <n v="21"/>
    <n v="0"/>
    <n v="0"/>
  </r>
  <r>
    <s v="River and Hatchery"/>
    <s v="Jacks"/>
    <x v="3"/>
    <s v="both"/>
    <x v="1"/>
    <n v="28"/>
    <m/>
    <m/>
    <m/>
    <m/>
    <n v="7"/>
    <n v="21"/>
    <n v="0"/>
    <n v="0"/>
  </r>
  <r>
    <m/>
    <m/>
    <x v="0"/>
    <m/>
    <x v="0"/>
    <m/>
    <m/>
    <m/>
    <m/>
    <m/>
    <m/>
    <m/>
    <m/>
    <m/>
  </r>
  <r>
    <s v="River"/>
    <s v="Adult Males"/>
    <x v="1"/>
    <s v="NA"/>
    <x v="2"/>
    <n v="0"/>
    <n v="0"/>
    <n v="0"/>
    <n v="0"/>
    <n v="0"/>
    <m/>
    <m/>
    <m/>
    <m/>
  </r>
  <r>
    <s v="River"/>
    <s v="Adult Males"/>
    <x v="2"/>
    <s v="Petersen Tagged"/>
    <x v="2"/>
    <n v="265"/>
    <n v="0"/>
    <n v="32"/>
    <n v="66"/>
    <n v="1"/>
    <n v="0"/>
    <n v="85.656565656565661"/>
    <n v="176.66666666666666"/>
    <n v="2.6767676767676769"/>
  </r>
  <r>
    <s v="River"/>
    <s v="Adult Males"/>
    <x v="2"/>
    <s v="No Petersen Tag"/>
    <x v="2"/>
    <n v="3250"/>
    <n v="0"/>
    <n v="39"/>
    <n v="127"/>
    <n v="5"/>
    <n v="0"/>
    <n v="741.22807017543857"/>
    <n v="2413.7426900584796"/>
    <n v="95.029239766081872"/>
  </r>
  <r>
    <s v="Hatchery"/>
    <s v="Adult Males"/>
    <x v="1"/>
    <s v="No Petersen Tag"/>
    <x v="2"/>
    <m/>
    <m/>
    <m/>
    <m/>
    <m/>
    <n v="0"/>
    <n v="0"/>
    <n v="0"/>
    <n v="0"/>
  </r>
  <r>
    <s v="Hatchery"/>
    <s v="Adult Males"/>
    <x v="2"/>
    <s v="No Petersen Tag"/>
    <x v="2"/>
    <m/>
    <m/>
    <m/>
    <m/>
    <m/>
    <n v="0"/>
    <n v="0"/>
    <n v="0"/>
    <n v="0"/>
  </r>
  <r>
    <s v="River"/>
    <s v="Adult Males"/>
    <x v="3"/>
    <s v="both"/>
    <x v="2"/>
    <n v="3515"/>
    <m/>
    <m/>
    <m/>
    <m/>
    <n v="0"/>
    <n v="826.88463583200428"/>
    <n v="2590.4093567251462"/>
    <n v="97.706007442849554"/>
  </r>
  <r>
    <s v="River and Hatchery"/>
    <s v="Adult Males"/>
    <x v="3"/>
    <s v="both"/>
    <x v="2"/>
    <n v="3515"/>
    <m/>
    <m/>
    <m/>
    <m/>
    <n v="0"/>
    <n v="826.88463583200428"/>
    <n v="2590.4093567251462"/>
    <n v="97.706007442849554"/>
  </r>
  <r>
    <m/>
    <m/>
    <x v="0"/>
    <m/>
    <x v="0"/>
    <m/>
    <m/>
    <m/>
    <m/>
    <m/>
    <m/>
    <m/>
    <m/>
    <m/>
  </r>
  <r>
    <s v="River"/>
    <s v="Adult Females"/>
    <x v="1"/>
    <s v="NA"/>
    <x v="2"/>
    <n v="0"/>
    <m/>
    <m/>
    <m/>
    <m/>
    <m/>
    <m/>
    <m/>
    <m/>
  </r>
  <r>
    <s v="River"/>
    <s v="Adult Females"/>
    <x v="2"/>
    <s v="Petersen Tagged"/>
    <x v="2"/>
    <n v="466"/>
    <n v="0"/>
    <n v="31"/>
    <n v="158"/>
    <n v="1"/>
    <n v="0"/>
    <n v="76.03157894736843"/>
    <n v="387.51578947368421"/>
    <n v="2.4526315789473685"/>
  </r>
  <r>
    <s v="River"/>
    <s v="Adult Females"/>
    <x v="2"/>
    <s v="No Petersen Tag"/>
    <x v="2"/>
    <n v="4415"/>
    <n v="0"/>
    <n v="38"/>
    <n v="290"/>
    <n v="6"/>
    <n v="0"/>
    <n v="502.30538922155688"/>
    <n v="3833.3832335329339"/>
    <n v="79.311377245508979"/>
  </r>
  <r>
    <s v="Hatchery"/>
    <s v="Adult Females"/>
    <x v="1"/>
    <s v="No Petersen Tag"/>
    <x v="2"/>
    <m/>
    <m/>
    <m/>
    <m/>
    <m/>
    <n v="0"/>
    <n v="0"/>
    <n v="0"/>
    <n v="0"/>
  </r>
  <r>
    <s v="Hatchery"/>
    <s v="Adult Females"/>
    <x v="2"/>
    <s v="No Petersen Tag"/>
    <x v="2"/>
    <m/>
    <m/>
    <m/>
    <m/>
    <m/>
    <n v="0"/>
    <n v="0"/>
    <n v="0"/>
    <n v="0"/>
  </r>
  <r>
    <s v="River"/>
    <s v="Adult Females"/>
    <x v="3"/>
    <s v="both"/>
    <x v="2"/>
    <n v="4881"/>
    <m/>
    <m/>
    <m/>
    <m/>
    <n v="0"/>
    <n v="578.3369681689253"/>
    <n v="4220.8990230066183"/>
    <n v="81.76400882445634"/>
  </r>
  <r>
    <s v="River and Hatchery"/>
    <s v="Adult Females"/>
    <x v="3"/>
    <s v="both"/>
    <x v="2"/>
    <n v="4881"/>
    <m/>
    <m/>
    <m/>
    <m/>
    <n v="0"/>
    <n v="578.3369681689253"/>
    <n v="4220.8990230066183"/>
    <n v="81.76400882445634"/>
  </r>
  <r>
    <m/>
    <m/>
    <x v="0"/>
    <m/>
    <x v="0"/>
    <m/>
    <m/>
    <m/>
    <m/>
    <m/>
    <m/>
    <m/>
    <m/>
    <m/>
  </r>
  <r>
    <s v="River"/>
    <s v="Jacks"/>
    <x v="1"/>
    <s v="NA"/>
    <x v="2"/>
    <n v="0"/>
    <n v="0"/>
    <n v="0"/>
    <n v="0"/>
    <n v="0"/>
    <m/>
    <m/>
    <m/>
    <m/>
  </r>
  <r>
    <s v="River"/>
    <s v="Jacks"/>
    <x v="2"/>
    <s v="Petersen Tagged"/>
    <x v="2"/>
    <n v="3"/>
    <m/>
    <m/>
    <m/>
    <m/>
    <n v="3"/>
    <n v="0"/>
    <n v="0"/>
    <n v="0"/>
  </r>
  <r>
    <s v="River"/>
    <s v="Jacks"/>
    <x v="2"/>
    <s v="No Petersen Tag"/>
    <x v="2"/>
    <n v="16"/>
    <n v="1"/>
    <n v="0"/>
    <n v="0"/>
    <n v="0"/>
    <n v="16"/>
    <n v="0"/>
    <n v="0"/>
    <n v="0"/>
  </r>
  <r>
    <s v="Hatchery"/>
    <s v="Jacks"/>
    <x v="1"/>
    <s v="No Petersen Tag"/>
    <x v="2"/>
    <m/>
    <m/>
    <m/>
    <m/>
    <m/>
    <n v="0"/>
    <n v="0"/>
    <n v="0"/>
    <n v="0"/>
  </r>
  <r>
    <s v="Hatchery"/>
    <s v="Jacks"/>
    <x v="2"/>
    <s v="No Petersen Tag"/>
    <x v="2"/>
    <m/>
    <m/>
    <m/>
    <m/>
    <m/>
    <n v="0"/>
    <n v="0"/>
    <n v="0"/>
    <n v="0"/>
  </r>
  <r>
    <s v="River"/>
    <s v="Jacks"/>
    <x v="3"/>
    <s v="both"/>
    <x v="2"/>
    <n v="19"/>
    <m/>
    <m/>
    <m/>
    <m/>
    <n v="19"/>
    <n v="0"/>
    <n v="0"/>
    <n v="0"/>
  </r>
  <r>
    <s v="River and Hatchery"/>
    <s v="Jacks"/>
    <x v="3"/>
    <s v="both"/>
    <x v="2"/>
    <n v="19"/>
    <m/>
    <m/>
    <m/>
    <m/>
    <n v="19"/>
    <n v="0"/>
    <n v="0"/>
    <n v="0"/>
  </r>
  <r>
    <m/>
    <m/>
    <x v="0"/>
    <m/>
    <x v="0"/>
    <m/>
    <m/>
    <m/>
    <m/>
    <m/>
    <m/>
    <m/>
    <m/>
    <m/>
  </r>
  <r>
    <s v="River"/>
    <s v="Adult Males"/>
    <x v="1"/>
    <s v="NA"/>
    <x v="3"/>
    <n v="0"/>
    <m/>
    <m/>
    <m/>
    <m/>
    <m/>
    <m/>
    <m/>
    <m/>
  </r>
  <r>
    <s v="River"/>
    <s v="Adult Males"/>
    <x v="2"/>
    <s v="Petersen Tagged"/>
    <x v="3"/>
    <n v="274"/>
    <n v="4"/>
    <n v="21"/>
    <n v="28"/>
    <n v="1"/>
    <n v="20.296296296296294"/>
    <n v="106.55555555555556"/>
    <n v="142.07407407407408"/>
    <n v="5.0740740740740735"/>
  </r>
  <r>
    <s v="River"/>
    <s v="Adult Males"/>
    <x v="2"/>
    <s v="No Petersen Tag"/>
    <x v="3"/>
    <n v="1887"/>
    <n v="5"/>
    <n v="26"/>
    <n v="52"/>
    <n v="1"/>
    <n v="112.32142857142857"/>
    <n v="584.07142857142856"/>
    <n v="1168.1428571428571"/>
    <n v="22.464285714285712"/>
  </r>
  <r>
    <s v="Hatchery"/>
    <s v="Adult Males"/>
    <x v="1"/>
    <s v="No Petersen Tag"/>
    <x v="3"/>
    <m/>
    <m/>
    <m/>
    <m/>
    <m/>
    <n v="0"/>
    <n v="0"/>
    <n v="0"/>
    <n v="0"/>
  </r>
  <r>
    <s v="Hatchery"/>
    <s v="Adult Males"/>
    <x v="2"/>
    <s v="No Petersen Tag"/>
    <x v="3"/>
    <m/>
    <m/>
    <m/>
    <m/>
    <m/>
    <n v="0"/>
    <n v="0"/>
    <n v="0"/>
    <n v="0"/>
  </r>
  <r>
    <s v="River"/>
    <s v="Adult Males"/>
    <x v="3"/>
    <s v="both"/>
    <x v="3"/>
    <n v="2161"/>
    <m/>
    <m/>
    <m/>
    <m/>
    <n v="132.61772486772486"/>
    <n v="690.6269841269841"/>
    <n v="1310.2169312169312"/>
    <n v="27.538359788359784"/>
  </r>
  <r>
    <s v="River and Hatchery"/>
    <s v="Adult Males"/>
    <x v="3"/>
    <s v="both"/>
    <x v="3"/>
    <n v="2161"/>
    <m/>
    <m/>
    <m/>
    <m/>
    <n v="132.61772486772486"/>
    <n v="690.6269841269841"/>
    <n v="1310.2169312169312"/>
    <n v="27.538359788359784"/>
  </r>
  <r>
    <m/>
    <m/>
    <x v="0"/>
    <m/>
    <x v="0"/>
    <m/>
    <m/>
    <m/>
    <m/>
    <m/>
    <m/>
    <m/>
    <m/>
    <m/>
  </r>
  <r>
    <s v="River"/>
    <s v="Adult Females"/>
    <x v="1"/>
    <s v="NA"/>
    <x v="3"/>
    <n v="0"/>
    <m/>
    <m/>
    <m/>
    <m/>
    <m/>
    <m/>
    <m/>
    <m/>
  </r>
  <r>
    <s v="River"/>
    <s v="Adult Females"/>
    <x v="2"/>
    <s v="Petersen Tagged"/>
    <x v="3"/>
    <n v="396"/>
    <n v="0"/>
    <n v="59"/>
    <n v="89"/>
    <n v="3"/>
    <n v="0"/>
    <n v="154.72847682119206"/>
    <n v="233.40397350993379"/>
    <n v="7.8675496688741724"/>
  </r>
  <r>
    <s v="River"/>
    <s v="Adult Females"/>
    <x v="2"/>
    <s v="No Petersen Tag"/>
    <x v="3"/>
    <n v="1698"/>
    <n v="1"/>
    <n v="46"/>
    <n v="88"/>
    <n v="3"/>
    <n v="12.304347826086957"/>
    <n v="566"/>
    <n v="1082.782608695652"/>
    <n v="36.913043478260867"/>
  </r>
  <r>
    <s v="Hatchery"/>
    <s v="Adult Females"/>
    <x v="1"/>
    <s v="No Petersen Tag"/>
    <x v="3"/>
    <m/>
    <m/>
    <m/>
    <m/>
    <m/>
    <n v="0"/>
    <n v="0"/>
    <n v="0"/>
    <n v="0"/>
  </r>
  <r>
    <s v="Hatchery"/>
    <s v="Adult Females"/>
    <x v="2"/>
    <s v="No Petersen Tag"/>
    <x v="3"/>
    <m/>
    <m/>
    <m/>
    <m/>
    <m/>
    <n v="0"/>
    <n v="0"/>
    <n v="0"/>
    <n v="0"/>
  </r>
  <r>
    <s v="River"/>
    <s v="Adult Females"/>
    <x v="3"/>
    <s v="both"/>
    <x v="3"/>
    <n v="2094"/>
    <m/>
    <m/>
    <m/>
    <m/>
    <n v="12.304347826086957"/>
    <n v="720.72847682119209"/>
    <n v="1316.1865822055859"/>
    <n v="44.780593147135036"/>
  </r>
  <r>
    <s v="River and Hatchery"/>
    <s v="Adult Females"/>
    <x v="3"/>
    <s v="both"/>
    <x v="3"/>
    <n v="2094"/>
    <m/>
    <m/>
    <m/>
    <m/>
    <n v="12.304347826086957"/>
    <n v="720.72847682119209"/>
    <n v="1316.1865822055859"/>
    <n v="44.780593147135036"/>
  </r>
  <r>
    <m/>
    <m/>
    <x v="0"/>
    <m/>
    <x v="0"/>
    <m/>
    <m/>
    <m/>
    <m/>
    <m/>
    <m/>
    <m/>
    <m/>
    <m/>
  </r>
  <r>
    <s v="River"/>
    <s v="Jacks"/>
    <x v="1"/>
    <s v="NA"/>
    <x v="3"/>
    <n v="0"/>
    <m/>
    <m/>
    <m/>
    <m/>
    <m/>
    <m/>
    <m/>
    <m/>
  </r>
  <r>
    <s v="River"/>
    <s v="Jacks"/>
    <x v="2"/>
    <s v="Petersen Tagged"/>
    <x v="3"/>
    <n v="2"/>
    <m/>
    <m/>
    <m/>
    <m/>
    <n v="2"/>
    <n v="0"/>
    <n v="0"/>
    <n v="0"/>
  </r>
  <r>
    <s v="River"/>
    <s v="Jacks"/>
    <x v="2"/>
    <s v="No Petersen Tag"/>
    <x v="3"/>
    <n v="30"/>
    <n v="4"/>
    <n v="0"/>
    <n v="0"/>
    <n v="0"/>
    <n v="30"/>
    <n v="0"/>
    <n v="0"/>
    <n v="0"/>
  </r>
  <r>
    <s v="Hatchery"/>
    <s v="Jacks"/>
    <x v="1"/>
    <s v="No Petersen Tag"/>
    <x v="3"/>
    <m/>
    <m/>
    <m/>
    <m/>
    <m/>
    <n v="0"/>
    <n v="0"/>
    <n v="0"/>
    <n v="0"/>
  </r>
  <r>
    <s v="Hatchery"/>
    <s v="Jacks"/>
    <x v="2"/>
    <s v="No Petersen Tag"/>
    <x v="3"/>
    <m/>
    <m/>
    <m/>
    <m/>
    <m/>
    <n v="0"/>
    <n v="0"/>
    <n v="0"/>
    <n v="0"/>
  </r>
  <r>
    <s v="River"/>
    <s v="Jacks"/>
    <x v="3"/>
    <s v="both"/>
    <x v="3"/>
    <n v="32"/>
    <m/>
    <m/>
    <m/>
    <m/>
    <n v="32"/>
    <n v="0"/>
    <n v="0"/>
    <n v="0"/>
  </r>
  <r>
    <s v="River and Hatchery"/>
    <s v="Jacks"/>
    <x v="3"/>
    <s v="both"/>
    <x v="3"/>
    <n v="32"/>
    <m/>
    <m/>
    <m/>
    <m/>
    <n v="32"/>
    <n v="0"/>
    <n v="0"/>
    <n v="0"/>
  </r>
  <r>
    <m/>
    <m/>
    <x v="0"/>
    <m/>
    <x v="0"/>
    <m/>
    <m/>
    <m/>
    <m/>
    <m/>
    <m/>
    <m/>
    <m/>
    <m/>
  </r>
  <r>
    <s v="River"/>
    <s v="Adult Males"/>
    <x v="1"/>
    <s v="NA"/>
    <x v="4"/>
    <n v="0"/>
    <m/>
    <m/>
    <m/>
    <m/>
    <m/>
    <m/>
    <m/>
    <m/>
  </r>
  <r>
    <s v="River"/>
    <s v="Adult Males"/>
    <x v="2"/>
    <s v="Petersen Tagged"/>
    <x v="4"/>
    <n v="367"/>
    <n v="16"/>
    <n v="110"/>
    <n v="28"/>
    <n v="0"/>
    <n v="38.129870129870135"/>
    <n v="262.14285714285717"/>
    <n v="66.727272727272734"/>
    <n v="0"/>
  </r>
  <r>
    <s v="River"/>
    <s v="Adult Males"/>
    <x v="2"/>
    <s v="No Petersen Tag"/>
    <x v="4"/>
    <n v="1771"/>
    <n v="16"/>
    <n v="107"/>
    <n v="43"/>
    <n v="1"/>
    <n v="169.67664670658684"/>
    <n v="1134.7125748502995"/>
    <n v="456.00598802395206"/>
    <n v="10.604790419161677"/>
  </r>
  <r>
    <s v="Hatchery"/>
    <s v="Adult Males"/>
    <x v="1"/>
    <s v="No Petersen Tag"/>
    <x v="4"/>
    <m/>
    <m/>
    <m/>
    <m/>
    <m/>
    <n v="0"/>
    <n v="0"/>
    <n v="0"/>
    <n v="0"/>
  </r>
  <r>
    <s v="Hatchery"/>
    <s v="Adult Males"/>
    <x v="2"/>
    <s v="No Petersen Tag"/>
    <x v="4"/>
    <m/>
    <m/>
    <m/>
    <m/>
    <m/>
    <n v="0"/>
    <n v="0"/>
    <n v="0"/>
    <n v="0"/>
  </r>
  <r>
    <s v="River"/>
    <s v="Adult Males"/>
    <x v="3"/>
    <s v="both"/>
    <x v="4"/>
    <n v="2138"/>
    <m/>
    <m/>
    <m/>
    <m/>
    <n v="207.80651683645698"/>
    <n v="1396.8554319931566"/>
    <n v="522.73326075122475"/>
    <n v="10.604790419161677"/>
  </r>
  <r>
    <s v="River and Hatchery"/>
    <s v="Adult Males"/>
    <x v="3"/>
    <s v="both"/>
    <x v="4"/>
    <n v="2138"/>
    <m/>
    <m/>
    <m/>
    <m/>
    <n v="207.80651683645698"/>
    <n v="1396.8554319931566"/>
    <n v="522.73326075122475"/>
    <n v="10.604790419161677"/>
  </r>
  <r>
    <m/>
    <m/>
    <x v="0"/>
    <m/>
    <x v="0"/>
    <m/>
    <m/>
    <m/>
    <m/>
    <m/>
    <m/>
    <m/>
    <m/>
    <m/>
  </r>
  <r>
    <s v="River"/>
    <s v="Adult Females"/>
    <x v="1"/>
    <s v="NA"/>
    <x v="4"/>
    <n v="0"/>
    <m/>
    <m/>
    <m/>
    <m/>
    <m/>
    <m/>
    <m/>
    <m/>
  </r>
  <r>
    <s v="River"/>
    <s v="Adult Females"/>
    <x v="2"/>
    <s v="Petersen Tagged"/>
    <x v="4"/>
    <n v="368"/>
    <n v="4"/>
    <n v="93"/>
    <n v="93"/>
    <n v="2"/>
    <n v="7.6666666666666661"/>
    <n v="178.25"/>
    <n v="178.25"/>
    <n v="3.833333333333333"/>
  </r>
  <r>
    <s v="River"/>
    <s v="Adult Females"/>
    <x v="2"/>
    <s v="No Petersen Tag"/>
    <x v="4"/>
    <n v="1725"/>
    <n v="1"/>
    <n v="141"/>
    <n v="122"/>
    <n v="4"/>
    <n v="6.4365671641791042"/>
    <n v="907.55597014925377"/>
    <n v="785.26119402985069"/>
    <n v="25.746268656716417"/>
  </r>
  <r>
    <s v="Hatchery"/>
    <s v="Adult Females"/>
    <x v="1"/>
    <s v="No Petersen Tag"/>
    <x v="4"/>
    <m/>
    <m/>
    <m/>
    <m/>
    <m/>
    <n v="0"/>
    <n v="0"/>
    <n v="0"/>
    <n v="0"/>
  </r>
  <r>
    <s v="Hatchery"/>
    <s v="Adult Females"/>
    <x v="2"/>
    <s v="No Petersen Tag"/>
    <x v="4"/>
    <m/>
    <m/>
    <m/>
    <m/>
    <m/>
    <n v="0"/>
    <n v="0"/>
    <n v="0"/>
    <n v="0"/>
  </r>
  <r>
    <s v="River"/>
    <s v="Adult Females"/>
    <x v="3"/>
    <s v="both"/>
    <x v="4"/>
    <n v="2093"/>
    <m/>
    <m/>
    <m/>
    <m/>
    <n v="14.10323383084577"/>
    <n v="1085.8059701492539"/>
    <n v="963.51119402985069"/>
    <n v="29.579601990049749"/>
  </r>
  <r>
    <s v="River and Hatchery"/>
    <s v="Adult Females"/>
    <x v="3"/>
    <s v="both"/>
    <x v="4"/>
    <n v="2093"/>
    <m/>
    <m/>
    <m/>
    <m/>
    <n v="14.10323383084577"/>
    <n v="1085.8059701492539"/>
    <n v="963.51119402985069"/>
    <n v="29.579601990049749"/>
  </r>
  <r>
    <m/>
    <m/>
    <x v="0"/>
    <m/>
    <x v="0"/>
    <m/>
    <m/>
    <m/>
    <m/>
    <m/>
    <m/>
    <m/>
    <m/>
    <m/>
  </r>
  <r>
    <s v="River"/>
    <s v="Jacks"/>
    <x v="1"/>
    <s v="NA"/>
    <x v="4"/>
    <n v="0"/>
    <n v="0"/>
    <n v="0"/>
    <n v="0"/>
    <n v="0"/>
    <m/>
    <m/>
    <m/>
    <m/>
  </r>
  <r>
    <s v="River"/>
    <s v="Jacks"/>
    <x v="2"/>
    <s v="Petersen Tagged"/>
    <x v="4"/>
    <n v="21"/>
    <n v="3"/>
    <n v="0"/>
    <n v="0"/>
    <n v="0"/>
    <n v="21"/>
    <n v="0"/>
    <n v="0"/>
    <n v="0"/>
  </r>
  <r>
    <s v="River"/>
    <s v="Jacks"/>
    <x v="2"/>
    <s v="No Petersen Tag"/>
    <x v="4"/>
    <n v="171"/>
    <n v="36"/>
    <n v="3"/>
    <n v="0"/>
    <n v="0"/>
    <n v="157.84615384615387"/>
    <n v="13.153846153846155"/>
    <n v="0"/>
    <n v="0"/>
  </r>
  <r>
    <s v="Hatchery"/>
    <s v="Jacks"/>
    <x v="1"/>
    <s v="No Petersen Tag"/>
    <x v="4"/>
    <m/>
    <m/>
    <m/>
    <m/>
    <m/>
    <n v="0"/>
    <n v="0"/>
    <n v="0"/>
    <n v="0"/>
  </r>
  <r>
    <s v="Hatchery"/>
    <s v="Jacks"/>
    <x v="2"/>
    <s v="No Petersen Tag"/>
    <x v="4"/>
    <m/>
    <m/>
    <m/>
    <m/>
    <m/>
    <n v="0"/>
    <n v="0"/>
    <n v="0"/>
    <n v="0"/>
  </r>
  <r>
    <s v="River"/>
    <s v="Jacks"/>
    <x v="3"/>
    <s v="both"/>
    <x v="4"/>
    <n v="192"/>
    <m/>
    <m/>
    <m/>
    <m/>
    <n v="178.84615384615387"/>
    <n v="13.153846153846155"/>
    <n v="0"/>
    <n v="0"/>
  </r>
  <r>
    <s v="River and Hatchery"/>
    <s v="Jacks"/>
    <x v="3"/>
    <s v="both"/>
    <x v="4"/>
    <n v="192"/>
    <m/>
    <m/>
    <m/>
    <m/>
    <n v="178.84615384615387"/>
    <n v="13.153846153846155"/>
    <n v="0"/>
    <n v="0"/>
  </r>
  <r>
    <m/>
    <m/>
    <x v="0"/>
    <m/>
    <x v="0"/>
    <m/>
    <m/>
    <m/>
    <m/>
    <m/>
    <m/>
    <m/>
    <m/>
    <m/>
  </r>
  <r>
    <s v="River"/>
    <s v="Adult Males"/>
    <x v="1"/>
    <s v="NA"/>
    <x v="5"/>
    <n v="0"/>
    <m/>
    <m/>
    <m/>
    <m/>
    <m/>
    <m/>
    <m/>
    <m/>
  </r>
  <r>
    <s v="River"/>
    <s v="Adult Males"/>
    <x v="2"/>
    <s v="Petersen Tagged"/>
    <x v="5"/>
    <n v="824"/>
    <n v="1"/>
    <n v="49"/>
    <n v="25"/>
    <n v="1"/>
    <n v="10.842105263157894"/>
    <n v="531.26315789473688"/>
    <n v="271.0526315789474"/>
    <n v="10.842105263157894"/>
  </r>
  <r>
    <s v="River"/>
    <s v="Adult Males"/>
    <x v="2"/>
    <s v="No Petersen Tag"/>
    <x v="5"/>
    <n v="6306"/>
    <n v="0"/>
    <n v="39"/>
    <n v="37"/>
    <n v="1"/>
    <n v="0"/>
    <n v="3193.9480519480517"/>
    <n v="3030.1558441558441"/>
    <n v="81.896103896103895"/>
  </r>
  <r>
    <s v="Hatchery"/>
    <s v="Adult Males"/>
    <x v="1"/>
    <s v="No Petersen Tag"/>
    <x v="5"/>
    <n v="0"/>
    <m/>
    <m/>
    <m/>
    <m/>
    <n v="0"/>
    <n v="0"/>
    <n v="0"/>
    <n v="0"/>
  </r>
  <r>
    <s v="Hatchery"/>
    <s v="Adult Males"/>
    <x v="2"/>
    <s v="No Petersen Tag"/>
    <x v="5"/>
    <n v="51"/>
    <m/>
    <m/>
    <m/>
    <m/>
    <n v="0"/>
    <n v="25.831168831168828"/>
    <n v="24.506493506493506"/>
    <n v="0.66233766233766234"/>
  </r>
  <r>
    <s v="River"/>
    <s v="Adult Males"/>
    <x v="3"/>
    <s v="both"/>
    <x v="5"/>
    <n v="7130"/>
    <m/>
    <m/>
    <m/>
    <m/>
    <n v="10.842105263157894"/>
    <n v="3725.2112098427888"/>
    <n v="3301.2084757347916"/>
    <n v="92.738209159261785"/>
  </r>
  <r>
    <s v="River and Hatchery"/>
    <s v="Adult Males"/>
    <x v="3"/>
    <s v="both"/>
    <x v="5"/>
    <n v="7181"/>
    <m/>
    <m/>
    <m/>
    <m/>
    <n v="10.842105263157894"/>
    <n v="3751.0423786739575"/>
    <n v="3325.714969241285"/>
    <n v="93.400546821599448"/>
  </r>
  <r>
    <m/>
    <m/>
    <x v="0"/>
    <m/>
    <x v="0"/>
    <m/>
    <m/>
    <m/>
    <m/>
    <m/>
    <m/>
    <m/>
    <m/>
    <m/>
  </r>
  <r>
    <s v="River"/>
    <s v="Adult Females"/>
    <x v="1"/>
    <s v="NA"/>
    <x v="5"/>
    <n v="0"/>
    <m/>
    <m/>
    <m/>
    <m/>
    <m/>
    <m/>
    <m/>
    <m/>
  </r>
  <r>
    <s v="River"/>
    <s v="Adult Females"/>
    <x v="2"/>
    <s v="Petersen Tagged"/>
    <x v="5"/>
    <n v="793"/>
    <n v="0"/>
    <n v="51"/>
    <n v="79"/>
    <n v="0"/>
    <n v="0"/>
    <n v="311.10000000000002"/>
    <n v="481.9"/>
    <n v="0"/>
  </r>
  <r>
    <s v="River"/>
    <s v="Adult Females"/>
    <x v="2"/>
    <s v="No Petersen Tag"/>
    <x v="5"/>
    <n v="5323"/>
    <n v="0"/>
    <n v="48"/>
    <n v="98"/>
    <n v="1"/>
    <n v="0"/>
    <n v="1738.1224489795918"/>
    <n v="3548.6666666666665"/>
    <n v="36.210884353741498"/>
  </r>
  <r>
    <s v="Hatchery"/>
    <s v="Adult Females"/>
    <x v="1"/>
    <s v="No Petersen Tag"/>
    <x v="5"/>
    <n v="0"/>
    <m/>
    <m/>
    <m/>
    <m/>
    <n v="0"/>
    <n v="0"/>
    <n v="0"/>
    <n v="0"/>
  </r>
  <r>
    <s v="Hatchery"/>
    <s v="Adult Females"/>
    <x v="2"/>
    <s v="No Petersen Tag"/>
    <x v="5"/>
    <n v="49"/>
    <m/>
    <m/>
    <m/>
    <m/>
    <n v="0"/>
    <n v="15.999999999999998"/>
    <n v="32.666666666666664"/>
    <n v="0.33333333333333331"/>
  </r>
  <r>
    <s v="River"/>
    <s v="Adult Females"/>
    <x v="3"/>
    <s v="both"/>
    <x v="5"/>
    <n v="6116"/>
    <m/>
    <m/>
    <m/>
    <m/>
    <n v="0"/>
    <n v="2049.2224489795917"/>
    <n v="4030.5666666666666"/>
    <n v="36.210884353741498"/>
  </r>
  <r>
    <s v="River and Hatchery"/>
    <s v="Adult Females"/>
    <x v="3"/>
    <s v="both"/>
    <x v="5"/>
    <n v="6165"/>
    <m/>
    <m/>
    <m/>
    <m/>
    <n v="0"/>
    <n v="2065.2224489795917"/>
    <n v="4063.2333333333331"/>
    <n v="36.544217687074834"/>
  </r>
  <r>
    <m/>
    <m/>
    <x v="0"/>
    <m/>
    <x v="0"/>
    <m/>
    <m/>
    <m/>
    <m/>
    <m/>
    <m/>
    <m/>
    <m/>
    <m/>
  </r>
  <r>
    <s v="River"/>
    <s v="Jacks"/>
    <x v="1"/>
    <s v="NA"/>
    <x v="5"/>
    <n v="0"/>
    <m/>
    <m/>
    <m/>
    <m/>
    <m/>
    <m/>
    <m/>
    <m/>
  </r>
  <r>
    <s v="River"/>
    <s v="Jacks"/>
    <x v="2"/>
    <s v="Petersen Tagged"/>
    <x v="5"/>
    <n v="2"/>
    <m/>
    <m/>
    <m/>
    <m/>
    <n v="2"/>
    <n v="0"/>
    <n v="0"/>
    <n v="0"/>
  </r>
  <r>
    <s v="River"/>
    <s v="Jacks"/>
    <x v="2"/>
    <s v="No Petersen Tag"/>
    <x v="5"/>
    <n v="18"/>
    <n v="1"/>
    <n v="0"/>
    <n v="0"/>
    <n v="0"/>
    <n v="18"/>
    <n v="0"/>
    <n v="0"/>
    <n v="0"/>
  </r>
  <r>
    <s v="Hatchery"/>
    <s v="Jacks"/>
    <x v="1"/>
    <s v="No Petersen Tag"/>
    <x v="5"/>
    <m/>
    <m/>
    <m/>
    <m/>
    <m/>
    <n v="0"/>
    <n v="0"/>
    <n v="0"/>
    <n v="0"/>
  </r>
  <r>
    <s v="Hatchery"/>
    <s v="Jacks"/>
    <x v="2"/>
    <s v="No Petersen Tag"/>
    <x v="5"/>
    <m/>
    <m/>
    <m/>
    <m/>
    <m/>
    <n v="0"/>
    <n v="0"/>
    <n v="0"/>
    <n v="0"/>
  </r>
  <r>
    <s v="River"/>
    <s v="Jacks"/>
    <x v="3"/>
    <s v="both"/>
    <x v="5"/>
    <n v="20"/>
    <m/>
    <m/>
    <m/>
    <m/>
    <n v="20"/>
    <n v="0"/>
    <n v="0"/>
    <n v="0"/>
  </r>
  <r>
    <s v="River and Hatchery"/>
    <s v="Jacks"/>
    <x v="3"/>
    <s v="both"/>
    <x v="5"/>
    <n v="20"/>
    <m/>
    <m/>
    <m/>
    <m/>
    <n v="20"/>
    <n v="0"/>
    <n v="0"/>
    <n v="0"/>
  </r>
  <r>
    <m/>
    <m/>
    <x v="0"/>
    <m/>
    <x v="0"/>
    <m/>
    <m/>
    <m/>
    <m/>
    <m/>
    <m/>
    <m/>
    <m/>
    <m/>
  </r>
  <r>
    <s v="2015 sex correction"/>
    <m/>
    <x v="0"/>
    <m/>
    <x v="0"/>
    <m/>
    <m/>
    <m/>
    <m/>
    <m/>
    <m/>
    <m/>
    <m/>
    <m/>
  </r>
  <r>
    <s v="River"/>
    <s v="Adult Males"/>
    <x v="1"/>
    <s v="NA"/>
    <x v="6"/>
    <n v="0"/>
    <m/>
    <m/>
    <m/>
    <m/>
    <m/>
    <m/>
    <m/>
    <m/>
  </r>
  <r>
    <s v="River"/>
    <s v="Adult Males"/>
    <x v="2"/>
    <s v="Petersen Tagged"/>
    <x v="6"/>
    <n v="583"/>
    <n v="1"/>
    <n v="42"/>
    <n v="50"/>
    <n v="2"/>
    <n v="6.1368421052631579"/>
    <n v="257.74736842105261"/>
    <n v="306.84210526315786"/>
    <n v="12.273684210526316"/>
  </r>
  <r>
    <s v="River"/>
    <s v="Adult Males"/>
    <x v="2"/>
    <s v="No Petersen Tag"/>
    <x v="6"/>
    <n v="4276"/>
    <n v="0"/>
    <n v="34"/>
    <n v="63"/>
    <n v="1"/>
    <n v="0"/>
    <n v="1483.5102040816325"/>
    <n v="2748.8571428571431"/>
    <n v="43.632653061224488"/>
  </r>
  <r>
    <s v="Hatchery"/>
    <s v="Adult Males"/>
    <x v="1"/>
    <s v="No Petersen Tag"/>
    <x v="6"/>
    <n v="0"/>
    <m/>
    <m/>
    <m/>
    <m/>
    <n v="0"/>
    <n v="0"/>
    <n v="0"/>
    <n v="0"/>
  </r>
  <r>
    <s v="Hatchery"/>
    <s v="Adult Males"/>
    <x v="2"/>
    <s v="No Petersen Tag"/>
    <x v="6"/>
    <n v="32"/>
    <m/>
    <m/>
    <m/>
    <m/>
    <n v="0"/>
    <n v="11.102040816326531"/>
    <n v="20.571428571428573"/>
    <n v="0.32653061224489793"/>
  </r>
  <r>
    <s v="River"/>
    <s v="Adult Males"/>
    <x v="3"/>
    <s v="both"/>
    <x v="6"/>
    <n v="4859"/>
    <m/>
    <m/>
    <m/>
    <m/>
    <n v="6.1368421052631579"/>
    <n v="1741.2575725026852"/>
    <n v="3055.699248120301"/>
    <n v="55.9063372717508"/>
  </r>
  <r>
    <s v="River and Hatchery"/>
    <s v="Adult Males"/>
    <x v="3"/>
    <s v="both"/>
    <x v="6"/>
    <n v="4891"/>
    <m/>
    <m/>
    <m/>
    <m/>
    <n v="6.1368421052631579"/>
    <n v="1752.3596133190117"/>
    <n v="3076.2706766917295"/>
    <n v="56.232867883995695"/>
  </r>
  <r>
    <m/>
    <m/>
    <x v="0"/>
    <m/>
    <x v="0"/>
    <m/>
    <m/>
    <m/>
    <m/>
    <m/>
    <m/>
    <m/>
    <m/>
    <m/>
  </r>
  <r>
    <s v="River"/>
    <s v="Adult Females"/>
    <x v="1"/>
    <s v="NA"/>
    <x v="6"/>
    <n v="0"/>
    <m/>
    <m/>
    <m/>
    <m/>
    <m/>
    <m/>
    <m/>
    <m/>
  </r>
  <r>
    <s v="River"/>
    <s v="Adult Females"/>
    <x v="2"/>
    <s v="Petersen Tagged"/>
    <x v="6"/>
    <n v="817"/>
    <n v="0"/>
    <n v="64"/>
    <n v="152"/>
    <n v="1"/>
    <n v="0"/>
    <n v="240.95852534562212"/>
    <n v="572.27649769585253"/>
    <n v="3.7649769585253456"/>
  </r>
  <r>
    <s v="River"/>
    <s v="Adult Females"/>
    <x v="2"/>
    <s v="No Petersen Tag"/>
    <x v="6"/>
    <n v="5245"/>
    <n v="0"/>
    <n v="36"/>
    <n v="103"/>
    <n v="1"/>
    <n v="0"/>
    <n v="1348.7142857142856"/>
    <n v="3858.8214285714289"/>
    <n v="37.464285714285715"/>
  </r>
  <r>
    <s v="Hatchery"/>
    <s v="Adult Females"/>
    <x v="1"/>
    <s v="No Petersen Tag"/>
    <x v="6"/>
    <n v="0"/>
    <m/>
    <m/>
    <m/>
    <m/>
    <n v="0"/>
    <n v="0"/>
    <n v="0"/>
    <n v="0"/>
  </r>
  <r>
    <s v="Hatchery"/>
    <s v="Adult Females"/>
    <x v="2"/>
    <s v="No Petersen Tag"/>
    <x v="6"/>
    <n v="32"/>
    <m/>
    <m/>
    <m/>
    <m/>
    <n v="0"/>
    <n v="8.2285714285714278"/>
    <n v="23.542857142857144"/>
    <n v="0.22857142857142856"/>
  </r>
  <r>
    <s v="River"/>
    <s v="Adult Females"/>
    <x v="3"/>
    <s v="both"/>
    <x v="6"/>
    <n v="6062"/>
    <m/>
    <m/>
    <m/>
    <m/>
    <n v="0"/>
    <n v="1589.6728110599076"/>
    <n v="4431.0979262672818"/>
    <n v="41.22926267281106"/>
  </r>
  <r>
    <s v="River and Hatchery"/>
    <s v="Adult Females"/>
    <x v="3"/>
    <s v="both"/>
    <x v="6"/>
    <n v="6094"/>
    <m/>
    <m/>
    <m/>
    <m/>
    <n v="0"/>
    <n v="1597.9013824884792"/>
    <n v="4454.6407834101392"/>
    <n v="41.457834101382488"/>
  </r>
  <r>
    <m/>
    <m/>
    <x v="0"/>
    <m/>
    <x v="0"/>
    <m/>
    <m/>
    <m/>
    <m/>
    <m/>
    <m/>
    <m/>
    <m/>
    <m/>
  </r>
  <r>
    <s v="River"/>
    <s v="Jacks"/>
    <x v="1"/>
    <s v="NA"/>
    <x v="6"/>
    <n v="0"/>
    <m/>
    <m/>
    <m/>
    <m/>
    <m/>
    <m/>
    <m/>
    <m/>
  </r>
  <r>
    <s v="River"/>
    <s v="Jacks"/>
    <x v="2"/>
    <s v="Petersen Tagged"/>
    <x v="6"/>
    <n v="2"/>
    <m/>
    <m/>
    <m/>
    <m/>
    <n v="2"/>
    <n v="0"/>
    <n v="0"/>
    <n v="0"/>
  </r>
  <r>
    <s v="River"/>
    <s v="Jacks"/>
    <x v="2"/>
    <s v="No Petersen Tag"/>
    <x v="6"/>
    <n v="11"/>
    <n v="1"/>
    <n v="0"/>
    <n v="0"/>
    <n v="0"/>
    <n v="11"/>
    <n v="0"/>
    <n v="0"/>
    <n v="0"/>
  </r>
  <r>
    <s v="Hatchery"/>
    <s v="Jacks"/>
    <x v="1"/>
    <s v="No Petersen Tag"/>
    <x v="6"/>
    <m/>
    <m/>
    <m/>
    <m/>
    <m/>
    <n v="0"/>
    <n v="0"/>
    <n v="0"/>
    <n v="0"/>
  </r>
  <r>
    <s v="Hatchery"/>
    <s v="Jacks"/>
    <x v="2"/>
    <s v="No Petersen Tag"/>
    <x v="6"/>
    <m/>
    <m/>
    <m/>
    <m/>
    <m/>
    <n v="0"/>
    <n v="0"/>
    <n v="0"/>
    <n v="0"/>
  </r>
  <r>
    <s v="River"/>
    <s v="Jacks"/>
    <x v="3"/>
    <s v="both"/>
    <x v="6"/>
    <n v="13"/>
    <m/>
    <m/>
    <m/>
    <m/>
    <n v="13"/>
    <n v="0"/>
    <n v="0"/>
    <n v="0"/>
  </r>
  <r>
    <s v="River and Hatchery"/>
    <s v="Jacks"/>
    <x v="3"/>
    <s v="both"/>
    <x v="6"/>
    <n v="13"/>
    <m/>
    <m/>
    <m/>
    <m/>
    <n v="13"/>
    <n v="0"/>
    <n v="0"/>
    <n v="0"/>
  </r>
  <r>
    <m/>
    <m/>
    <x v="0"/>
    <m/>
    <x v="0"/>
    <m/>
    <m/>
    <m/>
    <m/>
    <m/>
    <m/>
    <m/>
    <m/>
    <m/>
  </r>
  <r>
    <s v="2016 sex correction"/>
    <m/>
    <x v="0"/>
    <m/>
    <x v="0"/>
    <m/>
    <m/>
    <m/>
    <m/>
    <m/>
    <m/>
    <m/>
    <m/>
    <m/>
  </r>
  <r>
    <s v="River"/>
    <s v="Adult Males"/>
    <x v="1"/>
    <s v="NA"/>
    <x v="7"/>
    <n v="0"/>
    <m/>
    <m/>
    <m/>
    <m/>
    <m/>
    <m/>
    <m/>
    <m/>
  </r>
  <r>
    <s v="River"/>
    <s v="Adult Males"/>
    <x v="2"/>
    <s v="Petersen Tagged"/>
    <x v="7"/>
    <n v="284"/>
    <n v="0"/>
    <n v="4"/>
    <n v="6"/>
    <n v="2"/>
    <n v="0"/>
    <n v="94.666666666666657"/>
    <n v="142"/>
    <n v="47.333333333333329"/>
  </r>
  <r>
    <s v="River"/>
    <s v="Adult Males"/>
    <x v="2"/>
    <s v="No Petersen Tag"/>
    <x v="7"/>
    <n v="1908"/>
    <n v="0"/>
    <n v="17"/>
    <n v="25"/>
    <n v="3"/>
    <n v="0"/>
    <n v="720.8"/>
    <n v="1060"/>
    <n v="127.2"/>
  </r>
  <r>
    <s v="Hatchery"/>
    <s v="Adult Males"/>
    <x v="1"/>
    <s v="No Petersen Tag"/>
    <x v="7"/>
    <n v="0"/>
    <m/>
    <m/>
    <m/>
    <m/>
    <n v="0"/>
    <n v="0"/>
    <n v="0"/>
    <n v="0"/>
  </r>
  <r>
    <s v="Hatchery"/>
    <s v="Adult Males"/>
    <x v="2"/>
    <s v="No Petersen Tag"/>
    <x v="7"/>
    <n v="25"/>
    <m/>
    <m/>
    <m/>
    <m/>
    <n v="0"/>
    <n v="9.4444444444444446"/>
    <n v="13.888888888888889"/>
    <n v="1.6666666666666667"/>
  </r>
  <r>
    <s v="River"/>
    <s v="Adult Males"/>
    <x v="3"/>
    <s v="both"/>
    <x v="7"/>
    <n v="2192"/>
    <m/>
    <m/>
    <m/>
    <m/>
    <n v="0"/>
    <n v="815.46666666666658"/>
    <n v="1202"/>
    <n v="174.53333333333333"/>
  </r>
  <r>
    <s v="River and Hatchery"/>
    <s v="Adult Males"/>
    <x v="3"/>
    <s v="both"/>
    <x v="7"/>
    <n v="2217"/>
    <m/>
    <m/>
    <m/>
    <m/>
    <n v="0"/>
    <n v="824.91111111111104"/>
    <n v="1215.8888888888889"/>
    <n v="176.2"/>
  </r>
  <r>
    <m/>
    <m/>
    <x v="0"/>
    <m/>
    <x v="0"/>
    <m/>
    <m/>
    <m/>
    <m/>
    <m/>
    <m/>
    <m/>
    <m/>
    <m/>
  </r>
  <r>
    <s v="River"/>
    <s v="Adult Females"/>
    <x v="1"/>
    <s v="NA"/>
    <x v="7"/>
    <n v="0"/>
    <m/>
    <m/>
    <m/>
    <m/>
    <m/>
    <m/>
    <m/>
    <m/>
  </r>
  <r>
    <s v="River"/>
    <s v="Adult Females"/>
    <x v="2"/>
    <s v="Petersen Tagged"/>
    <x v="7"/>
    <n v="244"/>
    <n v="0"/>
    <n v="11"/>
    <n v="18"/>
    <n v="3"/>
    <n v="0"/>
    <n v="83.875"/>
    <n v="137.25"/>
    <n v="22.875"/>
  </r>
  <r>
    <s v="River"/>
    <s v="Adult Females"/>
    <x v="2"/>
    <s v="No Petersen Tag"/>
    <x v="7"/>
    <n v="1687"/>
    <n v="0"/>
    <n v="25"/>
    <n v="92"/>
    <n v="8"/>
    <n v="0"/>
    <n v="337.40000000000003"/>
    <n v="1241.6320000000001"/>
    <n v="107.968"/>
  </r>
  <r>
    <s v="Hatchery"/>
    <s v="Adult Females"/>
    <x v="1"/>
    <s v="No Petersen Tag"/>
    <x v="7"/>
    <n v="0"/>
    <m/>
    <m/>
    <m/>
    <m/>
    <n v="0"/>
    <n v="0"/>
    <n v="0"/>
    <n v="0"/>
  </r>
  <r>
    <s v="Hatchery"/>
    <s v="Adult Females"/>
    <x v="2"/>
    <s v="No Petersen Tag"/>
    <x v="7"/>
    <n v="26"/>
    <m/>
    <m/>
    <m/>
    <m/>
    <n v="0"/>
    <n v="5.2"/>
    <n v="19.135999999999999"/>
    <n v="1.6640000000000001"/>
  </r>
  <r>
    <s v="River"/>
    <s v="Adult Females"/>
    <x v="3"/>
    <s v="both"/>
    <x v="7"/>
    <n v="1931"/>
    <m/>
    <m/>
    <m/>
    <m/>
    <n v="0"/>
    <n v="421.27500000000003"/>
    <n v="1378.8820000000001"/>
    <n v="130.84300000000002"/>
  </r>
  <r>
    <s v="River and Hatchery"/>
    <s v="Adult Females"/>
    <x v="3"/>
    <s v="both"/>
    <x v="7"/>
    <n v="1957"/>
    <m/>
    <m/>
    <m/>
    <m/>
    <n v="0"/>
    <n v="426.47500000000002"/>
    <n v="1398.018"/>
    <n v="132.50700000000001"/>
  </r>
  <r>
    <m/>
    <m/>
    <x v="0"/>
    <m/>
    <x v="0"/>
    <m/>
    <m/>
    <m/>
    <m/>
    <m/>
    <m/>
    <m/>
    <m/>
    <m/>
  </r>
  <r>
    <s v="River"/>
    <s v="Jacks"/>
    <x v="1"/>
    <s v="NA"/>
    <x v="7"/>
    <n v="0"/>
    <m/>
    <m/>
    <m/>
    <m/>
    <m/>
    <m/>
    <m/>
    <m/>
  </r>
  <r>
    <s v="River"/>
    <s v="Jacks"/>
    <x v="2"/>
    <s v="Petersen Tagged"/>
    <x v="7"/>
    <n v="4"/>
    <m/>
    <m/>
    <m/>
    <m/>
    <n v="4"/>
    <n v="0"/>
    <n v="0"/>
    <n v="0"/>
  </r>
  <r>
    <s v="River"/>
    <s v="Jacks"/>
    <x v="2"/>
    <s v="No Petersen Tag"/>
    <x v="7"/>
    <n v="105"/>
    <n v="1"/>
    <n v="0"/>
    <n v="0"/>
    <n v="0"/>
    <n v="105"/>
    <n v="0"/>
    <n v="0"/>
    <n v="0"/>
  </r>
  <r>
    <s v="Hatchery"/>
    <s v="Jacks"/>
    <x v="1"/>
    <s v="No Petersen Tag"/>
    <x v="7"/>
    <m/>
    <m/>
    <m/>
    <m/>
    <m/>
    <n v="0"/>
    <n v="0"/>
    <n v="0"/>
    <n v="0"/>
  </r>
  <r>
    <s v="Hatchery"/>
    <s v="Jacks"/>
    <x v="2"/>
    <s v="No Petersen Tag"/>
    <x v="7"/>
    <m/>
    <m/>
    <m/>
    <m/>
    <m/>
    <n v="0"/>
    <n v="0"/>
    <n v="0"/>
    <n v="0"/>
  </r>
  <r>
    <s v="River"/>
    <s v="Jacks"/>
    <x v="3"/>
    <s v="both"/>
    <x v="7"/>
    <n v="109"/>
    <m/>
    <m/>
    <m/>
    <m/>
    <n v="109"/>
    <n v="0"/>
    <n v="0"/>
    <n v="0"/>
  </r>
  <r>
    <s v="River and Hatchery"/>
    <s v="Jacks"/>
    <x v="3"/>
    <s v="both"/>
    <x v="7"/>
    <n v="109"/>
    <m/>
    <m/>
    <m/>
    <m/>
    <n v="109"/>
    <n v="0"/>
    <n v="0"/>
    <n v="0"/>
  </r>
  <r>
    <m/>
    <m/>
    <x v="0"/>
    <m/>
    <x v="0"/>
    <m/>
    <m/>
    <m/>
    <m/>
    <m/>
    <m/>
    <m/>
    <m/>
    <m/>
  </r>
  <r>
    <s v="2017 sex correction"/>
    <m/>
    <x v="0"/>
    <m/>
    <x v="0"/>
    <m/>
    <s v="First Year when Age 3 CWT may be available."/>
    <m/>
    <m/>
    <m/>
    <m/>
    <m/>
    <m/>
    <m/>
  </r>
  <r>
    <s v="River"/>
    <s v="Adult Males"/>
    <x v="1"/>
    <s v="NA"/>
    <x v="8"/>
    <n v="2"/>
    <n v="1"/>
    <n v="0"/>
    <n v="0"/>
    <n v="0"/>
    <n v="2"/>
    <n v="0"/>
    <n v="0"/>
    <n v="0"/>
  </r>
  <r>
    <s v="River"/>
    <s v="Adult Males"/>
    <x v="2"/>
    <s v="Petersen Tagged"/>
    <x v="8"/>
    <n v="278"/>
    <n v="0"/>
    <n v="49"/>
    <n v="25"/>
    <n v="1"/>
    <n v="0"/>
    <n v="181.62666666666667"/>
    <n v="92.666666666666657"/>
    <n v="3.706666666666667"/>
  </r>
  <r>
    <s v="River"/>
    <s v="Adult Males"/>
    <x v="2"/>
    <s v="No Petersen Tag"/>
    <x v="8"/>
    <n v="1788"/>
    <n v="0"/>
    <n v="97"/>
    <n v="75"/>
    <n v="11"/>
    <n v="0"/>
    <n v="947.73770491803282"/>
    <n v="732.78688524590166"/>
    <n v="107.47540983606557"/>
  </r>
  <r>
    <s v="Hatchery"/>
    <s v="Adult Males"/>
    <x v="1"/>
    <s v="No Petersen Tag"/>
    <x v="8"/>
    <n v="1"/>
    <n v="1"/>
    <m/>
    <m/>
    <m/>
    <n v="1"/>
    <n v="0"/>
    <n v="0"/>
    <n v="0"/>
  </r>
  <r>
    <s v="Hatchery"/>
    <s v="Adult Males"/>
    <x v="2"/>
    <s v="No Petersen Tag"/>
    <x v="8"/>
    <n v="44"/>
    <m/>
    <m/>
    <m/>
    <m/>
    <n v="0"/>
    <n v="23.3224043715847"/>
    <n v="18.032786885245901"/>
    <n v="2.6448087431693987"/>
  </r>
  <r>
    <s v="River"/>
    <s v="Adult Males"/>
    <x v="3"/>
    <s v="both"/>
    <x v="8"/>
    <n v="2068"/>
    <m/>
    <m/>
    <m/>
    <m/>
    <n v="2"/>
    <n v="1129.3643715846995"/>
    <n v="825.45355191256829"/>
    <n v="111.18207650273223"/>
  </r>
  <r>
    <s v="River and Hatchery"/>
    <s v="Adult Males"/>
    <x v="3"/>
    <s v="both"/>
    <x v="8"/>
    <n v="2113"/>
    <m/>
    <m/>
    <m/>
    <m/>
    <n v="3"/>
    <n v="1152.6867759562842"/>
    <n v="843.48633879781414"/>
    <n v="113.82688524590162"/>
  </r>
  <r>
    <m/>
    <m/>
    <x v="0"/>
    <m/>
    <x v="0"/>
    <m/>
    <m/>
    <m/>
    <m/>
    <m/>
    <m/>
    <m/>
    <m/>
    <m/>
  </r>
  <r>
    <s v="River"/>
    <s v="Adult Females"/>
    <x v="1"/>
    <s v="NA"/>
    <x v="8"/>
    <n v="5"/>
    <n v="3"/>
    <n v="0"/>
    <n v="0"/>
    <n v="0"/>
    <n v="5"/>
    <n v="0"/>
    <n v="0"/>
    <n v="0"/>
  </r>
  <r>
    <s v="River"/>
    <s v="Adult Females"/>
    <x v="2"/>
    <s v="Petersen Tagged"/>
    <x v="8"/>
    <n v="193"/>
    <n v="0"/>
    <n v="30"/>
    <n v="47"/>
    <n v="5"/>
    <n v="0"/>
    <n v="70.609756097560975"/>
    <n v="110.62195121951218"/>
    <n v="11.768292682926829"/>
  </r>
  <r>
    <s v="River"/>
    <s v="Adult Females"/>
    <x v="2"/>
    <s v="No Petersen Tag"/>
    <x v="8"/>
    <n v="1326"/>
    <n v="0"/>
    <n v="45"/>
    <n v="144"/>
    <n v="11"/>
    <n v="0"/>
    <n v="298.35000000000002"/>
    <n v="954.71999999999991"/>
    <n v="72.930000000000007"/>
  </r>
  <r>
    <s v="Hatchery"/>
    <s v="Adult Females"/>
    <x v="1"/>
    <s v="No Petersen Tag"/>
    <x v="8"/>
    <n v="0"/>
    <m/>
    <m/>
    <m/>
    <m/>
    <n v="0"/>
    <n v="0"/>
    <n v="0"/>
    <n v="0"/>
  </r>
  <r>
    <s v="Hatchery"/>
    <s v="Adult Females"/>
    <x v="2"/>
    <s v="No Petersen Tag"/>
    <x v="8"/>
    <n v="44"/>
    <m/>
    <m/>
    <m/>
    <m/>
    <n v="0"/>
    <n v="9.9"/>
    <n v="31.68"/>
    <n v="2.42"/>
  </r>
  <r>
    <s v="River"/>
    <s v="Adult Females"/>
    <x v="3"/>
    <s v="both"/>
    <x v="8"/>
    <n v="1524"/>
    <m/>
    <m/>
    <m/>
    <m/>
    <n v="5"/>
    <n v="368.95975609756101"/>
    <n v="1065.3419512195121"/>
    <n v="84.698292682926834"/>
  </r>
  <r>
    <s v="River and Hatchery"/>
    <s v="Adult Females"/>
    <x v="3"/>
    <s v="both"/>
    <x v="8"/>
    <n v="1568"/>
    <m/>
    <m/>
    <m/>
    <m/>
    <n v="5"/>
    <n v="378.85975609756099"/>
    <n v="1097.0219512195122"/>
    <n v="87.118292682926835"/>
  </r>
  <r>
    <m/>
    <m/>
    <x v="0"/>
    <m/>
    <x v="0"/>
    <m/>
    <m/>
    <m/>
    <m/>
    <m/>
    <m/>
    <m/>
    <m/>
    <m/>
  </r>
  <r>
    <s v="River"/>
    <s v="Jacks"/>
    <x v="1"/>
    <s v="NA"/>
    <x v="8"/>
    <n v="0"/>
    <m/>
    <m/>
    <m/>
    <m/>
    <m/>
    <m/>
    <m/>
    <m/>
  </r>
  <r>
    <s v="River"/>
    <s v="Jacks"/>
    <x v="2"/>
    <s v="Petersen Tagged"/>
    <x v="8"/>
    <n v="0"/>
    <m/>
    <m/>
    <m/>
    <m/>
    <m/>
    <m/>
    <m/>
    <m/>
  </r>
  <r>
    <s v="River"/>
    <s v="Jacks"/>
    <x v="2"/>
    <s v="No Petersen Tag"/>
    <x v="8"/>
    <n v="17"/>
    <n v="1"/>
    <n v="1"/>
    <n v="0"/>
    <n v="0"/>
    <n v="8.5"/>
    <n v="8.5"/>
    <n v="0"/>
    <n v="0"/>
  </r>
  <r>
    <s v="Hatchery"/>
    <s v="Jacks"/>
    <x v="1"/>
    <s v="No Petersen Tag"/>
    <x v="8"/>
    <m/>
    <m/>
    <m/>
    <m/>
    <m/>
    <n v="0"/>
    <n v="0"/>
    <n v="0"/>
    <n v="0"/>
  </r>
  <r>
    <s v="Hatchery"/>
    <s v="Jacks"/>
    <x v="2"/>
    <s v="No Petersen Tag"/>
    <x v="8"/>
    <m/>
    <m/>
    <m/>
    <m/>
    <m/>
    <n v="0"/>
    <n v="0"/>
    <n v="0"/>
    <n v="0"/>
  </r>
  <r>
    <s v="River"/>
    <s v="Jacks"/>
    <x v="3"/>
    <s v="both"/>
    <x v="8"/>
    <n v="17"/>
    <m/>
    <m/>
    <m/>
    <m/>
    <n v="8.5"/>
    <n v="8.5"/>
    <n v="0"/>
    <n v="0"/>
  </r>
  <r>
    <s v="River and Hatchery"/>
    <s v="Jacks"/>
    <x v="3"/>
    <s v="both"/>
    <x v="8"/>
    <n v="17"/>
    <m/>
    <m/>
    <m/>
    <m/>
    <n v="8.5"/>
    <n v="8.5"/>
    <n v="0"/>
    <n v="0"/>
  </r>
  <r>
    <m/>
    <m/>
    <x v="0"/>
    <m/>
    <x v="0"/>
    <m/>
    <m/>
    <m/>
    <m/>
    <m/>
    <m/>
    <m/>
    <m/>
    <m/>
  </r>
  <r>
    <s v="2018 sex correction"/>
    <m/>
    <x v="0"/>
    <m/>
    <x v="0"/>
    <m/>
    <s v="See notes regarding 2018 scale ages. First Year Age 4 CWT."/>
    <m/>
    <m/>
    <m/>
    <m/>
    <m/>
    <m/>
    <m/>
  </r>
  <r>
    <s v="River"/>
    <s v="Adult Males"/>
    <x v="1"/>
    <s v="NA"/>
    <x v="9"/>
    <n v="27"/>
    <n v="0"/>
    <n v="6"/>
    <n v="0"/>
    <n v="0"/>
    <n v="0"/>
    <n v="27"/>
    <n v="0"/>
    <n v="0"/>
  </r>
  <r>
    <s v="River"/>
    <s v="Adult Males"/>
    <x v="2"/>
    <s v="Petersen Tagged"/>
    <x v="9"/>
    <n v="176"/>
    <n v="0"/>
    <n v="37"/>
    <n v="8"/>
    <n v="1"/>
    <n v="0"/>
    <n v="141.56521739130434"/>
    <n v="30.608695652173914"/>
    <n v="3.8260869565217392"/>
  </r>
  <r>
    <s v="River"/>
    <s v="Adult Males"/>
    <x v="2"/>
    <s v="No Petersen Tag"/>
    <x v="9"/>
    <n v="801"/>
    <n v="0"/>
    <n v="98"/>
    <n v="69"/>
    <n v="1"/>
    <n v="0"/>
    <n v="467.25000000000006"/>
    <n v="328.98214285714283"/>
    <n v="4.7678571428571423"/>
  </r>
  <r>
    <s v="Hatchery"/>
    <s v="Adult Males"/>
    <x v="1"/>
    <s v="No Petersen Tag"/>
    <x v="9"/>
    <n v="7"/>
    <m/>
    <n v="7"/>
    <m/>
    <m/>
    <n v="0"/>
    <n v="7"/>
    <n v="0"/>
    <n v="0"/>
  </r>
  <r>
    <s v="Hatchery"/>
    <s v="Adult Males"/>
    <x v="2"/>
    <s v="No Petersen Tag"/>
    <x v="9"/>
    <n v="29"/>
    <m/>
    <m/>
    <m/>
    <m/>
    <n v="0"/>
    <n v="16.916666666666668"/>
    <n v="11.910714285714285"/>
    <n v="0.17261904761904762"/>
  </r>
  <r>
    <s v="River"/>
    <s v="Adult Males"/>
    <x v="3"/>
    <s v="both"/>
    <x v="9"/>
    <n v="1004"/>
    <m/>
    <m/>
    <m/>
    <m/>
    <n v="0"/>
    <n v="635.81521739130437"/>
    <n v="359.59083850931677"/>
    <n v="8.5939440993788807"/>
  </r>
  <r>
    <s v="River and Hatchery"/>
    <s v="Adult Males"/>
    <x v="3"/>
    <s v="both"/>
    <x v="9"/>
    <n v="1040"/>
    <m/>
    <m/>
    <m/>
    <m/>
    <n v="0"/>
    <n v="659.731884057971"/>
    <n v="371.50155279503105"/>
    <n v="8.7665631469979282"/>
  </r>
  <r>
    <m/>
    <m/>
    <x v="0"/>
    <m/>
    <x v="0"/>
    <m/>
    <m/>
    <m/>
    <m/>
    <m/>
    <m/>
    <m/>
    <m/>
    <m/>
  </r>
  <r>
    <s v="River"/>
    <s v="Adult Females"/>
    <x v="1"/>
    <s v="NA"/>
    <x v="9"/>
    <n v="36"/>
    <n v="0"/>
    <n v="13"/>
    <n v="0"/>
    <n v="0"/>
    <n v="0"/>
    <n v="36"/>
    <n v="0"/>
    <n v="0"/>
  </r>
  <r>
    <s v="River"/>
    <s v="Adult Females"/>
    <x v="2"/>
    <s v="Petersen Tagged"/>
    <x v="9"/>
    <n v="244"/>
    <n v="0"/>
    <n v="43"/>
    <n v="59"/>
    <n v="4"/>
    <n v="0"/>
    <n v="98.981132075471706"/>
    <n v="135.81132075471697"/>
    <n v="9.2075471698113205"/>
  </r>
  <r>
    <s v="River"/>
    <s v="Adult Females"/>
    <x v="2"/>
    <s v="No Petersen Tag"/>
    <x v="9"/>
    <n v="924"/>
    <m/>
    <n v="78"/>
    <n v="110"/>
    <n v="5"/>
    <n v="0"/>
    <n v="373.43005181347149"/>
    <n v="526.63212435233163"/>
    <n v="23.937823834196891"/>
  </r>
  <r>
    <s v="Hatchery"/>
    <s v="Adult Females"/>
    <x v="1"/>
    <s v="No Petersen Tag"/>
    <x v="9"/>
    <n v="8"/>
    <m/>
    <n v="8"/>
    <m/>
    <m/>
    <n v="0"/>
    <n v="8"/>
    <n v="0"/>
    <n v="0"/>
  </r>
  <r>
    <s v="Hatchery"/>
    <s v="Adult Females"/>
    <x v="2"/>
    <s v="No Petersen Tag"/>
    <x v="9"/>
    <n v="28"/>
    <m/>
    <m/>
    <m/>
    <m/>
    <n v="0"/>
    <n v="11.316062176165802"/>
    <n v="15.958549222797927"/>
    <n v="0.72538860103626934"/>
  </r>
  <r>
    <s v="River"/>
    <s v="Adult Females"/>
    <x v="3"/>
    <s v="both"/>
    <x v="9"/>
    <n v="1204"/>
    <m/>
    <m/>
    <m/>
    <m/>
    <n v="0"/>
    <n v="508.41118388894319"/>
    <n v="662.44344510704855"/>
    <n v="33.145371004008211"/>
  </r>
  <r>
    <s v="River and Hatchery"/>
    <s v="Adult Females"/>
    <x v="3"/>
    <s v="both"/>
    <x v="9"/>
    <n v="1240"/>
    <m/>
    <m/>
    <m/>
    <m/>
    <n v="0"/>
    <n v="527.72724606510906"/>
    <n v="678.4019943298465"/>
    <n v="33.870759605044483"/>
  </r>
  <r>
    <m/>
    <m/>
    <x v="0"/>
    <m/>
    <x v="0"/>
    <m/>
    <m/>
    <m/>
    <m/>
    <m/>
    <m/>
    <m/>
    <m/>
    <m/>
  </r>
  <r>
    <s v="River"/>
    <s v="Jacks"/>
    <x v="1"/>
    <s v="NA"/>
    <x v="9"/>
    <n v="0"/>
    <n v="0"/>
    <n v="0"/>
    <n v="0"/>
    <n v="0"/>
    <m/>
    <m/>
    <m/>
    <m/>
  </r>
  <r>
    <s v="River"/>
    <s v="Jacks"/>
    <x v="2"/>
    <s v="Petersen Tagged"/>
    <x v="9"/>
    <n v="5"/>
    <m/>
    <m/>
    <m/>
    <m/>
    <n v="0"/>
    <n v="5"/>
    <n v="0"/>
    <n v="0"/>
  </r>
  <r>
    <s v="River"/>
    <s v="Jacks"/>
    <x v="2"/>
    <s v="No Petersen Tag"/>
    <x v="9"/>
    <n v="11"/>
    <n v="0"/>
    <n v="1"/>
    <n v="0"/>
    <n v="0"/>
    <n v="0"/>
    <n v="11"/>
    <n v="0"/>
    <n v="0"/>
  </r>
  <r>
    <s v="Hatchery"/>
    <s v="Jacks"/>
    <x v="1"/>
    <s v="No Petersen Tag"/>
    <x v="9"/>
    <m/>
    <m/>
    <m/>
    <m/>
    <m/>
    <n v="0"/>
    <n v="0"/>
    <n v="0"/>
    <n v="0"/>
  </r>
  <r>
    <s v="Hatchery"/>
    <s v="Jacks"/>
    <x v="2"/>
    <s v="No Petersen Tag"/>
    <x v="9"/>
    <m/>
    <m/>
    <m/>
    <m/>
    <m/>
    <n v="0"/>
    <n v="0"/>
    <n v="0"/>
    <n v="0"/>
  </r>
  <r>
    <s v="River"/>
    <s v="Jacks"/>
    <x v="3"/>
    <s v="both"/>
    <x v="9"/>
    <n v="16"/>
    <m/>
    <m/>
    <m/>
    <m/>
    <n v="0"/>
    <n v="16"/>
    <n v="0"/>
    <n v="0"/>
  </r>
  <r>
    <s v="River and Hatchery"/>
    <s v="Jacks"/>
    <x v="3"/>
    <s v="both"/>
    <x v="9"/>
    <n v="16"/>
    <m/>
    <m/>
    <m/>
    <m/>
    <n v="0"/>
    <n v="16"/>
    <n v="0"/>
    <n v="0"/>
  </r>
  <r>
    <m/>
    <m/>
    <x v="0"/>
    <m/>
    <x v="0"/>
    <m/>
    <m/>
    <m/>
    <m/>
    <m/>
    <m/>
    <m/>
    <m/>
    <m/>
  </r>
  <r>
    <s v="2019 sex correction"/>
    <m/>
    <x v="0"/>
    <m/>
    <x v="0"/>
    <m/>
    <s v="First Year when Age 5 CWT may be available."/>
    <m/>
    <m/>
    <m/>
    <m/>
    <m/>
    <m/>
    <m/>
  </r>
  <r>
    <s v="River"/>
    <s v="Adults"/>
    <x v="1"/>
    <s v="NA"/>
    <x v="10"/>
    <n v="93"/>
    <n v="0"/>
    <n v="7"/>
    <n v="3"/>
    <n v="0"/>
    <n v="0"/>
    <n v="65.099999999999994"/>
    <n v="27.9"/>
    <n v="0"/>
  </r>
  <r>
    <s v="River"/>
    <s v="Adults"/>
    <x v="2"/>
    <s v="Petersen Tagged"/>
    <x v="10"/>
    <n v="0"/>
    <m/>
    <m/>
    <m/>
    <m/>
    <n v="0"/>
    <n v="0"/>
    <n v="0"/>
    <n v="0"/>
  </r>
  <r>
    <s v="River"/>
    <s v="Adults"/>
    <x v="2"/>
    <s v="No Petersen Tag"/>
    <x v="10"/>
    <n v="2393"/>
    <n v="0"/>
    <n v="66"/>
    <n v="53"/>
    <n v="4"/>
    <n v="0"/>
    <n v="1284.0487804878051"/>
    <n v="1031.1300813008131"/>
    <n v="77.82113821138212"/>
  </r>
  <r>
    <s v="Hatchery"/>
    <s v="Adults"/>
    <x v="1"/>
    <s v="No Petersen Tag"/>
    <x v="10"/>
    <m/>
    <m/>
    <m/>
    <m/>
    <m/>
    <n v="0"/>
    <n v="0"/>
    <n v="0"/>
    <n v="0"/>
  </r>
  <r>
    <s v="Hatchery"/>
    <s v="Adults"/>
    <x v="2"/>
    <s v="No Petersen Tag"/>
    <x v="10"/>
    <m/>
    <m/>
    <m/>
    <m/>
    <m/>
    <n v="0"/>
    <n v="0"/>
    <n v="0"/>
    <n v="0"/>
  </r>
  <r>
    <s v="River"/>
    <s v="Adults"/>
    <x v="3"/>
    <s v="both"/>
    <x v="10"/>
    <n v="2486"/>
    <m/>
    <m/>
    <m/>
    <m/>
    <n v="0"/>
    <n v="1349.148780487805"/>
    <n v="1059.0300813008132"/>
    <n v="77.82113821138212"/>
  </r>
  <r>
    <s v="River and Hatchery"/>
    <s v="Adults"/>
    <x v="3"/>
    <s v="both"/>
    <x v="10"/>
    <n v="2486"/>
    <m/>
    <m/>
    <m/>
    <m/>
    <n v="0"/>
    <n v="1349.148780487805"/>
    <n v="1059.0300813008132"/>
    <n v="77.82113821138212"/>
  </r>
  <r>
    <m/>
    <m/>
    <x v="0"/>
    <m/>
    <x v="0"/>
    <m/>
    <m/>
    <m/>
    <m/>
    <m/>
    <m/>
    <m/>
    <m/>
    <m/>
  </r>
  <r>
    <s v="2020 sex correction"/>
    <n v="1.3453542291947449E-2"/>
    <x v="0"/>
    <m/>
    <x v="0"/>
    <m/>
    <s v="First Year when Age 6 CWT may be available."/>
    <m/>
    <m/>
    <m/>
    <m/>
    <m/>
    <m/>
    <m/>
  </r>
  <r>
    <s v="River"/>
    <s v="Adult Males"/>
    <x v="1"/>
    <s v="NA"/>
    <x v="11"/>
    <n v="94"/>
    <n v="0"/>
    <n v="12"/>
    <n v="10"/>
    <n v="0"/>
    <n v="0"/>
    <n v="51.272727272727266"/>
    <n v="42.727272727272727"/>
    <n v="0"/>
  </r>
  <r>
    <s v="River"/>
    <s v="Adult Males"/>
    <x v="2"/>
    <s v="Petersen Tagged"/>
    <x v="11"/>
    <n v="344"/>
    <n v="0"/>
    <n v="16"/>
    <n v="22"/>
    <n v="0"/>
    <n v="0"/>
    <n v="144.84210526315789"/>
    <n v="199.15789473684211"/>
    <n v="0"/>
  </r>
  <r>
    <s v="River"/>
    <s v="Adult Males"/>
    <x v="2"/>
    <s v="No Petersen Tag"/>
    <x v="11"/>
    <n v="2950"/>
    <n v="0"/>
    <n v="60"/>
    <n v="86"/>
    <n v="0"/>
    <n v="0"/>
    <n v="1212.3287671232877"/>
    <n v="1737.6712328767123"/>
    <n v="0"/>
  </r>
  <r>
    <s v="Hatchery"/>
    <s v="Adult Males"/>
    <x v="1"/>
    <s v="No Petersen Tag"/>
    <x v="11"/>
    <n v="0"/>
    <m/>
    <m/>
    <m/>
    <m/>
    <n v="0"/>
    <n v="0"/>
    <n v="0"/>
    <n v="0"/>
  </r>
  <r>
    <s v="Hatchery"/>
    <s v="Adult Males"/>
    <x v="2"/>
    <s v="No Petersen Tag"/>
    <x v="11"/>
    <n v="46"/>
    <m/>
    <m/>
    <m/>
    <m/>
    <n v="0"/>
    <n v="18.904109589041095"/>
    <n v="27.095890410958905"/>
    <n v="0"/>
  </r>
  <r>
    <s v="River"/>
    <s v="Adult Males"/>
    <x v="3"/>
    <s v="both"/>
    <x v="11"/>
    <n v="3388"/>
    <m/>
    <m/>
    <m/>
    <m/>
    <n v="0"/>
    <n v="1408.4435996591728"/>
    <n v="1979.5564003408272"/>
    <n v="0"/>
  </r>
  <r>
    <s v="River and Hatchery"/>
    <s v="Adult Males"/>
    <x v="3"/>
    <s v="both"/>
    <x v="11"/>
    <n v="3434"/>
    <m/>
    <m/>
    <m/>
    <m/>
    <n v="0"/>
    <n v="1427.347709248214"/>
    <n v="2006.652290751786"/>
    <n v="0"/>
  </r>
  <r>
    <m/>
    <m/>
    <x v="0"/>
    <m/>
    <x v="0"/>
    <m/>
    <m/>
    <m/>
    <m/>
    <m/>
    <m/>
    <m/>
    <m/>
    <m/>
  </r>
  <r>
    <s v="River"/>
    <s v="Adult Females"/>
    <x v="1"/>
    <s v="NA"/>
    <x v="11"/>
    <n v="96"/>
    <n v="0"/>
    <n v="19"/>
    <n v="15"/>
    <n v="0"/>
    <n v="0"/>
    <n v="53.647058823529413"/>
    <n v="42.352941176470587"/>
    <n v="0"/>
  </r>
  <r>
    <s v="River"/>
    <s v="Adult Females"/>
    <x v="2"/>
    <s v="Petersen Tagged"/>
    <x v="11"/>
    <n v="415"/>
    <n v="0"/>
    <n v="31"/>
    <n v="58"/>
    <n v="0"/>
    <n v="0"/>
    <n v="144.55056179775281"/>
    <n v="270.44943820224722"/>
    <n v="0"/>
  </r>
  <r>
    <s v="River"/>
    <s v="Adult Females"/>
    <x v="2"/>
    <s v="No Petersen Tag"/>
    <x v="11"/>
    <n v="2325"/>
    <n v="0"/>
    <n v="46"/>
    <n v="175"/>
    <n v="0"/>
    <n v="0"/>
    <n v="483.93665158371044"/>
    <n v="1841.0633484162895"/>
    <n v="0"/>
  </r>
  <r>
    <s v="Hatchery"/>
    <s v="Adult Females"/>
    <x v="1"/>
    <s v="No Petersen Tag"/>
    <x v="11"/>
    <n v="0"/>
    <m/>
    <m/>
    <m/>
    <m/>
    <n v="0"/>
    <n v="0"/>
    <n v="0"/>
    <n v="0"/>
  </r>
  <r>
    <s v="Hatchery"/>
    <s v="Adult Females"/>
    <x v="2"/>
    <s v="No Petersen Tag"/>
    <x v="11"/>
    <n v="42"/>
    <m/>
    <m/>
    <m/>
    <m/>
    <n v="0"/>
    <n v="8.7420814479638018"/>
    <n v="33.257918552036195"/>
    <n v="0"/>
  </r>
  <r>
    <s v="River"/>
    <s v="Adult Females"/>
    <x v="3"/>
    <s v="both"/>
    <x v="11"/>
    <n v="2836"/>
    <m/>
    <m/>
    <m/>
    <m/>
    <n v="0"/>
    <n v="682.13427220499261"/>
    <n v="2153.8657277950074"/>
    <n v="0"/>
  </r>
  <r>
    <s v="River and Hatchery"/>
    <s v="Adult Females"/>
    <x v="3"/>
    <s v="both"/>
    <x v="11"/>
    <n v="2878"/>
    <m/>
    <m/>
    <m/>
    <m/>
    <n v="0"/>
    <n v="690.87635365295637"/>
    <n v="2187.1236463470436"/>
    <n v="0"/>
  </r>
  <r>
    <m/>
    <m/>
    <x v="0"/>
    <m/>
    <x v="0"/>
    <m/>
    <m/>
    <m/>
    <m/>
    <m/>
    <m/>
    <m/>
    <m/>
    <m/>
  </r>
  <r>
    <s v="River"/>
    <s v="Jacks"/>
    <x v="1"/>
    <s v="NA"/>
    <x v="11"/>
    <n v="7"/>
    <n v="1"/>
    <n v="0"/>
    <n v="0"/>
    <n v="0"/>
    <n v="7"/>
    <n v="0"/>
    <n v="0"/>
    <n v="0"/>
  </r>
  <r>
    <s v="River"/>
    <s v="Jacks"/>
    <x v="2"/>
    <s v="Petersen Tagged"/>
    <x v="11"/>
    <n v="10"/>
    <n v="1"/>
    <n v="0"/>
    <n v="0"/>
    <n v="0"/>
    <n v="10"/>
    <n v="0"/>
    <n v="0"/>
    <n v="0"/>
  </r>
  <r>
    <s v="River"/>
    <s v="Jacks"/>
    <x v="2"/>
    <s v="No Petersen Tag"/>
    <x v="11"/>
    <n v="125"/>
    <n v="5"/>
    <n v="0"/>
    <n v="0"/>
    <n v="0"/>
    <n v="125"/>
    <n v="0"/>
    <n v="0"/>
    <n v="0"/>
  </r>
  <r>
    <s v="Hatchery"/>
    <s v="Jacks"/>
    <x v="1"/>
    <s v="No Petersen Tag"/>
    <x v="11"/>
    <n v="0"/>
    <m/>
    <m/>
    <m/>
    <m/>
    <n v="0"/>
    <n v="0"/>
    <n v="0"/>
    <n v="0"/>
  </r>
  <r>
    <s v="Hatchery"/>
    <s v="Jacks"/>
    <x v="2"/>
    <s v="No Petersen Tag"/>
    <x v="11"/>
    <n v="1"/>
    <m/>
    <m/>
    <m/>
    <m/>
    <n v="1"/>
    <n v="0"/>
    <n v="0"/>
    <n v="0"/>
  </r>
  <r>
    <s v="River"/>
    <s v="Jacks"/>
    <x v="3"/>
    <s v="both"/>
    <x v="11"/>
    <n v="142"/>
    <m/>
    <m/>
    <m/>
    <m/>
    <n v="142"/>
    <n v="0"/>
    <n v="0"/>
    <n v="0"/>
  </r>
  <r>
    <s v="River and Hatchery"/>
    <s v="Jacks"/>
    <x v="3"/>
    <s v="both"/>
    <x v="11"/>
    <n v="143"/>
    <m/>
    <m/>
    <m/>
    <m/>
    <n v="143"/>
    <n v="0"/>
    <n v="0"/>
    <n v="0"/>
  </r>
  <r>
    <m/>
    <m/>
    <x v="0"/>
    <m/>
    <x v="0"/>
    <m/>
    <m/>
    <m/>
    <m/>
    <m/>
    <m/>
    <m/>
    <m/>
    <m/>
  </r>
  <r>
    <s v="2021 sex correction"/>
    <n v="-5.0000000000000001E-3"/>
    <x v="0"/>
    <m/>
    <x v="0"/>
    <m/>
    <m/>
    <m/>
    <m/>
    <m/>
    <m/>
    <m/>
    <m/>
    <m/>
  </r>
  <r>
    <s v="River"/>
    <s v="Adult Males"/>
    <x v="1"/>
    <s v="NA"/>
    <x v="12"/>
    <n v="246"/>
    <n v="1"/>
    <n v="65"/>
    <n v="4"/>
    <n v="0"/>
    <n v="3.5142857142857142"/>
    <n v="228.42857142857144"/>
    <n v="14.057142857142857"/>
    <n v="0"/>
  </r>
  <r>
    <s v="River"/>
    <s v="Adult Males"/>
    <x v="2"/>
    <s v="Petersen Tagged"/>
    <x v="12"/>
    <n v="587"/>
    <n v="0"/>
    <n v="69"/>
    <n v="28"/>
    <n v="0"/>
    <n v="0"/>
    <n v="417.55670103092785"/>
    <n v="169.44329896907215"/>
    <n v="0"/>
  </r>
  <r>
    <s v="River"/>
    <s v="Adult Males"/>
    <x v="2"/>
    <s v="No Petersen Tag"/>
    <x v="12"/>
    <n v="2699"/>
    <n v="0"/>
    <n v="106"/>
    <n v="40"/>
    <n v="0"/>
    <n v="0"/>
    <n v="1959.5479452054794"/>
    <n v="739.45205479452056"/>
    <n v="0"/>
  </r>
  <r>
    <s v="Hatchery"/>
    <s v="Adult Males"/>
    <x v="1"/>
    <s v="No Petersen Tag"/>
    <x v="12"/>
    <n v="0"/>
    <m/>
    <m/>
    <m/>
    <m/>
    <n v="0"/>
    <n v="0"/>
    <n v="0"/>
    <n v="0"/>
  </r>
  <r>
    <s v="Hatchery"/>
    <s v="Adult Males"/>
    <x v="2"/>
    <s v="No Petersen Tag"/>
    <x v="12"/>
    <n v="50"/>
    <m/>
    <m/>
    <m/>
    <m/>
    <n v="0"/>
    <n v="36.301369863013697"/>
    <n v="13.698630136986301"/>
    <n v="0"/>
  </r>
  <r>
    <s v="River"/>
    <s v="Adult Males"/>
    <x v="3"/>
    <s v="both"/>
    <x v="12"/>
    <n v="3532"/>
    <m/>
    <m/>
    <m/>
    <m/>
    <n v="3.5142857142857142"/>
    <n v="2605.533217664979"/>
    <n v="922.95249662073559"/>
    <n v="0"/>
  </r>
  <r>
    <s v="River and Hatchery"/>
    <s v="Adult Males"/>
    <x v="3"/>
    <s v="both"/>
    <x v="12"/>
    <n v="3582"/>
    <m/>
    <m/>
    <m/>
    <m/>
    <n v="3.5142857142857142"/>
    <n v="2641.8345875279929"/>
    <n v="936.65112675772184"/>
    <n v="0"/>
  </r>
  <r>
    <m/>
    <m/>
    <x v="0"/>
    <m/>
    <x v="0"/>
    <m/>
    <m/>
    <m/>
    <m/>
    <m/>
    <m/>
    <m/>
    <m/>
    <m/>
  </r>
  <r>
    <s v="River"/>
    <s v="Adult Females"/>
    <x v="1"/>
    <s v="NA"/>
    <x v="12"/>
    <n v="147"/>
    <n v="0"/>
    <n v="73"/>
    <n v="9"/>
    <n v="0"/>
    <n v="0"/>
    <n v="130.86585365853659"/>
    <n v="16.134146341463413"/>
    <n v="0"/>
  </r>
  <r>
    <s v="River"/>
    <s v="Adult Females"/>
    <x v="2"/>
    <s v="Petersen Tagged"/>
    <x v="12"/>
    <n v="392"/>
    <n v="0"/>
    <n v="62"/>
    <n v="62"/>
    <n v="0"/>
    <n v="0"/>
    <n v="196"/>
    <n v="196"/>
    <n v="0"/>
  </r>
  <r>
    <s v="River"/>
    <s v="Adult Females"/>
    <x v="2"/>
    <s v="No Petersen Tag"/>
    <x v="12"/>
    <n v="1306"/>
    <n v="0"/>
    <n v="79"/>
    <n v="95"/>
    <n v="2"/>
    <n v="0"/>
    <n v="586.21590909090912"/>
    <n v="704.94318181818187"/>
    <n v="14.840909090909092"/>
  </r>
  <r>
    <s v="Hatchery"/>
    <s v="Adult Females"/>
    <x v="1"/>
    <s v="No Petersen Tag"/>
    <x v="12"/>
    <n v="2"/>
    <m/>
    <n v="2"/>
    <m/>
    <m/>
    <n v="0"/>
    <n v="2"/>
    <n v="0"/>
    <n v="0"/>
  </r>
  <r>
    <s v="Hatchery"/>
    <s v="Adult Females"/>
    <x v="2"/>
    <s v="No Petersen Tag"/>
    <x v="12"/>
    <n v="47"/>
    <m/>
    <m/>
    <m/>
    <m/>
    <n v="0"/>
    <n v="21.09659090909091"/>
    <n v="25.369318181818183"/>
    <n v="0.53409090909090906"/>
  </r>
  <r>
    <s v="River"/>
    <s v="Adult Females"/>
    <x v="3"/>
    <s v="both"/>
    <x v="12"/>
    <n v="1845"/>
    <m/>
    <m/>
    <m/>
    <m/>
    <n v="0"/>
    <n v="913.08176274944572"/>
    <n v="917.07732815964528"/>
    <n v="14.840909090909092"/>
  </r>
  <r>
    <s v="River and Hatchery"/>
    <s v="Adult Females"/>
    <x v="3"/>
    <s v="both"/>
    <x v="12"/>
    <n v="1894"/>
    <m/>
    <m/>
    <m/>
    <m/>
    <n v="0"/>
    <n v="936.17835365853659"/>
    <n v="942.44664634146341"/>
    <n v="15.375"/>
  </r>
  <r>
    <m/>
    <m/>
    <x v="0"/>
    <m/>
    <x v="0"/>
    <m/>
    <m/>
    <m/>
    <m/>
    <m/>
    <m/>
    <m/>
    <m/>
    <m/>
  </r>
  <r>
    <s v="River"/>
    <s v="Jacks"/>
    <x v="1"/>
    <s v="NA"/>
    <x v="12"/>
    <n v="58"/>
    <n v="12"/>
    <n v="0"/>
    <n v="0"/>
    <n v="0"/>
    <n v="58"/>
    <n v="0"/>
    <n v="0"/>
    <n v="0"/>
  </r>
  <r>
    <s v="River"/>
    <s v="Jacks"/>
    <x v="2"/>
    <s v="Petersen Tagged"/>
    <x v="12"/>
    <n v="14"/>
    <m/>
    <m/>
    <m/>
    <m/>
    <n v="3.8181818181818179"/>
    <n v="10.181818181818182"/>
    <n v="0"/>
    <n v="0"/>
  </r>
  <r>
    <s v="River"/>
    <s v="Jacks"/>
    <x v="2"/>
    <s v="No Petersen Tag"/>
    <x v="12"/>
    <n v="126"/>
    <n v="3"/>
    <n v="8"/>
    <n v="0"/>
    <n v="0"/>
    <n v="34.36363636363636"/>
    <n v="91.63636363636364"/>
    <n v="0"/>
    <n v="0"/>
  </r>
  <r>
    <s v="Hatchery"/>
    <s v="Jacks"/>
    <x v="1"/>
    <s v="No Petersen Tag"/>
    <x v="12"/>
    <n v="0"/>
    <m/>
    <m/>
    <m/>
    <m/>
    <n v="0"/>
    <n v="0"/>
    <n v="0"/>
    <n v="0"/>
  </r>
  <r>
    <s v="Hatchery"/>
    <s v="Jacks"/>
    <x v="2"/>
    <s v="No Petersen Tag"/>
    <x v="12"/>
    <n v="0"/>
    <m/>
    <m/>
    <m/>
    <m/>
    <n v="0"/>
    <n v="0"/>
    <n v="0"/>
    <n v="0"/>
  </r>
  <r>
    <s v="River"/>
    <s v="Jacks"/>
    <x v="3"/>
    <s v="both"/>
    <x v="12"/>
    <n v="198"/>
    <m/>
    <m/>
    <m/>
    <m/>
    <n v="96.181818181818187"/>
    <n v="101.81818181818183"/>
    <n v="0"/>
    <n v="0"/>
  </r>
  <r>
    <s v="River and Hatchery"/>
    <s v="Jacks"/>
    <x v="3"/>
    <s v="both"/>
    <x v="12"/>
    <n v="198"/>
    <m/>
    <m/>
    <m/>
    <m/>
    <n v="96.181818181818187"/>
    <n v="101.81818181818183"/>
    <n v="0"/>
    <n v="0"/>
  </r>
  <r>
    <m/>
    <m/>
    <x v="0"/>
    <m/>
    <x v="0"/>
    <m/>
    <m/>
    <m/>
    <m/>
    <m/>
    <m/>
    <m/>
    <m/>
    <m/>
  </r>
  <r>
    <s v="2022 sex correction"/>
    <n v="4.0869794460859803E-2"/>
    <x v="0"/>
    <m/>
    <x v="0"/>
    <m/>
    <s v="Arbeider Comment: Only included scale ages 32,42,52,and 62. All other scale ages removed."/>
    <m/>
    <m/>
    <m/>
    <m/>
    <m/>
    <m/>
    <m/>
  </r>
  <r>
    <s v="River"/>
    <s v="Adult Males"/>
    <x v="1"/>
    <s v="NA"/>
    <x v="13"/>
    <n v="478"/>
    <n v="0"/>
    <n v="77"/>
    <n v="24"/>
    <n v="0"/>
    <n v="0"/>
    <n v="364.41584158415844"/>
    <n v="113.58415841584159"/>
    <n v="0"/>
  </r>
  <r>
    <s v="River"/>
    <s v="Adult Males"/>
    <x v="2"/>
    <s v="Petersen Tagged"/>
    <x v="13"/>
    <n v="662"/>
    <n v="3"/>
    <n v="52"/>
    <n v="36"/>
    <n v="1"/>
    <n v="21.586956521739129"/>
    <n v="374.17391304347825"/>
    <n v="259.04347826086956"/>
    <n v="7.195652173913043"/>
  </r>
  <r>
    <s v="River"/>
    <s v="Adult Males"/>
    <x v="2"/>
    <s v="No Petersen Tag"/>
    <x v="13"/>
    <n v="7516"/>
    <n v="4"/>
    <n v="54"/>
    <n v="98"/>
    <n v="0"/>
    <n v="192.7179487179487"/>
    <n v="2601.6923076923076"/>
    <n v="4721.5897435897432"/>
    <n v="0"/>
  </r>
  <r>
    <s v="Hatchery"/>
    <s v="Adult Males"/>
    <x v="1"/>
    <s v="No Petersen Tag"/>
    <x v="13"/>
    <n v="0"/>
    <m/>
    <m/>
    <m/>
    <m/>
    <n v="0"/>
    <n v="0"/>
    <n v="0"/>
    <n v="0"/>
  </r>
  <r>
    <s v="Hatchery"/>
    <s v="Adult Males"/>
    <x v="2"/>
    <s v="No Petersen Tag"/>
    <x v="13"/>
    <n v="49"/>
    <m/>
    <m/>
    <m/>
    <m/>
    <n v="1.2564102564102564"/>
    <n v="16.96153846153846"/>
    <n v="30.782051282051281"/>
    <n v="0"/>
  </r>
  <r>
    <s v="River"/>
    <s v="Adult Males"/>
    <x v="3"/>
    <s v="both"/>
    <x v="13"/>
    <n v="8656"/>
    <m/>
    <m/>
    <m/>
    <m/>
    <n v="214.30490523968783"/>
    <n v="3340.2820623199441"/>
    <n v="5094.2173802664547"/>
    <n v="7.195652173913043"/>
  </r>
  <r>
    <s v="River and Hatchery"/>
    <s v="Adult Males"/>
    <x v="3"/>
    <s v="both"/>
    <x v="13"/>
    <n v="8705"/>
    <m/>
    <m/>
    <m/>
    <m/>
    <n v="215.56131549609808"/>
    <n v="3357.2436007814827"/>
    <n v="5124.9994315485064"/>
    <n v="7.195652173913043"/>
  </r>
  <r>
    <m/>
    <m/>
    <x v="0"/>
    <m/>
    <x v="0"/>
    <m/>
    <m/>
    <m/>
    <m/>
    <m/>
    <m/>
    <m/>
    <m/>
    <m/>
  </r>
  <r>
    <s v="River"/>
    <s v="Adult Females"/>
    <x v="1"/>
    <s v="NA"/>
    <x v="13"/>
    <n v="356"/>
    <n v="0"/>
    <n v="77"/>
    <n v="63"/>
    <n v="0"/>
    <n v="0"/>
    <n v="195.8"/>
    <n v="160.20000000000002"/>
    <n v="0"/>
  </r>
  <r>
    <s v="River"/>
    <s v="Adult Females"/>
    <x v="2"/>
    <s v="Petersen Tagged"/>
    <x v="13"/>
    <n v="503"/>
    <n v="0"/>
    <n v="37"/>
    <n v="96"/>
    <n v="2"/>
    <n v="0"/>
    <n v="137.85925925925926"/>
    <n v="357.68888888888893"/>
    <n v="7.4518518518518517"/>
  </r>
  <r>
    <s v="River"/>
    <s v="Adult Females"/>
    <x v="2"/>
    <s v="No Petersen Tag"/>
    <x v="13"/>
    <n v="4081"/>
    <n v="0"/>
    <n v="49"/>
    <n v="136"/>
    <n v="2"/>
    <n v="0"/>
    <n v="1069.3529411764705"/>
    <n v="2968"/>
    <n v="43.647058823529406"/>
  </r>
  <r>
    <s v="Hatchery"/>
    <s v="Adult Females"/>
    <x v="1"/>
    <s v="No Petersen Tag"/>
    <x v="13"/>
    <n v="0"/>
    <m/>
    <m/>
    <m/>
    <m/>
    <n v="0"/>
    <n v="0"/>
    <n v="0"/>
    <n v="0"/>
  </r>
  <r>
    <s v="Hatchery"/>
    <s v="Adult Females"/>
    <x v="2"/>
    <s v="No Petersen Tag"/>
    <x v="13"/>
    <n v="50"/>
    <m/>
    <m/>
    <m/>
    <m/>
    <n v="0"/>
    <n v="13.101604278074866"/>
    <n v="36.363636363636367"/>
    <n v="0.53475935828876997"/>
  </r>
  <r>
    <s v="River"/>
    <s v="Adult Females"/>
    <x v="3"/>
    <s v="both"/>
    <x v="13"/>
    <n v="4940"/>
    <m/>
    <m/>
    <m/>
    <m/>
    <n v="0"/>
    <n v="1403.0122004357297"/>
    <n v="3485.8888888888887"/>
    <n v="51.098910675381255"/>
  </r>
  <r>
    <s v="River and Hatchery"/>
    <s v="Adult Females"/>
    <x v="3"/>
    <s v="both"/>
    <x v="13"/>
    <n v="4990"/>
    <m/>
    <m/>
    <m/>
    <m/>
    <n v="0"/>
    <n v="1416.1138047138045"/>
    <n v="3522.2525252525252"/>
    <n v="51.633670033670022"/>
  </r>
  <r>
    <m/>
    <m/>
    <x v="0"/>
    <m/>
    <x v="0"/>
    <m/>
    <m/>
    <m/>
    <m/>
    <m/>
    <m/>
    <m/>
    <m/>
    <m/>
  </r>
  <r>
    <s v="River"/>
    <s v="Jacks"/>
    <x v="1"/>
    <s v="NA"/>
    <x v="13"/>
    <n v="45"/>
    <n v="1"/>
    <n v="2"/>
    <n v="0"/>
    <n v="0"/>
    <n v="15"/>
    <n v="30"/>
    <n v="0"/>
    <n v="0"/>
  </r>
  <r>
    <s v="River"/>
    <s v="Jacks"/>
    <x v="2"/>
    <s v="Petersen Tagged"/>
    <x v="13"/>
    <n v="2"/>
    <m/>
    <m/>
    <m/>
    <m/>
    <n v="1.5"/>
    <n v="0.5"/>
    <n v="0"/>
    <n v="0"/>
  </r>
  <r>
    <s v="River"/>
    <s v="Jacks"/>
    <x v="2"/>
    <s v="No Petersen Tag"/>
    <x v="13"/>
    <n v="133"/>
    <n v="6"/>
    <n v="2"/>
    <n v="0"/>
    <n v="0"/>
    <n v="99.75"/>
    <n v="33.25"/>
    <n v="0"/>
    <n v="0"/>
  </r>
  <r>
    <s v="Hatchery"/>
    <s v="Jacks"/>
    <x v="1"/>
    <s v="No Petersen Tag"/>
    <x v="13"/>
    <n v="0"/>
    <m/>
    <m/>
    <m/>
    <m/>
    <n v="0"/>
    <n v="0"/>
    <n v="0"/>
    <n v="0"/>
  </r>
  <r>
    <s v="Hatchery"/>
    <s v="Jacks"/>
    <x v="2"/>
    <s v="No Petersen Tag"/>
    <x v="13"/>
    <n v="0"/>
    <m/>
    <m/>
    <m/>
    <m/>
    <n v="0"/>
    <n v="0"/>
    <n v="0"/>
    <n v="0"/>
  </r>
  <r>
    <s v="River"/>
    <s v="Jacks"/>
    <x v="3"/>
    <s v="both"/>
    <x v="13"/>
    <n v="180"/>
    <m/>
    <m/>
    <m/>
    <m/>
    <n v="116.25"/>
    <n v="63.75"/>
    <n v="0"/>
    <n v="0"/>
  </r>
  <r>
    <s v="River and Hatchery"/>
    <s v="Jacks"/>
    <x v="3"/>
    <s v="both"/>
    <x v="13"/>
    <n v="180"/>
    <m/>
    <m/>
    <m/>
    <m/>
    <n v="116.25"/>
    <n v="63.75"/>
    <n v="0"/>
    <n v="0"/>
  </r>
  <r>
    <m/>
    <m/>
    <x v="0"/>
    <m/>
    <x v="0"/>
    <m/>
    <m/>
    <m/>
    <m/>
    <m/>
    <m/>
    <m/>
    <m/>
    <m/>
  </r>
  <r>
    <s v="2023 sex correction"/>
    <n v="-6.7576564580559099E-3"/>
    <x v="0"/>
    <m/>
    <x v="0"/>
    <m/>
    <m/>
    <m/>
    <m/>
    <m/>
    <m/>
    <m/>
    <m/>
    <m/>
  </r>
  <r>
    <s v="River"/>
    <s v="Adult Males"/>
    <x v="1"/>
    <s v="NA"/>
    <x v="14"/>
    <n v="239"/>
    <n v="0"/>
    <n v="34"/>
    <n v="5"/>
    <n v="0"/>
    <n v="0"/>
    <n v="208.35897435897436"/>
    <n v="30.641025641025639"/>
    <n v="0"/>
  </r>
  <r>
    <s v="River"/>
    <s v="Adult Males"/>
    <x v="2"/>
    <s v="Petersen Tagged"/>
    <x v="14"/>
    <n v="340"/>
    <n v="0"/>
    <n v="18"/>
    <n v="10"/>
    <n v="1"/>
    <n v="0"/>
    <n v="211.0344827586207"/>
    <n v="117.24137931034484"/>
    <n v="11.724137931034482"/>
  </r>
  <r>
    <s v="River"/>
    <s v="Adult Males"/>
    <x v="2"/>
    <s v="No Petersen Tag"/>
    <x v="14"/>
    <n v="3348"/>
    <n v="0"/>
    <n v="48"/>
    <n v="58"/>
    <n v="0"/>
    <n v="0"/>
    <n v="1516.0754716981132"/>
    <n v="1831.9245283018868"/>
    <n v="0"/>
  </r>
  <r>
    <s v="Hatchery"/>
    <s v="Adult Males"/>
    <x v="1"/>
    <s v="No Petersen Tag"/>
    <x v="14"/>
    <n v="0"/>
    <m/>
    <m/>
    <m/>
    <m/>
    <n v="0"/>
    <n v="0"/>
    <n v="0"/>
    <n v="0"/>
  </r>
  <r>
    <s v="Hatchery"/>
    <s v="Adult Males"/>
    <x v="2"/>
    <s v="No Petersen Tag"/>
    <x v="14"/>
    <n v="63"/>
    <n v="0"/>
    <n v="24"/>
    <n v="30"/>
    <n v="0"/>
    <n v="0"/>
    <n v="28"/>
    <n v="35"/>
    <n v="0"/>
  </r>
  <r>
    <s v="River"/>
    <s v="Adult Males"/>
    <x v="3"/>
    <s v="both"/>
    <x v="14"/>
    <n v="3927"/>
    <m/>
    <m/>
    <m/>
    <m/>
    <n v="0"/>
    <n v="1935.4689288157083"/>
    <n v="1979.8069332532573"/>
    <n v="11.724137931034482"/>
  </r>
  <r>
    <s v="River and Hatchery"/>
    <s v="Adult Males"/>
    <x v="3"/>
    <s v="both"/>
    <x v="14"/>
    <n v="3990"/>
    <m/>
    <m/>
    <m/>
    <m/>
    <n v="0"/>
    <n v="1963.4689288157083"/>
    <n v="2014.8069332532573"/>
    <n v="11.724137931034482"/>
  </r>
  <r>
    <m/>
    <m/>
    <x v="0"/>
    <m/>
    <x v="0"/>
    <m/>
    <m/>
    <m/>
    <m/>
    <m/>
    <m/>
    <m/>
    <m/>
    <m/>
  </r>
  <r>
    <s v="River"/>
    <s v="Adult Females"/>
    <x v="1"/>
    <s v="NA"/>
    <x v="14"/>
    <n v="165"/>
    <n v="0"/>
    <n v="28"/>
    <n v="20"/>
    <n v="0"/>
    <n v="0"/>
    <n v="96.25"/>
    <n v="68.75"/>
    <n v="0"/>
  </r>
  <r>
    <s v="River"/>
    <s v="Adult Females"/>
    <x v="2"/>
    <s v="Petersen Tagged"/>
    <x v="14"/>
    <n v="411"/>
    <n v="0"/>
    <n v="14"/>
    <n v="56"/>
    <n v="1"/>
    <n v="0"/>
    <n v="81.042253521126753"/>
    <n v="324.16901408450701"/>
    <n v="5.788732394366197"/>
  </r>
  <r>
    <s v="River"/>
    <s v="Adult Females"/>
    <x v="2"/>
    <s v="No Petersen Tag"/>
    <x v="14"/>
    <n v="2633"/>
    <n v="0"/>
    <n v="28"/>
    <n v="85"/>
    <n v="1"/>
    <n v="0"/>
    <n v="646.70175438596493"/>
    <n v="1963.2017543859649"/>
    <n v="23.096491228070175"/>
  </r>
  <r>
    <s v="Hatchery"/>
    <s v="Adult Females"/>
    <x v="1"/>
    <s v="No Petersen Tag"/>
    <x v="14"/>
    <n v="0"/>
    <m/>
    <m/>
    <m/>
    <m/>
    <n v="0"/>
    <n v="0"/>
    <n v="0"/>
    <n v="0"/>
  </r>
  <r>
    <s v="Hatchery"/>
    <s v="Adult Females"/>
    <x v="2"/>
    <s v="No Petersen Tag"/>
    <x v="14"/>
    <n v="58"/>
    <n v="0"/>
    <n v="4"/>
    <n v="40"/>
    <n v="0"/>
    <n v="0"/>
    <n v="5.2727272727272725"/>
    <n v="52.727272727272727"/>
    <n v="0"/>
  </r>
  <r>
    <s v="River"/>
    <s v="Adult Females"/>
    <x v="3"/>
    <s v="both"/>
    <x v="14"/>
    <n v="3209"/>
    <m/>
    <m/>
    <m/>
    <m/>
    <n v="0"/>
    <n v="823.99400790709171"/>
    <n v="2356.1207684704718"/>
    <n v="28.885223622436371"/>
  </r>
  <r>
    <s v="River and Hatchery"/>
    <s v="Adult Females"/>
    <x v="3"/>
    <s v="both"/>
    <x v="14"/>
    <n v="3267"/>
    <m/>
    <m/>
    <m/>
    <m/>
    <n v="0"/>
    <n v="829.26673517981897"/>
    <n v="2408.8480411977444"/>
    <n v="28.885223622436371"/>
  </r>
  <r>
    <m/>
    <m/>
    <x v="0"/>
    <m/>
    <x v="0"/>
    <m/>
    <m/>
    <m/>
    <m/>
    <m/>
    <m/>
    <m/>
    <m/>
    <m/>
  </r>
  <r>
    <s v="River"/>
    <s v="Jacks"/>
    <x v="1"/>
    <s v="NA"/>
    <x v="14"/>
    <n v="164"/>
    <n v="8"/>
    <n v="0"/>
    <n v="0"/>
    <n v="0"/>
    <n v="164"/>
    <n v="0"/>
    <n v="0"/>
    <n v="0"/>
  </r>
  <r>
    <s v="River"/>
    <s v="Jacks"/>
    <x v="2"/>
    <s v="Petersen Tagged"/>
    <x v="14"/>
    <n v="8"/>
    <m/>
    <m/>
    <m/>
    <m/>
    <n v="4.5714285714285712"/>
    <n v="3.4285714285714284"/>
    <n v="0"/>
    <n v="0"/>
  </r>
  <r>
    <s v="River"/>
    <s v="Jacks"/>
    <x v="2"/>
    <s v="No Petersen Tag"/>
    <x v="14"/>
    <n v="320"/>
    <n v="4"/>
    <n v="3"/>
    <n v="0"/>
    <n v="0"/>
    <n v="182.85714285714283"/>
    <n v="137.14285714285714"/>
    <n v="0"/>
    <n v="0"/>
  </r>
  <r>
    <s v="Hatchery"/>
    <s v="Jacks"/>
    <x v="1"/>
    <s v="No Petersen Tag"/>
    <x v="14"/>
    <n v="0"/>
    <m/>
    <m/>
    <m/>
    <m/>
    <n v="0"/>
    <n v="0"/>
    <n v="0"/>
    <n v="0"/>
  </r>
  <r>
    <s v="Hatchery"/>
    <s v="Jacks"/>
    <x v="2"/>
    <s v="No Petersen Tag"/>
    <x v="14"/>
    <n v="0"/>
    <m/>
    <m/>
    <m/>
    <m/>
    <n v="0"/>
    <n v="0"/>
    <n v="0"/>
    <n v="0"/>
  </r>
  <r>
    <s v="River"/>
    <s v="Jacks"/>
    <x v="3"/>
    <s v="both"/>
    <x v="14"/>
    <n v="492"/>
    <m/>
    <m/>
    <m/>
    <m/>
    <n v="351.42857142857144"/>
    <n v="140.57142857142856"/>
    <n v="0"/>
    <n v="0"/>
  </r>
  <r>
    <s v="River and Hatchery"/>
    <s v="Jacks"/>
    <x v="3"/>
    <s v="both"/>
    <x v="14"/>
    <n v="492"/>
    <m/>
    <m/>
    <m/>
    <m/>
    <n v="351.42857142857144"/>
    <n v="140.57142857142856"/>
    <n v="0"/>
    <n v="0"/>
  </r>
  <r>
    <m/>
    <m/>
    <x v="0"/>
    <m/>
    <x v="0"/>
    <m/>
    <m/>
    <m/>
    <m/>
    <m/>
    <m/>
    <m/>
    <m/>
    <m/>
  </r>
  <r>
    <s v="2024 sex correction"/>
    <n v="0"/>
    <x v="0"/>
    <m/>
    <x v="0"/>
    <m/>
    <m/>
    <m/>
    <m/>
    <m/>
    <m/>
    <m/>
    <m/>
    <m/>
  </r>
  <r>
    <s v="River"/>
    <s v="Adult Males"/>
    <x v="1"/>
    <s v="NA"/>
    <x v="15"/>
    <n v="496"/>
    <n v="0"/>
    <n v="14"/>
    <n v="0"/>
    <n v="0"/>
    <n v="0"/>
    <n v="496"/>
    <n v="0"/>
    <n v="0"/>
  </r>
  <r>
    <s v="River"/>
    <s v="Adult Males"/>
    <x v="2"/>
    <s v="Petersen Tagged"/>
    <x v="15"/>
    <n v="348"/>
    <n v="1"/>
    <n v="5"/>
    <n v="5"/>
    <n v="0"/>
    <n v="31.636363636363637"/>
    <n v="158.18181818181819"/>
    <n v="158.18181818181819"/>
    <n v="0"/>
  </r>
  <r>
    <s v="River"/>
    <s v="Adult Males"/>
    <x v="2"/>
    <s v="No Petersen Tag"/>
    <x v="15"/>
    <n v="2461"/>
    <n v="0"/>
    <n v="62"/>
    <n v="41"/>
    <n v="1"/>
    <n v="0"/>
    <n v="1467.1346153846155"/>
    <n v="970.20192307692309"/>
    <n v="23.66346153846154"/>
  </r>
  <r>
    <s v="Hatchery"/>
    <s v="Adult Males"/>
    <x v="1"/>
    <s v="No Petersen Tag"/>
    <x v="15"/>
    <n v="0"/>
    <m/>
    <m/>
    <m/>
    <m/>
    <n v="0"/>
    <n v="0"/>
    <n v="0"/>
    <n v="0"/>
  </r>
  <r>
    <s v="Hatchery"/>
    <s v="Adult Males"/>
    <x v="2"/>
    <s v="No Petersen Tag"/>
    <x v="15"/>
    <n v="53"/>
    <m/>
    <m/>
    <m/>
    <m/>
    <n v="0"/>
    <n v="31.596153846153847"/>
    <n v="20.89423076923077"/>
    <n v="0.50961538461538469"/>
  </r>
  <r>
    <s v="River"/>
    <s v="Adult Males"/>
    <x v="3"/>
    <s v="both"/>
    <x v="15"/>
    <n v="3305"/>
    <m/>
    <m/>
    <m/>
    <m/>
    <n v="31.636363636363637"/>
    <n v="2121.3164335664337"/>
    <n v="1128.3837412587413"/>
    <n v="23.66346153846154"/>
  </r>
  <r>
    <s v="River and Hatchery"/>
    <s v="Adult Males"/>
    <x v="3"/>
    <s v="both"/>
    <x v="15"/>
    <n v="3358"/>
    <m/>
    <m/>
    <m/>
    <m/>
    <n v="31.636363636363637"/>
    <n v="2152.9125874125875"/>
    <n v="1149.2779720279721"/>
    <n v="24.173076923076923"/>
  </r>
  <r>
    <m/>
    <m/>
    <x v="0"/>
    <m/>
    <x v="0"/>
    <m/>
    <m/>
    <m/>
    <m/>
    <m/>
    <m/>
    <m/>
    <m/>
    <m/>
  </r>
  <r>
    <s v="River"/>
    <s v="Adult Females"/>
    <x v="1"/>
    <s v="NA"/>
    <x v="15"/>
    <n v="185"/>
    <n v="0"/>
    <n v="17"/>
    <n v="3"/>
    <n v="0"/>
    <n v="0"/>
    <n v="157.25"/>
    <n v="27.75"/>
    <n v="0"/>
  </r>
  <r>
    <s v="River"/>
    <s v="Adult Females"/>
    <x v="2"/>
    <s v="Petersen Tagged"/>
    <x v="15"/>
    <n v="248"/>
    <n v="0"/>
    <n v="10"/>
    <n v="16"/>
    <n v="0"/>
    <n v="0"/>
    <n v="95.384615384615387"/>
    <n v="152.61538461538461"/>
    <n v="0"/>
  </r>
  <r>
    <s v="River"/>
    <s v="Adult Females"/>
    <x v="2"/>
    <s v="No Petersen Tag"/>
    <x v="15"/>
    <n v="933"/>
    <n v="0"/>
    <n v="29"/>
    <n v="81"/>
    <n v="0"/>
    <n v="0"/>
    <n v="245.97272727272724"/>
    <n v="687.0272727272727"/>
    <n v="0"/>
  </r>
  <r>
    <s v="Hatchery"/>
    <s v="Adult Females"/>
    <x v="1"/>
    <s v="No Petersen Tag"/>
    <x v="15"/>
    <n v="0"/>
    <m/>
    <m/>
    <m/>
    <m/>
    <n v="0"/>
    <n v="0"/>
    <n v="0"/>
    <n v="0"/>
  </r>
  <r>
    <s v="Hatchery"/>
    <s v="Adult Females"/>
    <x v="2"/>
    <s v="No Petersen Tag"/>
    <x v="15"/>
    <n v="53"/>
    <m/>
    <m/>
    <m/>
    <m/>
    <n v="0"/>
    <n v="13.972727272727271"/>
    <n v="39.027272727272724"/>
    <n v="0"/>
  </r>
  <r>
    <s v="River"/>
    <s v="Adult Females"/>
    <x v="3"/>
    <s v="both"/>
    <x v="15"/>
    <n v="1366"/>
    <m/>
    <m/>
    <m/>
    <m/>
    <n v="0"/>
    <n v="498.60734265734266"/>
    <n v="867.39265734265734"/>
    <n v="0"/>
  </r>
  <r>
    <s v="River and Hatchery"/>
    <s v="Adult Females"/>
    <x v="3"/>
    <s v="both"/>
    <x v="15"/>
    <n v="1419"/>
    <m/>
    <m/>
    <m/>
    <m/>
    <n v="0"/>
    <n v="512.58006993006995"/>
    <n v="906.41993006993005"/>
    <n v="0"/>
  </r>
  <r>
    <m/>
    <m/>
    <x v="0"/>
    <m/>
    <x v="0"/>
    <m/>
    <m/>
    <m/>
    <m/>
    <m/>
    <m/>
    <m/>
    <m/>
    <m/>
  </r>
  <r>
    <s v="River"/>
    <s v="Jacks"/>
    <x v="1"/>
    <s v="NA"/>
    <x v="15"/>
    <n v="80"/>
    <n v="0"/>
    <n v="0"/>
    <n v="0"/>
    <n v="0"/>
    <n v="0"/>
    <n v="0"/>
    <n v="0"/>
    <n v="0"/>
  </r>
  <r>
    <s v="River"/>
    <s v="Jacks"/>
    <x v="2"/>
    <s v="Petersen Tagged"/>
    <x v="15"/>
    <n v="2"/>
    <n v="0"/>
    <n v="0"/>
    <n v="0"/>
    <n v="0"/>
    <n v="0"/>
    <n v="0"/>
    <n v="0"/>
    <n v="0"/>
  </r>
  <r>
    <s v="River"/>
    <s v="Jacks"/>
    <x v="2"/>
    <s v="No Petersen Tag"/>
    <x v="15"/>
    <n v="199"/>
    <n v="2"/>
    <n v="0"/>
    <n v="0"/>
    <n v="0"/>
    <n v="199"/>
    <n v="0"/>
    <n v="0"/>
    <n v="0"/>
  </r>
  <r>
    <s v="Hatchery"/>
    <s v="Jacks"/>
    <x v="1"/>
    <s v="No Petersen Tag"/>
    <x v="15"/>
    <n v="0"/>
    <m/>
    <m/>
    <m/>
    <m/>
    <n v="0"/>
    <n v="0"/>
    <n v="0"/>
    <n v="0"/>
  </r>
  <r>
    <s v="Hatchery"/>
    <s v="Jacks"/>
    <x v="2"/>
    <s v="No Petersen Tag"/>
    <x v="15"/>
    <n v="0"/>
    <m/>
    <m/>
    <m/>
    <m/>
    <m/>
    <m/>
    <m/>
    <m/>
  </r>
  <r>
    <s v="River"/>
    <s v="Jacks"/>
    <x v="3"/>
    <s v="both"/>
    <x v="15"/>
    <n v="281"/>
    <m/>
    <m/>
    <m/>
    <m/>
    <n v="199"/>
    <n v="0"/>
    <n v="0"/>
    <n v="0"/>
  </r>
  <r>
    <s v="River and Hatchery"/>
    <s v="Jacks"/>
    <x v="3"/>
    <s v="both"/>
    <x v="15"/>
    <n v="281"/>
    <m/>
    <m/>
    <m/>
    <m/>
    <n v="199"/>
    <n v="0"/>
    <n v="0"/>
    <n v="0"/>
  </r>
  <r>
    <m/>
    <m/>
    <x v="0"/>
    <m/>
    <x v="0"/>
    <m/>
    <m/>
    <m/>
    <m/>
    <m/>
    <m/>
    <m/>
    <m/>
    <m/>
  </r>
  <r>
    <m/>
    <m/>
    <x v="0"/>
    <m/>
    <x v="0"/>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
  <r>
    <x v="0"/>
    <x v="0"/>
    <m/>
    <m/>
    <x v="0"/>
    <m/>
    <m/>
    <m/>
    <m/>
    <m/>
    <m/>
    <m/>
    <m/>
    <m/>
  </r>
  <r>
    <x v="1"/>
    <x v="1"/>
    <s v="Clipped"/>
    <s v="NA"/>
    <x v="1"/>
    <n v="0"/>
    <m/>
    <m/>
    <m/>
    <m/>
    <m/>
    <m/>
    <m/>
    <m/>
  </r>
  <r>
    <x v="1"/>
    <x v="1"/>
    <s v="Unclipped"/>
    <s v="Petersen Tagged"/>
    <x v="1"/>
    <n v="833"/>
    <n v="1"/>
    <n v="102"/>
    <n v="39"/>
    <n v="2"/>
    <n v="5.7847222222222223"/>
    <n v="590.04166666666674"/>
    <n v="225.60416666666666"/>
    <n v="11.569444444444445"/>
  </r>
  <r>
    <x v="1"/>
    <x v="1"/>
    <s v="Unclipped"/>
    <s v="No Petersen Tag"/>
    <x v="1"/>
    <n v="2845"/>
    <n v="1"/>
    <n v="55"/>
    <n v="29"/>
    <n v="4"/>
    <n v="31.966292134831459"/>
    <n v="1758.1460674157302"/>
    <n v="927.02247191011236"/>
    <n v="127.86516853932584"/>
  </r>
  <r>
    <x v="2"/>
    <x v="1"/>
    <s v="Clipped"/>
    <s v="No Petersen Tag"/>
    <x v="1"/>
    <m/>
    <m/>
    <m/>
    <m/>
    <m/>
    <n v="0"/>
    <n v="0"/>
    <n v="0"/>
    <n v="0"/>
  </r>
  <r>
    <x v="2"/>
    <x v="1"/>
    <s v="Unclipped"/>
    <s v="No Petersen Tag"/>
    <x v="1"/>
    <m/>
    <m/>
    <m/>
    <m/>
    <m/>
    <n v="0"/>
    <n v="0"/>
    <n v="0"/>
    <n v="0"/>
  </r>
  <r>
    <x v="1"/>
    <x v="1"/>
    <s v="both"/>
    <s v="both"/>
    <x v="1"/>
    <n v="3678"/>
    <m/>
    <m/>
    <m/>
    <m/>
    <n v="37.751014357053684"/>
    <n v="2348.1877340823967"/>
    <n v="1152.626638576779"/>
    <n v="139.43461298377028"/>
  </r>
  <r>
    <x v="3"/>
    <x v="1"/>
    <s v="both"/>
    <s v="both"/>
    <x v="1"/>
    <n v="3678"/>
    <m/>
    <m/>
    <m/>
    <m/>
    <n v="37.751014357053684"/>
    <n v="2348.1877340823967"/>
    <n v="1152.626638576779"/>
    <n v="139.43461298377028"/>
  </r>
  <r>
    <x v="0"/>
    <x v="0"/>
    <m/>
    <m/>
    <x v="0"/>
    <m/>
    <m/>
    <m/>
    <m/>
    <m/>
    <m/>
    <m/>
    <m/>
    <m/>
  </r>
  <r>
    <x v="1"/>
    <x v="2"/>
    <s v="Clipped"/>
    <s v="NA"/>
    <x v="1"/>
    <n v="0"/>
    <m/>
    <m/>
    <m/>
    <m/>
    <m/>
    <m/>
    <m/>
    <m/>
  </r>
  <r>
    <x v="1"/>
    <x v="2"/>
    <s v="Unclipped"/>
    <s v="Petersen Tagged"/>
    <x v="1"/>
    <n v="648"/>
    <n v="0"/>
    <n v="69"/>
    <n v="93"/>
    <n v="7"/>
    <n v="0"/>
    <n v="264.56804733727807"/>
    <n v="356.59171597633139"/>
    <n v="26.840236686390536"/>
  </r>
  <r>
    <x v="1"/>
    <x v="2"/>
    <s v="Unclipped"/>
    <s v="No Petersen Tag"/>
    <x v="1"/>
    <n v="3164"/>
    <n v="0"/>
    <n v="54"/>
    <n v="75"/>
    <n v="8"/>
    <n v="0"/>
    <n v="1247.1240875912408"/>
    <n v="1732.1167883211679"/>
    <n v="184.75912408759123"/>
  </r>
  <r>
    <x v="2"/>
    <x v="2"/>
    <s v="Clipped"/>
    <s v="No Petersen Tag"/>
    <x v="1"/>
    <m/>
    <m/>
    <m/>
    <m/>
    <m/>
    <n v="0"/>
    <n v="0"/>
    <n v="0"/>
    <n v="0"/>
  </r>
  <r>
    <x v="2"/>
    <x v="2"/>
    <s v="Unclipped"/>
    <s v="No Petersen Tag"/>
    <x v="1"/>
    <m/>
    <m/>
    <m/>
    <m/>
    <m/>
    <n v="0"/>
    <n v="0"/>
    <n v="0"/>
    <n v="0"/>
  </r>
  <r>
    <x v="1"/>
    <x v="2"/>
    <s v="both"/>
    <s v="both"/>
    <x v="1"/>
    <n v="3812"/>
    <m/>
    <m/>
    <m/>
    <m/>
    <n v="0"/>
    <n v="1511.692134928519"/>
    <n v="2088.7085042974991"/>
    <n v="211.59936077398177"/>
  </r>
  <r>
    <x v="3"/>
    <x v="2"/>
    <s v="both"/>
    <s v="both"/>
    <x v="1"/>
    <n v="3812"/>
    <m/>
    <m/>
    <m/>
    <m/>
    <n v="0"/>
    <n v="1511.692134928519"/>
    <n v="2088.7085042974991"/>
    <n v="211.59936077398177"/>
  </r>
  <r>
    <x v="0"/>
    <x v="0"/>
    <m/>
    <m/>
    <x v="0"/>
    <m/>
    <m/>
    <m/>
    <m/>
    <m/>
    <m/>
    <m/>
    <m/>
    <m/>
  </r>
  <r>
    <x v="1"/>
    <x v="3"/>
    <s v="Clipped"/>
    <s v="NA"/>
    <x v="1"/>
    <n v="0"/>
    <m/>
    <m/>
    <m/>
    <m/>
    <m/>
    <m/>
    <m/>
    <m/>
  </r>
  <r>
    <x v="1"/>
    <x v="3"/>
    <s v="Unclipped"/>
    <s v="Petersen Tagged"/>
    <x v="1"/>
    <n v="14"/>
    <n v="0"/>
    <n v="1"/>
    <n v="0"/>
    <n v="0"/>
    <n v="0"/>
    <n v="14"/>
    <n v="0"/>
    <n v="0"/>
  </r>
  <r>
    <x v="1"/>
    <x v="3"/>
    <s v="Unclipped"/>
    <s v="No Petersen Tag"/>
    <x v="1"/>
    <n v="14"/>
    <n v="1"/>
    <n v="1"/>
    <n v="0"/>
    <n v="0"/>
    <n v="7"/>
    <n v="7"/>
    <n v="0"/>
    <n v="0"/>
  </r>
  <r>
    <x v="2"/>
    <x v="3"/>
    <s v="Clipped"/>
    <s v="No Petersen Tag"/>
    <x v="1"/>
    <m/>
    <m/>
    <m/>
    <m/>
    <m/>
    <n v="0"/>
    <n v="0"/>
    <n v="0"/>
    <n v="0"/>
  </r>
  <r>
    <x v="2"/>
    <x v="3"/>
    <s v="Unclipped"/>
    <s v="No Petersen Tag"/>
    <x v="1"/>
    <m/>
    <m/>
    <m/>
    <m/>
    <m/>
    <n v="0"/>
    <n v="0"/>
    <n v="0"/>
    <n v="0"/>
  </r>
  <r>
    <x v="1"/>
    <x v="3"/>
    <s v="both"/>
    <s v="both"/>
    <x v="1"/>
    <n v="28"/>
    <m/>
    <m/>
    <m/>
    <m/>
    <n v="7"/>
    <n v="21"/>
    <n v="0"/>
    <n v="0"/>
  </r>
  <r>
    <x v="3"/>
    <x v="3"/>
    <s v="both"/>
    <s v="both"/>
    <x v="1"/>
    <n v="28"/>
    <m/>
    <m/>
    <m/>
    <m/>
    <n v="7"/>
    <n v="21"/>
    <n v="0"/>
    <n v="0"/>
  </r>
  <r>
    <x v="0"/>
    <x v="0"/>
    <m/>
    <m/>
    <x v="0"/>
    <m/>
    <m/>
    <m/>
    <m/>
    <m/>
    <m/>
    <m/>
    <m/>
    <m/>
  </r>
  <r>
    <x v="1"/>
    <x v="1"/>
    <s v="Clipped"/>
    <s v="NA"/>
    <x v="2"/>
    <n v="0"/>
    <n v="0"/>
    <n v="0"/>
    <n v="0"/>
    <n v="0"/>
    <m/>
    <m/>
    <m/>
    <m/>
  </r>
  <r>
    <x v="1"/>
    <x v="1"/>
    <s v="Unclipped"/>
    <s v="Petersen Tagged"/>
    <x v="2"/>
    <n v="265"/>
    <n v="0"/>
    <n v="32"/>
    <n v="66"/>
    <n v="1"/>
    <n v="0"/>
    <n v="85.656565656565661"/>
    <n v="176.66666666666666"/>
    <n v="2.6767676767676769"/>
  </r>
  <r>
    <x v="1"/>
    <x v="1"/>
    <s v="Unclipped"/>
    <s v="No Petersen Tag"/>
    <x v="2"/>
    <n v="3250"/>
    <n v="0"/>
    <n v="39"/>
    <n v="127"/>
    <n v="5"/>
    <n v="0"/>
    <n v="741.22807017543857"/>
    <n v="2413.7426900584796"/>
    <n v="95.029239766081872"/>
  </r>
  <r>
    <x v="2"/>
    <x v="1"/>
    <s v="Clipped"/>
    <s v="No Petersen Tag"/>
    <x v="2"/>
    <m/>
    <m/>
    <m/>
    <m/>
    <m/>
    <n v="0"/>
    <n v="0"/>
    <n v="0"/>
    <n v="0"/>
  </r>
  <r>
    <x v="2"/>
    <x v="1"/>
    <s v="Unclipped"/>
    <s v="No Petersen Tag"/>
    <x v="2"/>
    <m/>
    <m/>
    <m/>
    <m/>
    <m/>
    <n v="0"/>
    <n v="0"/>
    <n v="0"/>
    <n v="0"/>
  </r>
  <r>
    <x v="1"/>
    <x v="1"/>
    <s v="both"/>
    <s v="both"/>
    <x v="2"/>
    <n v="3515"/>
    <m/>
    <m/>
    <m/>
    <m/>
    <n v="0"/>
    <n v="826.88463583200428"/>
    <n v="2590.4093567251462"/>
    <n v="97.706007442849554"/>
  </r>
  <r>
    <x v="3"/>
    <x v="1"/>
    <s v="both"/>
    <s v="both"/>
    <x v="2"/>
    <n v="3515"/>
    <m/>
    <m/>
    <m/>
    <m/>
    <n v="0"/>
    <n v="826.88463583200428"/>
    <n v="2590.4093567251462"/>
    <n v="97.706007442849554"/>
  </r>
  <r>
    <x v="0"/>
    <x v="0"/>
    <m/>
    <m/>
    <x v="0"/>
    <m/>
    <m/>
    <m/>
    <m/>
    <m/>
    <m/>
    <m/>
    <m/>
    <m/>
  </r>
  <r>
    <x v="1"/>
    <x v="2"/>
    <s v="Clipped"/>
    <s v="NA"/>
    <x v="2"/>
    <n v="0"/>
    <m/>
    <m/>
    <m/>
    <m/>
    <m/>
    <m/>
    <m/>
    <m/>
  </r>
  <r>
    <x v="1"/>
    <x v="2"/>
    <s v="Unclipped"/>
    <s v="Petersen Tagged"/>
    <x v="2"/>
    <n v="466"/>
    <n v="0"/>
    <n v="31"/>
    <n v="158"/>
    <n v="1"/>
    <n v="0"/>
    <n v="76.03157894736843"/>
    <n v="387.51578947368421"/>
    <n v="2.4526315789473685"/>
  </r>
  <r>
    <x v="1"/>
    <x v="2"/>
    <s v="Unclipped"/>
    <s v="No Petersen Tag"/>
    <x v="2"/>
    <n v="4415"/>
    <n v="0"/>
    <n v="38"/>
    <n v="290"/>
    <n v="6"/>
    <n v="0"/>
    <n v="502.30538922155688"/>
    <n v="3833.3832335329339"/>
    <n v="79.311377245508979"/>
  </r>
  <r>
    <x v="2"/>
    <x v="2"/>
    <s v="Clipped"/>
    <s v="No Petersen Tag"/>
    <x v="2"/>
    <m/>
    <m/>
    <m/>
    <m/>
    <m/>
    <n v="0"/>
    <n v="0"/>
    <n v="0"/>
    <n v="0"/>
  </r>
  <r>
    <x v="2"/>
    <x v="2"/>
    <s v="Unclipped"/>
    <s v="No Petersen Tag"/>
    <x v="2"/>
    <m/>
    <m/>
    <m/>
    <m/>
    <m/>
    <n v="0"/>
    <n v="0"/>
    <n v="0"/>
    <n v="0"/>
  </r>
  <r>
    <x v="1"/>
    <x v="2"/>
    <s v="both"/>
    <s v="both"/>
    <x v="2"/>
    <n v="4881"/>
    <m/>
    <m/>
    <m/>
    <m/>
    <n v="0"/>
    <n v="578.3369681689253"/>
    <n v="4220.8990230066183"/>
    <n v="81.76400882445634"/>
  </r>
  <r>
    <x v="3"/>
    <x v="2"/>
    <s v="both"/>
    <s v="both"/>
    <x v="2"/>
    <n v="4881"/>
    <m/>
    <m/>
    <m/>
    <m/>
    <n v="0"/>
    <n v="578.3369681689253"/>
    <n v="4220.8990230066183"/>
    <n v="81.76400882445634"/>
  </r>
  <r>
    <x v="0"/>
    <x v="0"/>
    <m/>
    <m/>
    <x v="0"/>
    <m/>
    <m/>
    <m/>
    <m/>
    <m/>
    <m/>
    <m/>
    <m/>
    <m/>
  </r>
  <r>
    <x v="1"/>
    <x v="3"/>
    <s v="Clipped"/>
    <s v="NA"/>
    <x v="2"/>
    <n v="0"/>
    <n v="0"/>
    <n v="0"/>
    <n v="0"/>
    <n v="0"/>
    <m/>
    <m/>
    <m/>
    <m/>
  </r>
  <r>
    <x v="1"/>
    <x v="3"/>
    <s v="Unclipped"/>
    <s v="Petersen Tagged"/>
    <x v="2"/>
    <n v="3"/>
    <m/>
    <m/>
    <m/>
    <m/>
    <n v="3"/>
    <n v="0"/>
    <n v="0"/>
    <n v="0"/>
  </r>
  <r>
    <x v="1"/>
    <x v="3"/>
    <s v="Unclipped"/>
    <s v="No Petersen Tag"/>
    <x v="2"/>
    <n v="16"/>
    <n v="1"/>
    <n v="0"/>
    <n v="0"/>
    <n v="0"/>
    <n v="16"/>
    <n v="0"/>
    <n v="0"/>
    <n v="0"/>
  </r>
  <r>
    <x v="2"/>
    <x v="3"/>
    <s v="Clipped"/>
    <s v="No Petersen Tag"/>
    <x v="2"/>
    <m/>
    <m/>
    <m/>
    <m/>
    <m/>
    <n v="0"/>
    <n v="0"/>
    <n v="0"/>
    <n v="0"/>
  </r>
  <r>
    <x v="2"/>
    <x v="3"/>
    <s v="Unclipped"/>
    <s v="No Petersen Tag"/>
    <x v="2"/>
    <m/>
    <m/>
    <m/>
    <m/>
    <m/>
    <n v="0"/>
    <n v="0"/>
    <n v="0"/>
    <n v="0"/>
  </r>
  <r>
    <x v="1"/>
    <x v="3"/>
    <s v="both"/>
    <s v="both"/>
    <x v="2"/>
    <n v="19"/>
    <m/>
    <m/>
    <m/>
    <m/>
    <n v="19"/>
    <n v="0"/>
    <n v="0"/>
    <n v="0"/>
  </r>
  <r>
    <x v="3"/>
    <x v="3"/>
    <s v="both"/>
    <s v="both"/>
    <x v="2"/>
    <n v="19"/>
    <m/>
    <m/>
    <m/>
    <m/>
    <n v="19"/>
    <n v="0"/>
    <n v="0"/>
    <n v="0"/>
  </r>
  <r>
    <x v="0"/>
    <x v="0"/>
    <m/>
    <m/>
    <x v="0"/>
    <m/>
    <m/>
    <m/>
    <m/>
    <m/>
    <m/>
    <m/>
    <m/>
    <m/>
  </r>
  <r>
    <x v="1"/>
    <x v="1"/>
    <s v="Clipped"/>
    <s v="NA"/>
    <x v="3"/>
    <n v="0"/>
    <m/>
    <m/>
    <m/>
    <m/>
    <m/>
    <m/>
    <m/>
    <m/>
  </r>
  <r>
    <x v="1"/>
    <x v="1"/>
    <s v="Unclipped"/>
    <s v="Petersen Tagged"/>
    <x v="3"/>
    <n v="274"/>
    <n v="4"/>
    <n v="21"/>
    <n v="28"/>
    <n v="1"/>
    <n v="20.296296296296294"/>
    <n v="106.55555555555556"/>
    <n v="142.07407407407408"/>
    <n v="5.0740740740740735"/>
  </r>
  <r>
    <x v="1"/>
    <x v="1"/>
    <s v="Unclipped"/>
    <s v="No Petersen Tag"/>
    <x v="3"/>
    <n v="1887"/>
    <n v="5"/>
    <n v="26"/>
    <n v="52"/>
    <n v="1"/>
    <n v="112.32142857142857"/>
    <n v="584.07142857142856"/>
    <n v="1168.1428571428571"/>
    <n v="22.464285714285712"/>
  </r>
  <r>
    <x v="2"/>
    <x v="1"/>
    <s v="Clipped"/>
    <s v="No Petersen Tag"/>
    <x v="3"/>
    <m/>
    <m/>
    <m/>
    <m/>
    <m/>
    <n v="0"/>
    <n v="0"/>
    <n v="0"/>
    <n v="0"/>
  </r>
  <r>
    <x v="2"/>
    <x v="1"/>
    <s v="Unclipped"/>
    <s v="No Petersen Tag"/>
    <x v="3"/>
    <m/>
    <m/>
    <m/>
    <m/>
    <m/>
    <n v="0"/>
    <n v="0"/>
    <n v="0"/>
    <n v="0"/>
  </r>
  <r>
    <x v="1"/>
    <x v="1"/>
    <s v="both"/>
    <s v="both"/>
    <x v="3"/>
    <n v="2161"/>
    <m/>
    <m/>
    <m/>
    <m/>
    <n v="132.61772486772486"/>
    <n v="690.6269841269841"/>
    <n v="1310.2169312169312"/>
    <n v="27.538359788359784"/>
  </r>
  <r>
    <x v="3"/>
    <x v="1"/>
    <s v="both"/>
    <s v="both"/>
    <x v="3"/>
    <n v="2161"/>
    <m/>
    <m/>
    <m/>
    <m/>
    <n v="132.61772486772486"/>
    <n v="690.6269841269841"/>
    <n v="1310.2169312169312"/>
    <n v="27.538359788359784"/>
  </r>
  <r>
    <x v="0"/>
    <x v="0"/>
    <m/>
    <m/>
    <x v="0"/>
    <m/>
    <m/>
    <m/>
    <m/>
    <m/>
    <m/>
    <m/>
    <m/>
    <m/>
  </r>
  <r>
    <x v="1"/>
    <x v="2"/>
    <s v="Clipped"/>
    <s v="NA"/>
    <x v="3"/>
    <n v="0"/>
    <m/>
    <m/>
    <m/>
    <m/>
    <m/>
    <m/>
    <m/>
    <m/>
  </r>
  <r>
    <x v="1"/>
    <x v="2"/>
    <s v="Unclipped"/>
    <s v="Petersen Tagged"/>
    <x v="3"/>
    <n v="396"/>
    <n v="0"/>
    <n v="59"/>
    <n v="89"/>
    <n v="3"/>
    <n v="0"/>
    <n v="154.72847682119206"/>
    <n v="233.40397350993379"/>
    <n v="7.8675496688741724"/>
  </r>
  <r>
    <x v="1"/>
    <x v="2"/>
    <s v="Unclipped"/>
    <s v="No Petersen Tag"/>
    <x v="3"/>
    <n v="1698"/>
    <n v="1"/>
    <n v="46"/>
    <n v="88"/>
    <n v="3"/>
    <n v="12.304347826086957"/>
    <n v="566"/>
    <n v="1082.782608695652"/>
    <n v="36.913043478260867"/>
  </r>
  <r>
    <x v="2"/>
    <x v="2"/>
    <s v="Clipped"/>
    <s v="No Petersen Tag"/>
    <x v="3"/>
    <m/>
    <m/>
    <m/>
    <m/>
    <m/>
    <n v="0"/>
    <n v="0"/>
    <n v="0"/>
    <n v="0"/>
  </r>
  <r>
    <x v="2"/>
    <x v="2"/>
    <s v="Unclipped"/>
    <s v="No Petersen Tag"/>
    <x v="3"/>
    <m/>
    <m/>
    <m/>
    <m/>
    <m/>
    <n v="0"/>
    <n v="0"/>
    <n v="0"/>
    <n v="0"/>
  </r>
  <r>
    <x v="1"/>
    <x v="2"/>
    <s v="both"/>
    <s v="both"/>
    <x v="3"/>
    <n v="2094"/>
    <m/>
    <m/>
    <m/>
    <m/>
    <n v="12.304347826086957"/>
    <n v="720.72847682119209"/>
    <n v="1316.1865822055859"/>
    <n v="44.780593147135036"/>
  </r>
  <r>
    <x v="3"/>
    <x v="2"/>
    <s v="both"/>
    <s v="both"/>
    <x v="3"/>
    <n v="2094"/>
    <m/>
    <m/>
    <m/>
    <m/>
    <n v="12.304347826086957"/>
    <n v="720.72847682119209"/>
    <n v="1316.1865822055859"/>
    <n v="44.780593147135036"/>
  </r>
  <r>
    <x v="0"/>
    <x v="0"/>
    <m/>
    <m/>
    <x v="0"/>
    <m/>
    <m/>
    <m/>
    <m/>
    <m/>
    <m/>
    <m/>
    <m/>
    <m/>
  </r>
  <r>
    <x v="1"/>
    <x v="3"/>
    <s v="Clipped"/>
    <s v="NA"/>
    <x v="3"/>
    <n v="0"/>
    <m/>
    <m/>
    <m/>
    <m/>
    <m/>
    <m/>
    <m/>
    <m/>
  </r>
  <r>
    <x v="1"/>
    <x v="3"/>
    <s v="Unclipped"/>
    <s v="Petersen Tagged"/>
    <x v="3"/>
    <n v="2"/>
    <m/>
    <m/>
    <m/>
    <m/>
    <n v="2"/>
    <n v="0"/>
    <n v="0"/>
    <n v="0"/>
  </r>
  <r>
    <x v="1"/>
    <x v="3"/>
    <s v="Unclipped"/>
    <s v="No Petersen Tag"/>
    <x v="3"/>
    <n v="30"/>
    <n v="4"/>
    <n v="0"/>
    <n v="0"/>
    <n v="0"/>
    <n v="30"/>
    <n v="0"/>
    <n v="0"/>
    <n v="0"/>
  </r>
  <r>
    <x v="2"/>
    <x v="3"/>
    <s v="Clipped"/>
    <s v="No Petersen Tag"/>
    <x v="3"/>
    <m/>
    <m/>
    <m/>
    <m/>
    <m/>
    <n v="0"/>
    <n v="0"/>
    <n v="0"/>
    <n v="0"/>
  </r>
  <r>
    <x v="2"/>
    <x v="3"/>
    <s v="Unclipped"/>
    <s v="No Petersen Tag"/>
    <x v="3"/>
    <m/>
    <m/>
    <m/>
    <m/>
    <m/>
    <n v="0"/>
    <n v="0"/>
    <n v="0"/>
    <n v="0"/>
  </r>
  <r>
    <x v="1"/>
    <x v="3"/>
    <s v="both"/>
    <s v="both"/>
    <x v="3"/>
    <n v="32"/>
    <m/>
    <m/>
    <m/>
    <m/>
    <n v="32"/>
    <n v="0"/>
    <n v="0"/>
    <n v="0"/>
  </r>
  <r>
    <x v="3"/>
    <x v="3"/>
    <s v="both"/>
    <s v="both"/>
    <x v="3"/>
    <n v="32"/>
    <m/>
    <m/>
    <m/>
    <m/>
    <n v="32"/>
    <n v="0"/>
    <n v="0"/>
    <n v="0"/>
  </r>
  <r>
    <x v="0"/>
    <x v="0"/>
    <m/>
    <m/>
    <x v="0"/>
    <m/>
    <m/>
    <m/>
    <m/>
    <m/>
    <m/>
    <m/>
    <m/>
    <m/>
  </r>
  <r>
    <x v="1"/>
    <x v="1"/>
    <s v="Clipped"/>
    <s v="NA"/>
    <x v="4"/>
    <n v="0"/>
    <m/>
    <m/>
    <m/>
    <m/>
    <m/>
    <m/>
    <m/>
    <m/>
  </r>
  <r>
    <x v="1"/>
    <x v="1"/>
    <s v="Unclipped"/>
    <s v="Petersen Tagged"/>
    <x v="4"/>
    <n v="367"/>
    <n v="16"/>
    <n v="110"/>
    <n v="28"/>
    <n v="0"/>
    <n v="38.129870129870135"/>
    <n v="262.14285714285717"/>
    <n v="66.727272727272734"/>
    <n v="0"/>
  </r>
  <r>
    <x v="1"/>
    <x v="1"/>
    <s v="Unclipped"/>
    <s v="No Petersen Tag"/>
    <x v="4"/>
    <n v="1771"/>
    <n v="16"/>
    <n v="107"/>
    <n v="43"/>
    <n v="1"/>
    <n v="169.67664670658684"/>
    <n v="1134.7125748502995"/>
    <n v="456.00598802395206"/>
    <n v="10.604790419161677"/>
  </r>
  <r>
    <x v="2"/>
    <x v="1"/>
    <s v="Clipped"/>
    <s v="No Petersen Tag"/>
    <x v="4"/>
    <m/>
    <m/>
    <m/>
    <m/>
    <m/>
    <n v="0"/>
    <n v="0"/>
    <n v="0"/>
    <n v="0"/>
  </r>
  <r>
    <x v="2"/>
    <x v="1"/>
    <s v="Unclipped"/>
    <s v="No Petersen Tag"/>
    <x v="4"/>
    <m/>
    <m/>
    <m/>
    <m/>
    <m/>
    <n v="0"/>
    <n v="0"/>
    <n v="0"/>
    <n v="0"/>
  </r>
  <r>
    <x v="1"/>
    <x v="1"/>
    <s v="both"/>
    <s v="both"/>
    <x v="4"/>
    <n v="2138"/>
    <m/>
    <m/>
    <m/>
    <m/>
    <n v="207.80651683645698"/>
    <n v="1396.8554319931566"/>
    <n v="522.73326075122475"/>
    <n v="10.604790419161677"/>
  </r>
  <r>
    <x v="3"/>
    <x v="1"/>
    <s v="both"/>
    <s v="both"/>
    <x v="4"/>
    <n v="2138"/>
    <m/>
    <m/>
    <m/>
    <m/>
    <n v="207.80651683645698"/>
    <n v="1396.8554319931566"/>
    <n v="522.73326075122475"/>
    <n v="10.604790419161677"/>
  </r>
  <r>
    <x v="0"/>
    <x v="0"/>
    <m/>
    <m/>
    <x v="0"/>
    <m/>
    <m/>
    <m/>
    <m/>
    <m/>
    <m/>
    <m/>
    <m/>
    <m/>
  </r>
  <r>
    <x v="1"/>
    <x v="2"/>
    <s v="Clipped"/>
    <s v="NA"/>
    <x v="4"/>
    <n v="0"/>
    <m/>
    <m/>
    <m/>
    <m/>
    <m/>
    <m/>
    <m/>
    <m/>
  </r>
  <r>
    <x v="1"/>
    <x v="2"/>
    <s v="Unclipped"/>
    <s v="Petersen Tagged"/>
    <x v="4"/>
    <n v="368"/>
    <n v="4"/>
    <n v="93"/>
    <n v="93"/>
    <n v="2"/>
    <n v="7.6666666666666661"/>
    <n v="178.25"/>
    <n v="178.25"/>
    <n v="3.833333333333333"/>
  </r>
  <r>
    <x v="1"/>
    <x v="2"/>
    <s v="Unclipped"/>
    <s v="No Petersen Tag"/>
    <x v="4"/>
    <n v="1725"/>
    <n v="1"/>
    <n v="141"/>
    <n v="122"/>
    <n v="4"/>
    <n v="6.4365671641791042"/>
    <n v="907.55597014925377"/>
    <n v="785.26119402985069"/>
    <n v="25.746268656716417"/>
  </r>
  <r>
    <x v="2"/>
    <x v="2"/>
    <s v="Clipped"/>
    <s v="No Petersen Tag"/>
    <x v="4"/>
    <m/>
    <m/>
    <m/>
    <m/>
    <m/>
    <n v="0"/>
    <n v="0"/>
    <n v="0"/>
    <n v="0"/>
  </r>
  <r>
    <x v="2"/>
    <x v="2"/>
    <s v="Unclipped"/>
    <s v="No Petersen Tag"/>
    <x v="4"/>
    <m/>
    <m/>
    <m/>
    <m/>
    <m/>
    <n v="0"/>
    <n v="0"/>
    <n v="0"/>
    <n v="0"/>
  </r>
  <r>
    <x v="1"/>
    <x v="2"/>
    <s v="both"/>
    <s v="both"/>
    <x v="4"/>
    <n v="2093"/>
    <m/>
    <m/>
    <m/>
    <m/>
    <n v="14.10323383084577"/>
    <n v="1085.8059701492539"/>
    <n v="963.51119402985069"/>
    <n v="29.579601990049749"/>
  </r>
  <r>
    <x v="3"/>
    <x v="2"/>
    <s v="both"/>
    <s v="both"/>
    <x v="4"/>
    <n v="2093"/>
    <m/>
    <m/>
    <m/>
    <m/>
    <n v="14.10323383084577"/>
    <n v="1085.8059701492539"/>
    <n v="963.51119402985069"/>
    <n v="29.579601990049749"/>
  </r>
  <r>
    <x v="0"/>
    <x v="0"/>
    <m/>
    <m/>
    <x v="0"/>
    <m/>
    <m/>
    <m/>
    <m/>
    <m/>
    <m/>
    <m/>
    <m/>
    <m/>
  </r>
  <r>
    <x v="1"/>
    <x v="3"/>
    <s v="Clipped"/>
    <s v="NA"/>
    <x v="4"/>
    <n v="0"/>
    <n v="0"/>
    <n v="0"/>
    <n v="0"/>
    <n v="0"/>
    <m/>
    <m/>
    <m/>
    <m/>
  </r>
  <r>
    <x v="1"/>
    <x v="3"/>
    <s v="Unclipped"/>
    <s v="Petersen Tagged"/>
    <x v="4"/>
    <n v="21"/>
    <n v="3"/>
    <n v="0"/>
    <n v="0"/>
    <n v="0"/>
    <n v="21"/>
    <n v="0"/>
    <n v="0"/>
    <n v="0"/>
  </r>
  <r>
    <x v="1"/>
    <x v="3"/>
    <s v="Unclipped"/>
    <s v="No Petersen Tag"/>
    <x v="4"/>
    <n v="171"/>
    <n v="36"/>
    <n v="3"/>
    <n v="0"/>
    <n v="0"/>
    <n v="157.84615384615387"/>
    <n v="13.153846153846155"/>
    <n v="0"/>
    <n v="0"/>
  </r>
  <r>
    <x v="2"/>
    <x v="3"/>
    <s v="Clipped"/>
    <s v="No Petersen Tag"/>
    <x v="4"/>
    <m/>
    <m/>
    <m/>
    <m/>
    <m/>
    <n v="0"/>
    <n v="0"/>
    <n v="0"/>
    <n v="0"/>
  </r>
  <r>
    <x v="2"/>
    <x v="3"/>
    <s v="Unclipped"/>
    <s v="No Petersen Tag"/>
    <x v="4"/>
    <m/>
    <m/>
    <m/>
    <m/>
    <m/>
    <n v="0"/>
    <n v="0"/>
    <n v="0"/>
    <n v="0"/>
  </r>
  <r>
    <x v="1"/>
    <x v="3"/>
    <s v="both"/>
    <s v="both"/>
    <x v="4"/>
    <n v="192"/>
    <m/>
    <m/>
    <m/>
    <m/>
    <n v="178.84615384615387"/>
    <n v="13.153846153846155"/>
    <n v="0"/>
    <n v="0"/>
  </r>
  <r>
    <x v="3"/>
    <x v="3"/>
    <s v="both"/>
    <s v="both"/>
    <x v="4"/>
    <n v="192"/>
    <m/>
    <m/>
    <m/>
    <m/>
    <n v="178.84615384615387"/>
    <n v="13.153846153846155"/>
    <n v="0"/>
    <n v="0"/>
  </r>
  <r>
    <x v="0"/>
    <x v="0"/>
    <m/>
    <m/>
    <x v="0"/>
    <m/>
    <m/>
    <m/>
    <m/>
    <m/>
    <m/>
    <m/>
    <m/>
    <m/>
  </r>
  <r>
    <x v="1"/>
    <x v="1"/>
    <s v="Clipped"/>
    <s v="NA"/>
    <x v="5"/>
    <n v="0"/>
    <m/>
    <m/>
    <m/>
    <m/>
    <m/>
    <m/>
    <m/>
    <m/>
  </r>
  <r>
    <x v="1"/>
    <x v="1"/>
    <s v="Unclipped"/>
    <s v="Petersen Tagged"/>
    <x v="5"/>
    <n v="824"/>
    <n v="1"/>
    <n v="49"/>
    <n v="25"/>
    <n v="1"/>
    <n v="10.842105263157894"/>
    <n v="531.26315789473688"/>
    <n v="271.0526315789474"/>
    <n v="10.842105263157894"/>
  </r>
  <r>
    <x v="1"/>
    <x v="1"/>
    <s v="Unclipped"/>
    <s v="No Petersen Tag"/>
    <x v="5"/>
    <n v="6306"/>
    <n v="0"/>
    <n v="39"/>
    <n v="37"/>
    <n v="1"/>
    <n v="0"/>
    <n v="3193.9480519480517"/>
    <n v="3030.1558441558441"/>
    <n v="81.896103896103895"/>
  </r>
  <r>
    <x v="2"/>
    <x v="1"/>
    <s v="Clipped"/>
    <s v="No Petersen Tag"/>
    <x v="5"/>
    <n v="0"/>
    <m/>
    <m/>
    <m/>
    <m/>
    <n v="0"/>
    <n v="0"/>
    <n v="0"/>
    <n v="0"/>
  </r>
  <r>
    <x v="2"/>
    <x v="1"/>
    <s v="Unclipped"/>
    <s v="No Petersen Tag"/>
    <x v="5"/>
    <n v="51"/>
    <m/>
    <m/>
    <m/>
    <m/>
    <n v="0"/>
    <n v="25.831168831168828"/>
    <n v="24.506493506493506"/>
    <n v="0.66233766233766234"/>
  </r>
  <r>
    <x v="1"/>
    <x v="1"/>
    <s v="both"/>
    <s v="both"/>
    <x v="5"/>
    <n v="7130"/>
    <m/>
    <m/>
    <m/>
    <m/>
    <n v="10.842105263157894"/>
    <n v="3725.2112098427888"/>
    <n v="3301.2084757347916"/>
    <n v="92.738209159261785"/>
  </r>
  <r>
    <x v="3"/>
    <x v="1"/>
    <s v="both"/>
    <s v="both"/>
    <x v="5"/>
    <n v="7181"/>
    <m/>
    <m/>
    <m/>
    <m/>
    <n v="10.842105263157894"/>
    <n v="3751.0423786739575"/>
    <n v="3325.714969241285"/>
    <n v="93.400546821599448"/>
  </r>
  <r>
    <x v="0"/>
    <x v="0"/>
    <m/>
    <m/>
    <x v="0"/>
    <m/>
    <m/>
    <m/>
    <m/>
    <m/>
    <m/>
    <m/>
    <m/>
    <m/>
  </r>
  <r>
    <x v="1"/>
    <x v="2"/>
    <s v="Clipped"/>
    <s v="NA"/>
    <x v="5"/>
    <n v="0"/>
    <m/>
    <m/>
    <m/>
    <m/>
    <m/>
    <m/>
    <m/>
    <m/>
  </r>
  <r>
    <x v="1"/>
    <x v="2"/>
    <s v="Unclipped"/>
    <s v="Petersen Tagged"/>
    <x v="5"/>
    <n v="793"/>
    <n v="0"/>
    <n v="51"/>
    <n v="79"/>
    <n v="0"/>
    <n v="0"/>
    <n v="311.10000000000002"/>
    <n v="481.9"/>
    <n v="0"/>
  </r>
  <r>
    <x v="1"/>
    <x v="2"/>
    <s v="Unclipped"/>
    <s v="No Petersen Tag"/>
    <x v="5"/>
    <n v="5323"/>
    <n v="0"/>
    <n v="48"/>
    <n v="98"/>
    <n v="1"/>
    <n v="0"/>
    <n v="1738.1224489795918"/>
    <n v="3548.6666666666665"/>
    <n v="36.210884353741498"/>
  </r>
  <r>
    <x v="2"/>
    <x v="2"/>
    <s v="Clipped"/>
    <s v="No Petersen Tag"/>
    <x v="5"/>
    <n v="0"/>
    <m/>
    <m/>
    <m/>
    <m/>
    <n v="0"/>
    <n v="0"/>
    <n v="0"/>
    <n v="0"/>
  </r>
  <r>
    <x v="2"/>
    <x v="2"/>
    <s v="Unclipped"/>
    <s v="No Petersen Tag"/>
    <x v="5"/>
    <n v="49"/>
    <m/>
    <m/>
    <m/>
    <m/>
    <n v="0"/>
    <n v="15.999999999999998"/>
    <n v="32.666666666666664"/>
    <n v="0.33333333333333331"/>
  </r>
  <r>
    <x v="1"/>
    <x v="2"/>
    <s v="both"/>
    <s v="both"/>
    <x v="5"/>
    <n v="6116"/>
    <m/>
    <m/>
    <m/>
    <m/>
    <n v="0"/>
    <n v="2049.2224489795917"/>
    <n v="4030.5666666666666"/>
    <n v="36.210884353741498"/>
  </r>
  <r>
    <x v="3"/>
    <x v="2"/>
    <s v="both"/>
    <s v="both"/>
    <x v="5"/>
    <n v="6165"/>
    <m/>
    <m/>
    <m/>
    <m/>
    <n v="0"/>
    <n v="2065.2224489795917"/>
    <n v="4063.2333333333331"/>
    <n v="36.544217687074834"/>
  </r>
  <r>
    <x v="0"/>
    <x v="0"/>
    <m/>
    <m/>
    <x v="0"/>
    <m/>
    <m/>
    <m/>
    <m/>
    <m/>
    <m/>
    <m/>
    <m/>
    <m/>
  </r>
  <r>
    <x v="1"/>
    <x v="3"/>
    <s v="Clipped"/>
    <s v="NA"/>
    <x v="5"/>
    <n v="0"/>
    <m/>
    <m/>
    <m/>
    <m/>
    <m/>
    <m/>
    <m/>
    <m/>
  </r>
  <r>
    <x v="1"/>
    <x v="3"/>
    <s v="Unclipped"/>
    <s v="Petersen Tagged"/>
    <x v="5"/>
    <n v="2"/>
    <m/>
    <m/>
    <m/>
    <m/>
    <n v="2"/>
    <n v="0"/>
    <n v="0"/>
    <n v="0"/>
  </r>
  <r>
    <x v="1"/>
    <x v="3"/>
    <s v="Unclipped"/>
    <s v="No Petersen Tag"/>
    <x v="5"/>
    <n v="18"/>
    <n v="1"/>
    <n v="0"/>
    <n v="0"/>
    <n v="0"/>
    <n v="18"/>
    <n v="0"/>
    <n v="0"/>
    <n v="0"/>
  </r>
  <r>
    <x v="2"/>
    <x v="3"/>
    <s v="Clipped"/>
    <s v="No Petersen Tag"/>
    <x v="5"/>
    <m/>
    <m/>
    <m/>
    <m/>
    <m/>
    <n v="0"/>
    <n v="0"/>
    <n v="0"/>
    <n v="0"/>
  </r>
  <r>
    <x v="2"/>
    <x v="3"/>
    <s v="Unclipped"/>
    <s v="No Petersen Tag"/>
    <x v="5"/>
    <m/>
    <m/>
    <m/>
    <m/>
    <m/>
    <n v="0"/>
    <n v="0"/>
    <n v="0"/>
    <n v="0"/>
  </r>
  <r>
    <x v="1"/>
    <x v="3"/>
    <s v="both"/>
    <s v="both"/>
    <x v="5"/>
    <n v="20"/>
    <m/>
    <m/>
    <m/>
    <m/>
    <n v="20"/>
    <n v="0"/>
    <n v="0"/>
    <n v="0"/>
  </r>
  <r>
    <x v="3"/>
    <x v="3"/>
    <s v="both"/>
    <s v="both"/>
    <x v="5"/>
    <n v="20"/>
    <m/>
    <m/>
    <m/>
    <m/>
    <n v="20"/>
    <n v="0"/>
    <n v="0"/>
    <n v="0"/>
  </r>
  <r>
    <x v="0"/>
    <x v="0"/>
    <m/>
    <m/>
    <x v="0"/>
    <m/>
    <m/>
    <m/>
    <m/>
    <m/>
    <m/>
    <m/>
    <m/>
    <m/>
  </r>
  <r>
    <x v="4"/>
    <x v="0"/>
    <m/>
    <m/>
    <x v="0"/>
    <m/>
    <m/>
    <m/>
    <m/>
    <m/>
    <m/>
    <m/>
    <m/>
    <m/>
  </r>
  <r>
    <x v="1"/>
    <x v="1"/>
    <s v="Clipped"/>
    <s v="NA"/>
    <x v="6"/>
    <n v="0"/>
    <m/>
    <m/>
    <m/>
    <m/>
    <m/>
    <m/>
    <m/>
    <m/>
  </r>
  <r>
    <x v="1"/>
    <x v="1"/>
    <s v="Unclipped"/>
    <s v="Petersen Tagged"/>
    <x v="6"/>
    <n v="583"/>
    <n v="1"/>
    <n v="42"/>
    <n v="50"/>
    <n v="2"/>
    <n v="6.1368421052631579"/>
    <n v="257.74736842105261"/>
    <n v="306.84210526315786"/>
    <n v="12.273684210526316"/>
  </r>
  <r>
    <x v="1"/>
    <x v="1"/>
    <s v="Unclipped"/>
    <s v="No Petersen Tag"/>
    <x v="6"/>
    <n v="4276"/>
    <n v="0"/>
    <n v="34"/>
    <n v="63"/>
    <n v="1"/>
    <n v="0"/>
    <n v="1483.5102040816325"/>
    <n v="2748.8571428571431"/>
    <n v="43.632653061224488"/>
  </r>
  <r>
    <x v="2"/>
    <x v="1"/>
    <s v="Clipped"/>
    <s v="No Petersen Tag"/>
    <x v="6"/>
    <n v="0"/>
    <m/>
    <m/>
    <m/>
    <m/>
    <n v="0"/>
    <n v="0"/>
    <n v="0"/>
    <n v="0"/>
  </r>
  <r>
    <x v="2"/>
    <x v="1"/>
    <s v="Unclipped"/>
    <s v="No Petersen Tag"/>
    <x v="6"/>
    <n v="32"/>
    <m/>
    <m/>
    <m/>
    <m/>
    <n v="0"/>
    <n v="11.102040816326531"/>
    <n v="20.571428571428573"/>
    <n v="0.32653061224489793"/>
  </r>
  <r>
    <x v="1"/>
    <x v="1"/>
    <s v="both"/>
    <s v="both"/>
    <x v="6"/>
    <n v="4859"/>
    <m/>
    <m/>
    <m/>
    <m/>
    <n v="6.1368421052631579"/>
    <n v="1741.2575725026852"/>
    <n v="3055.699248120301"/>
    <n v="55.9063372717508"/>
  </r>
  <r>
    <x v="3"/>
    <x v="1"/>
    <s v="both"/>
    <s v="both"/>
    <x v="6"/>
    <n v="4891"/>
    <m/>
    <m/>
    <m/>
    <m/>
    <n v="6.1368421052631579"/>
    <n v="1752.3596133190117"/>
    <n v="3076.2706766917295"/>
    <n v="56.232867883995695"/>
  </r>
  <r>
    <x v="0"/>
    <x v="0"/>
    <m/>
    <m/>
    <x v="0"/>
    <m/>
    <m/>
    <m/>
    <m/>
    <m/>
    <m/>
    <m/>
    <m/>
    <m/>
  </r>
  <r>
    <x v="1"/>
    <x v="2"/>
    <s v="Clipped"/>
    <s v="NA"/>
    <x v="6"/>
    <n v="0"/>
    <m/>
    <m/>
    <m/>
    <m/>
    <m/>
    <m/>
    <m/>
    <m/>
  </r>
  <r>
    <x v="1"/>
    <x v="2"/>
    <s v="Unclipped"/>
    <s v="Petersen Tagged"/>
    <x v="6"/>
    <n v="817"/>
    <n v="0"/>
    <n v="64"/>
    <n v="152"/>
    <n v="1"/>
    <n v="0"/>
    <n v="240.95852534562212"/>
    <n v="572.27649769585253"/>
    <n v="3.7649769585253456"/>
  </r>
  <r>
    <x v="1"/>
    <x v="2"/>
    <s v="Unclipped"/>
    <s v="No Petersen Tag"/>
    <x v="6"/>
    <n v="5245"/>
    <n v="0"/>
    <n v="36"/>
    <n v="103"/>
    <n v="1"/>
    <n v="0"/>
    <n v="1348.7142857142856"/>
    <n v="3858.8214285714289"/>
    <n v="37.464285714285715"/>
  </r>
  <r>
    <x v="2"/>
    <x v="2"/>
    <s v="Clipped"/>
    <s v="No Petersen Tag"/>
    <x v="6"/>
    <n v="0"/>
    <m/>
    <m/>
    <m/>
    <m/>
    <n v="0"/>
    <n v="0"/>
    <n v="0"/>
    <n v="0"/>
  </r>
  <r>
    <x v="2"/>
    <x v="2"/>
    <s v="Unclipped"/>
    <s v="No Petersen Tag"/>
    <x v="6"/>
    <n v="32"/>
    <m/>
    <m/>
    <m/>
    <m/>
    <n v="0"/>
    <n v="8.2285714285714278"/>
    <n v="23.542857142857144"/>
    <n v="0.22857142857142856"/>
  </r>
  <r>
    <x v="1"/>
    <x v="2"/>
    <s v="both"/>
    <s v="both"/>
    <x v="6"/>
    <n v="6062"/>
    <m/>
    <m/>
    <m/>
    <m/>
    <n v="0"/>
    <n v="1589.6728110599076"/>
    <n v="4431.0979262672818"/>
    <n v="41.22926267281106"/>
  </r>
  <r>
    <x v="3"/>
    <x v="2"/>
    <s v="both"/>
    <s v="both"/>
    <x v="6"/>
    <n v="6094"/>
    <m/>
    <m/>
    <m/>
    <m/>
    <n v="0"/>
    <n v="1597.9013824884792"/>
    <n v="4454.6407834101392"/>
    <n v="41.457834101382488"/>
  </r>
  <r>
    <x v="0"/>
    <x v="0"/>
    <m/>
    <m/>
    <x v="0"/>
    <m/>
    <m/>
    <m/>
    <m/>
    <m/>
    <m/>
    <m/>
    <m/>
    <m/>
  </r>
  <r>
    <x v="1"/>
    <x v="3"/>
    <s v="Clipped"/>
    <s v="NA"/>
    <x v="6"/>
    <n v="0"/>
    <m/>
    <m/>
    <m/>
    <m/>
    <m/>
    <m/>
    <m/>
    <m/>
  </r>
  <r>
    <x v="1"/>
    <x v="3"/>
    <s v="Unclipped"/>
    <s v="Petersen Tagged"/>
    <x v="6"/>
    <n v="2"/>
    <m/>
    <m/>
    <m/>
    <m/>
    <n v="2"/>
    <n v="0"/>
    <n v="0"/>
    <n v="0"/>
  </r>
  <r>
    <x v="1"/>
    <x v="3"/>
    <s v="Unclipped"/>
    <s v="No Petersen Tag"/>
    <x v="6"/>
    <n v="11"/>
    <n v="1"/>
    <n v="0"/>
    <n v="0"/>
    <n v="0"/>
    <n v="11"/>
    <n v="0"/>
    <n v="0"/>
    <n v="0"/>
  </r>
  <r>
    <x v="2"/>
    <x v="3"/>
    <s v="Clipped"/>
    <s v="No Petersen Tag"/>
    <x v="6"/>
    <m/>
    <m/>
    <m/>
    <m/>
    <m/>
    <n v="0"/>
    <n v="0"/>
    <n v="0"/>
    <n v="0"/>
  </r>
  <r>
    <x v="2"/>
    <x v="3"/>
    <s v="Unclipped"/>
    <s v="No Petersen Tag"/>
    <x v="6"/>
    <m/>
    <m/>
    <m/>
    <m/>
    <m/>
    <n v="0"/>
    <n v="0"/>
    <n v="0"/>
    <n v="0"/>
  </r>
  <r>
    <x v="1"/>
    <x v="3"/>
    <s v="both"/>
    <s v="both"/>
    <x v="6"/>
    <n v="13"/>
    <m/>
    <m/>
    <m/>
    <m/>
    <n v="13"/>
    <n v="0"/>
    <n v="0"/>
    <n v="0"/>
  </r>
  <r>
    <x v="3"/>
    <x v="3"/>
    <s v="both"/>
    <s v="both"/>
    <x v="6"/>
    <n v="13"/>
    <m/>
    <m/>
    <m/>
    <m/>
    <n v="13"/>
    <n v="0"/>
    <n v="0"/>
    <n v="0"/>
  </r>
  <r>
    <x v="0"/>
    <x v="0"/>
    <m/>
    <m/>
    <x v="0"/>
    <m/>
    <m/>
    <m/>
    <m/>
    <m/>
    <m/>
    <m/>
    <m/>
    <m/>
  </r>
  <r>
    <x v="5"/>
    <x v="0"/>
    <m/>
    <m/>
    <x v="0"/>
    <m/>
    <m/>
    <m/>
    <m/>
    <m/>
    <m/>
    <m/>
    <m/>
    <m/>
  </r>
  <r>
    <x v="1"/>
    <x v="1"/>
    <s v="Clipped"/>
    <s v="NA"/>
    <x v="7"/>
    <n v="0"/>
    <m/>
    <m/>
    <m/>
    <m/>
    <m/>
    <m/>
    <m/>
    <m/>
  </r>
  <r>
    <x v="1"/>
    <x v="1"/>
    <s v="Unclipped"/>
    <s v="Petersen Tagged"/>
    <x v="7"/>
    <n v="284"/>
    <n v="0"/>
    <n v="4"/>
    <n v="6"/>
    <n v="2"/>
    <n v="0"/>
    <n v="94.666666666666657"/>
    <n v="142"/>
    <n v="47.333333333333329"/>
  </r>
  <r>
    <x v="1"/>
    <x v="1"/>
    <s v="Unclipped"/>
    <s v="No Petersen Tag"/>
    <x v="7"/>
    <n v="1908"/>
    <n v="0"/>
    <n v="17"/>
    <n v="25"/>
    <n v="3"/>
    <n v="0"/>
    <n v="720.8"/>
    <n v="1060"/>
    <n v="127.2"/>
  </r>
  <r>
    <x v="2"/>
    <x v="1"/>
    <s v="Clipped"/>
    <s v="No Petersen Tag"/>
    <x v="7"/>
    <n v="0"/>
    <m/>
    <m/>
    <m/>
    <m/>
    <n v="0"/>
    <n v="0"/>
    <n v="0"/>
    <n v="0"/>
  </r>
  <r>
    <x v="2"/>
    <x v="1"/>
    <s v="Unclipped"/>
    <s v="No Petersen Tag"/>
    <x v="7"/>
    <n v="25"/>
    <m/>
    <m/>
    <m/>
    <m/>
    <n v="0"/>
    <n v="9.4444444444444446"/>
    <n v="13.888888888888889"/>
    <n v="1.6666666666666667"/>
  </r>
  <r>
    <x v="1"/>
    <x v="1"/>
    <s v="both"/>
    <s v="both"/>
    <x v="7"/>
    <n v="2192"/>
    <m/>
    <m/>
    <m/>
    <m/>
    <n v="0"/>
    <n v="815.46666666666658"/>
    <n v="1202"/>
    <n v="174.53333333333333"/>
  </r>
  <r>
    <x v="3"/>
    <x v="1"/>
    <s v="both"/>
    <s v="both"/>
    <x v="7"/>
    <n v="2217"/>
    <m/>
    <m/>
    <m/>
    <m/>
    <n v="0"/>
    <n v="824.91111111111104"/>
    <n v="1215.8888888888889"/>
    <n v="176.2"/>
  </r>
  <r>
    <x v="0"/>
    <x v="0"/>
    <m/>
    <m/>
    <x v="0"/>
    <m/>
    <m/>
    <m/>
    <m/>
    <m/>
    <m/>
    <m/>
    <m/>
    <m/>
  </r>
  <r>
    <x v="1"/>
    <x v="2"/>
    <s v="Clipped"/>
    <s v="NA"/>
    <x v="7"/>
    <n v="0"/>
    <m/>
    <m/>
    <m/>
    <m/>
    <m/>
    <m/>
    <m/>
    <m/>
  </r>
  <r>
    <x v="1"/>
    <x v="2"/>
    <s v="Unclipped"/>
    <s v="Petersen Tagged"/>
    <x v="7"/>
    <n v="244"/>
    <n v="0"/>
    <n v="11"/>
    <n v="18"/>
    <n v="3"/>
    <n v="0"/>
    <n v="83.875"/>
    <n v="137.25"/>
    <n v="22.875"/>
  </r>
  <r>
    <x v="1"/>
    <x v="2"/>
    <s v="Unclipped"/>
    <s v="No Petersen Tag"/>
    <x v="7"/>
    <n v="1687"/>
    <n v="0"/>
    <n v="25"/>
    <n v="92"/>
    <n v="8"/>
    <n v="0"/>
    <n v="337.40000000000003"/>
    <n v="1241.6320000000001"/>
    <n v="107.968"/>
  </r>
  <r>
    <x v="2"/>
    <x v="2"/>
    <s v="Clipped"/>
    <s v="No Petersen Tag"/>
    <x v="7"/>
    <n v="0"/>
    <m/>
    <m/>
    <m/>
    <m/>
    <n v="0"/>
    <n v="0"/>
    <n v="0"/>
    <n v="0"/>
  </r>
  <r>
    <x v="2"/>
    <x v="2"/>
    <s v="Unclipped"/>
    <s v="No Petersen Tag"/>
    <x v="7"/>
    <n v="26"/>
    <m/>
    <m/>
    <m/>
    <m/>
    <n v="0"/>
    <n v="5.2"/>
    <n v="19.135999999999999"/>
    <n v="1.6640000000000001"/>
  </r>
  <r>
    <x v="1"/>
    <x v="2"/>
    <s v="both"/>
    <s v="both"/>
    <x v="7"/>
    <n v="1931"/>
    <m/>
    <m/>
    <m/>
    <m/>
    <n v="0"/>
    <n v="421.27500000000003"/>
    <n v="1378.8820000000001"/>
    <n v="130.84300000000002"/>
  </r>
  <r>
    <x v="3"/>
    <x v="2"/>
    <s v="both"/>
    <s v="both"/>
    <x v="7"/>
    <n v="1957"/>
    <m/>
    <m/>
    <m/>
    <m/>
    <n v="0"/>
    <n v="426.47500000000002"/>
    <n v="1398.018"/>
    <n v="132.50700000000001"/>
  </r>
  <r>
    <x v="0"/>
    <x v="0"/>
    <m/>
    <m/>
    <x v="0"/>
    <m/>
    <m/>
    <m/>
    <m/>
    <m/>
    <m/>
    <m/>
    <m/>
    <m/>
  </r>
  <r>
    <x v="1"/>
    <x v="3"/>
    <s v="Clipped"/>
    <s v="NA"/>
    <x v="7"/>
    <n v="0"/>
    <m/>
    <m/>
    <m/>
    <m/>
    <m/>
    <m/>
    <m/>
    <m/>
  </r>
  <r>
    <x v="1"/>
    <x v="3"/>
    <s v="Unclipped"/>
    <s v="Petersen Tagged"/>
    <x v="7"/>
    <n v="4"/>
    <m/>
    <m/>
    <m/>
    <m/>
    <n v="4"/>
    <n v="0"/>
    <n v="0"/>
    <n v="0"/>
  </r>
  <r>
    <x v="1"/>
    <x v="3"/>
    <s v="Unclipped"/>
    <s v="No Petersen Tag"/>
    <x v="7"/>
    <n v="105"/>
    <n v="1"/>
    <n v="0"/>
    <n v="0"/>
    <n v="0"/>
    <n v="105"/>
    <n v="0"/>
    <n v="0"/>
    <n v="0"/>
  </r>
  <r>
    <x v="2"/>
    <x v="3"/>
    <s v="Clipped"/>
    <s v="No Petersen Tag"/>
    <x v="7"/>
    <m/>
    <m/>
    <m/>
    <m/>
    <m/>
    <n v="0"/>
    <n v="0"/>
    <n v="0"/>
    <n v="0"/>
  </r>
  <r>
    <x v="2"/>
    <x v="3"/>
    <s v="Unclipped"/>
    <s v="No Petersen Tag"/>
    <x v="7"/>
    <m/>
    <m/>
    <m/>
    <m/>
    <m/>
    <n v="0"/>
    <n v="0"/>
    <n v="0"/>
    <n v="0"/>
  </r>
  <r>
    <x v="1"/>
    <x v="3"/>
    <s v="both"/>
    <s v="both"/>
    <x v="7"/>
    <n v="109"/>
    <m/>
    <m/>
    <m/>
    <m/>
    <n v="109"/>
    <n v="0"/>
    <n v="0"/>
    <n v="0"/>
  </r>
  <r>
    <x v="3"/>
    <x v="3"/>
    <s v="both"/>
    <s v="both"/>
    <x v="7"/>
    <n v="109"/>
    <m/>
    <m/>
    <m/>
    <m/>
    <n v="109"/>
    <n v="0"/>
    <n v="0"/>
    <n v="0"/>
  </r>
  <r>
    <x v="0"/>
    <x v="0"/>
    <m/>
    <m/>
    <x v="0"/>
    <m/>
    <m/>
    <m/>
    <m/>
    <m/>
    <m/>
    <m/>
    <m/>
    <m/>
  </r>
  <r>
    <x v="6"/>
    <x v="0"/>
    <m/>
    <m/>
    <x v="0"/>
    <m/>
    <s v="First Year when Age 3 CWT may be available."/>
    <m/>
    <m/>
    <m/>
    <m/>
    <m/>
    <m/>
    <m/>
  </r>
  <r>
    <x v="1"/>
    <x v="1"/>
    <s v="Clipped"/>
    <s v="NA"/>
    <x v="8"/>
    <n v="2"/>
    <n v="1"/>
    <n v="0"/>
    <n v="0"/>
    <n v="0"/>
    <n v="2"/>
    <n v="0"/>
    <n v="0"/>
    <n v="0"/>
  </r>
  <r>
    <x v="1"/>
    <x v="1"/>
    <s v="Unclipped"/>
    <s v="Petersen Tagged"/>
    <x v="8"/>
    <n v="278"/>
    <n v="0"/>
    <n v="49"/>
    <n v="25"/>
    <n v="1"/>
    <n v="0"/>
    <n v="181.62666666666667"/>
    <n v="92.666666666666657"/>
    <n v="3.706666666666667"/>
  </r>
  <r>
    <x v="1"/>
    <x v="1"/>
    <s v="Unclipped"/>
    <s v="No Petersen Tag"/>
    <x v="8"/>
    <n v="1788"/>
    <n v="0"/>
    <n v="97"/>
    <n v="75"/>
    <n v="11"/>
    <n v="0"/>
    <n v="947.73770491803282"/>
    <n v="732.78688524590166"/>
    <n v="107.47540983606557"/>
  </r>
  <r>
    <x v="2"/>
    <x v="1"/>
    <s v="Clipped"/>
    <s v="No Petersen Tag"/>
    <x v="8"/>
    <n v="1"/>
    <n v="1"/>
    <m/>
    <m/>
    <m/>
    <n v="1"/>
    <n v="0"/>
    <n v="0"/>
    <n v="0"/>
  </r>
  <r>
    <x v="2"/>
    <x v="1"/>
    <s v="Unclipped"/>
    <s v="No Petersen Tag"/>
    <x v="8"/>
    <n v="44"/>
    <m/>
    <m/>
    <m/>
    <m/>
    <n v="0"/>
    <n v="23.3224043715847"/>
    <n v="18.032786885245901"/>
    <n v="2.6448087431693987"/>
  </r>
  <r>
    <x v="1"/>
    <x v="1"/>
    <s v="both"/>
    <s v="both"/>
    <x v="8"/>
    <n v="2068"/>
    <m/>
    <m/>
    <m/>
    <m/>
    <n v="2"/>
    <n v="1129.3643715846995"/>
    <n v="825.45355191256829"/>
    <n v="111.18207650273223"/>
  </r>
  <r>
    <x v="3"/>
    <x v="1"/>
    <s v="both"/>
    <s v="both"/>
    <x v="8"/>
    <n v="2113"/>
    <m/>
    <m/>
    <m/>
    <m/>
    <n v="3"/>
    <n v="1152.6867759562842"/>
    <n v="843.48633879781414"/>
    <n v="113.82688524590162"/>
  </r>
  <r>
    <x v="0"/>
    <x v="0"/>
    <m/>
    <m/>
    <x v="0"/>
    <m/>
    <m/>
    <m/>
    <m/>
    <m/>
    <m/>
    <m/>
    <m/>
    <m/>
  </r>
  <r>
    <x v="1"/>
    <x v="2"/>
    <s v="Clipped"/>
    <s v="NA"/>
    <x v="8"/>
    <n v="5"/>
    <n v="3"/>
    <n v="0"/>
    <n v="0"/>
    <n v="0"/>
    <n v="5"/>
    <n v="0"/>
    <n v="0"/>
    <n v="0"/>
  </r>
  <r>
    <x v="1"/>
    <x v="2"/>
    <s v="Unclipped"/>
    <s v="Petersen Tagged"/>
    <x v="8"/>
    <n v="193"/>
    <n v="0"/>
    <n v="30"/>
    <n v="47"/>
    <n v="5"/>
    <n v="0"/>
    <n v="70.609756097560975"/>
    <n v="110.62195121951218"/>
    <n v="11.768292682926829"/>
  </r>
  <r>
    <x v="1"/>
    <x v="2"/>
    <s v="Unclipped"/>
    <s v="No Petersen Tag"/>
    <x v="8"/>
    <n v="1326"/>
    <n v="0"/>
    <n v="45"/>
    <n v="144"/>
    <n v="11"/>
    <n v="0"/>
    <n v="298.35000000000002"/>
    <n v="954.71999999999991"/>
    <n v="72.930000000000007"/>
  </r>
  <r>
    <x v="2"/>
    <x v="2"/>
    <s v="Clipped"/>
    <s v="No Petersen Tag"/>
    <x v="8"/>
    <n v="0"/>
    <m/>
    <m/>
    <m/>
    <m/>
    <n v="0"/>
    <n v="0"/>
    <n v="0"/>
    <n v="0"/>
  </r>
  <r>
    <x v="2"/>
    <x v="2"/>
    <s v="Unclipped"/>
    <s v="No Petersen Tag"/>
    <x v="8"/>
    <n v="44"/>
    <m/>
    <m/>
    <m/>
    <m/>
    <n v="0"/>
    <n v="9.9"/>
    <n v="31.68"/>
    <n v="2.42"/>
  </r>
  <r>
    <x v="1"/>
    <x v="2"/>
    <s v="both"/>
    <s v="both"/>
    <x v="8"/>
    <n v="1524"/>
    <m/>
    <m/>
    <m/>
    <m/>
    <n v="5"/>
    <n v="368.95975609756101"/>
    <n v="1065.3419512195121"/>
    <n v="84.698292682926834"/>
  </r>
  <r>
    <x v="3"/>
    <x v="2"/>
    <s v="both"/>
    <s v="both"/>
    <x v="8"/>
    <n v="1568"/>
    <m/>
    <m/>
    <m/>
    <m/>
    <n v="5"/>
    <n v="378.85975609756099"/>
    <n v="1097.0219512195122"/>
    <n v="87.118292682926835"/>
  </r>
  <r>
    <x v="0"/>
    <x v="0"/>
    <m/>
    <m/>
    <x v="0"/>
    <m/>
    <m/>
    <m/>
    <m/>
    <m/>
    <m/>
    <m/>
    <m/>
    <m/>
  </r>
  <r>
    <x v="1"/>
    <x v="3"/>
    <s v="Clipped"/>
    <s v="NA"/>
    <x v="8"/>
    <n v="0"/>
    <m/>
    <m/>
    <m/>
    <m/>
    <m/>
    <m/>
    <m/>
    <m/>
  </r>
  <r>
    <x v="1"/>
    <x v="3"/>
    <s v="Unclipped"/>
    <s v="Petersen Tagged"/>
    <x v="8"/>
    <n v="0"/>
    <m/>
    <m/>
    <m/>
    <m/>
    <m/>
    <m/>
    <m/>
    <m/>
  </r>
  <r>
    <x v="1"/>
    <x v="3"/>
    <s v="Unclipped"/>
    <s v="No Petersen Tag"/>
    <x v="8"/>
    <n v="17"/>
    <n v="1"/>
    <n v="1"/>
    <n v="0"/>
    <n v="0"/>
    <n v="8.5"/>
    <n v="8.5"/>
    <n v="0"/>
    <n v="0"/>
  </r>
  <r>
    <x v="2"/>
    <x v="3"/>
    <s v="Clipped"/>
    <s v="No Petersen Tag"/>
    <x v="8"/>
    <m/>
    <m/>
    <m/>
    <m/>
    <m/>
    <n v="0"/>
    <n v="0"/>
    <n v="0"/>
    <n v="0"/>
  </r>
  <r>
    <x v="2"/>
    <x v="3"/>
    <s v="Unclipped"/>
    <s v="No Petersen Tag"/>
    <x v="8"/>
    <m/>
    <m/>
    <m/>
    <m/>
    <m/>
    <n v="0"/>
    <n v="0"/>
    <n v="0"/>
    <n v="0"/>
  </r>
  <r>
    <x v="1"/>
    <x v="3"/>
    <s v="both"/>
    <s v="both"/>
    <x v="8"/>
    <n v="17"/>
    <m/>
    <m/>
    <m/>
    <m/>
    <n v="8.5"/>
    <n v="8.5"/>
    <n v="0"/>
    <n v="0"/>
  </r>
  <r>
    <x v="3"/>
    <x v="3"/>
    <s v="both"/>
    <s v="both"/>
    <x v="8"/>
    <n v="17"/>
    <m/>
    <m/>
    <m/>
    <m/>
    <n v="8.5"/>
    <n v="8.5"/>
    <n v="0"/>
    <n v="0"/>
  </r>
  <r>
    <x v="0"/>
    <x v="0"/>
    <m/>
    <m/>
    <x v="0"/>
    <m/>
    <m/>
    <m/>
    <m/>
    <m/>
    <m/>
    <m/>
    <m/>
    <m/>
  </r>
  <r>
    <x v="7"/>
    <x v="0"/>
    <m/>
    <m/>
    <x v="0"/>
    <m/>
    <s v="See notes regarding 2018 scale ages. First Year Age 4 CWT."/>
    <m/>
    <m/>
    <m/>
    <m/>
    <m/>
    <m/>
    <m/>
  </r>
  <r>
    <x v="1"/>
    <x v="1"/>
    <s v="Clipped"/>
    <s v="NA"/>
    <x v="9"/>
    <n v="27"/>
    <n v="0"/>
    <n v="6"/>
    <n v="0"/>
    <n v="0"/>
    <n v="0"/>
    <n v="27"/>
    <n v="0"/>
    <n v="0"/>
  </r>
  <r>
    <x v="1"/>
    <x v="1"/>
    <s v="Unclipped"/>
    <s v="Petersen Tagged"/>
    <x v="9"/>
    <n v="176"/>
    <n v="0"/>
    <n v="37"/>
    <n v="8"/>
    <n v="1"/>
    <n v="0"/>
    <n v="141.56521739130434"/>
    <n v="30.608695652173914"/>
    <n v="3.8260869565217392"/>
  </r>
  <r>
    <x v="1"/>
    <x v="1"/>
    <s v="Unclipped"/>
    <s v="No Petersen Tag"/>
    <x v="9"/>
    <n v="801"/>
    <n v="0"/>
    <n v="98"/>
    <n v="69"/>
    <n v="1"/>
    <n v="0"/>
    <n v="467.25000000000006"/>
    <n v="328.98214285714283"/>
    <n v="4.7678571428571423"/>
  </r>
  <r>
    <x v="2"/>
    <x v="1"/>
    <s v="Clipped"/>
    <s v="No Petersen Tag"/>
    <x v="9"/>
    <n v="7"/>
    <m/>
    <n v="7"/>
    <m/>
    <m/>
    <n v="0"/>
    <n v="7"/>
    <n v="0"/>
    <n v="0"/>
  </r>
  <r>
    <x v="2"/>
    <x v="1"/>
    <s v="Unclipped"/>
    <s v="No Petersen Tag"/>
    <x v="9"/>
    <n v="29"/>
    <m/>
    <m/>
    <m/>
    <m/>
    <n v="0"/>
    <n v="16.916666666666668"/>
    <n v="11.910714285714285"/>
    <n v="0.17261904761904762"/>
  </r>
  <r>
    <x v="1"/>
    <x v="1"/>
    <s v="both"/>
    <s v="both"/>
    <x v="9"/>
    <n v="1004"/>
    <m/>
    <m/>
    <m/>
    <m/>
    <n v="0"/>
    <n v="635.81521739130437"/>
    <n v="359.59083850931677"/>
    <n v="8.5939440993788807"/>
  </r>
  <r>
    <x v="3"/>
    <x v="1"/>
    <s v="both"/>
    <s v="both"/>
    <x v="9"/>
    <n v="1040"/>
    <m/>
    <m/>
    <m/>
    <m/>
    <n v="0"/>
    <n v="659.731884057971"/>
    <n v="371.50155279503105"/>
    <n v="8.7665631469979282"/>
  </r>
  <r>
    <x v="0"/>
    <x v="0"/>
    <m/>
    <m/>
    <x v="0"/>
    <m/>
    <m/>
    <m/>
    <m/>
    <m/>
    <m/>
    <m/>
    <m/>
    <m/>
  </r>
  <r>
    <x v="1"/>
    <x v="2"/>
    <s v="Clipped"/>
    <s v="NA"/>
    <x v="9"/>
    <n v="36"/>
    <n v="0"/>
    <n v="13"/>
    <n v="0"/>
    <n v="0"/>
    <n v="0"/>
    <n v="36"/>
    <n v="0"/>
    <n v="0"/>
  </r>
  <r>
    <x v="1"/>
    <x v="2"/>
    <s v="Unclipped"/>
    <s v="Petersen Tagged"/>
    <x v="9"/>
    <n v="244"/>
    <n v="0"/>
    <n v="43"/>
    <n v="59"/>
    <n v="4"/>
    <n v="0"/>
    <n v="98.981132075471706"/>
    <n v="135.81132075471697"/>
    <n v="9.2075471698113205"/>
  </r>
  <r>
    <x v="1"/>
    <x v="2"/>
    <s v="Unclipped"/>
    <s v="No Petersen Tag"/>
    <x v="9"/>
    <n v="924"/>
    <m/>
    <n v="78"/>
    <n v="110"/>
    <n v="5"/>
    <n v="0"/>
    <n v="373.43005181347149"/>
    <n v="526.63212435233163"/>
    <n v="23.937823834196891"/>
  </r>
  <r>
    <x v="2"/>
    <x v="2"/>
    <s v="Clipped"/>
    <s v="No Petersen Tag"/>
    <x v="9"/>
    <n v="8"/>
    <m/>
    <n v="8"/>
    <m/>
    <m/>
    <n v="0"/>
    <n v="8"/>
    <n v="0"/>
    <n v="0"/>
  </r>
  <r>
    <x v="2"/>
    <x v="2"/>
    <s v="Unclipped"/>
    <s v="No Petersen Tag"/>
    <x v="9"/>
    <n v="28"/>
    <m/>
    <m/>
    <m/>
    <m/>
    <n v="0"/>
    <n v="11.316062176165802"/>
    <n v="15.958549222797927"/>
    <n v="0.72538860103626934"/>
  </r>
  <r>
    <x v="1"/>
    <x v="2"/>
    <s v="both"/>
    <s v="both"/>
    <x v="9"/>
    <n v="1204"/>
    <m/>
    <m/>
    <m/>
    <m/>
    <n v="0"/>
    <n v="508.41118388894319"/>
    <n v="662.44344510704855"/>
    <n v="33.145371004008211"/>
  </r>
  <r>
    <x v="3"/>
    <x v="2"/>
    <s v="both"/>
    <s v="both"/>
    <x v="9"/>
    <n v="1240"/>
    <m/>
    <m/>
    <m/>
    <m/>
    <n v="0"/>
    <n v="527.72724606510906"/>
    <n v="678.4019943298465"/>
    <n v="33.870759605044483"/>
  </r>
  <r>
    <x v="0"/>
    <x v="0"/>
    <m/>
    <m/>
    <x v="0"/>
    <m/>
    <m/>
    <m/>
    <m/>
    <m/>
    <m/>
    <m/>
    <m/>
    <m/>
  </r>
  <r>
    <x v="1"/>
    <x v="3"/>
    <s v="Clipped"/>
    <s v="NA"/>
    <x v="9"/>
    <n v="0"/>
    <n v="0"/>
    <n v="0"/>
    <n v="0"/>
    <n v="0"/>
    <m/>
    <m/>
    <m/>
    <m/>
  </r>
  <r>
    <x v="1"/>
    <x v="3"/>
    <s v="Unclipped"/>
    <s v="Petersen Tagged"/>
    <x v="9"/>
    <n v="5"/>
    <m/>
    <m/>
    <m/>
    <m/>
    <n v="0"/>
    <n v="5"/>
    <n v="0"/>
    <n v="0"/>
  </r>
  <r>
    <x v="1"/>
    <x v="3"/>
    <s v="Unclipped"/>
    <s v="No Petersen Tag"/>
    <x v="9"/>
    <n v="11"/>
    <n v="0"/>
    <n v="1"/>
    <n v="0"/>
    <n v="0"/>
    <n v="0"/>
    <n v="11"/>
    <n v="0"/>
    <n v="0"/>
  </r>
  <r>
    <x v="2"/>
    <x v="3"/>
    <s v="Clipped"/>
    <s v="No Petersen Tag"/>
    <x v="9"/>
    <m/>
    <m/>
    <m/>
    <m/>
    <m/>
    <n v="0"/>
    <n v="0"/>
    <n v="0"/>
    <n v="0"/>
  </r>
  <r>
    <x v="2"/>
    <x v="3"/>
    <s v="Unclipped"/>
    <s v="No Petersen Tag"/>
    <x v="9"/>
    <m/>
    <m/>
    <m/>
    <m/>
    <m/>
    <n v="0"/>
    <n v="0"/>
    <n v="0"/>
    <n v="0"/>
  </r>
  <r>
    <x v="1"/>
    <x v="3"/>
    <s v="both"/>
    <s v="both"/>
    <x v="9"/>
    <n v="16"/>
    <m/>
    <m/>
    <m/>
    <m/>
    <n v="0"/>
    <n v="16"/>
    <n v="0"/>
    <n v="0"/>
  </r>
  <r>
    <x v="3"/>
    <x v="3"/>
    <s v="both"/>
    <s v="both"/>
    <x v="9"/>
    <n v="16"/>
    <m/>
    <m/>
    <m/>
    <m/>
    <n v="0"/>
    <n v="16"/>
    <n v="0"/>
    <n v="0"/>
  </r>
  <r>
    <x v="0"/>
    <x v="0"/>
    <m/>
    <m/>
    <x v="0"/>
    <m/>
    <m/>
    <m/>
    <m/>
    <m/>
    <m/>
    <m/>
    <m/>
    <m/>
  </r>
  <r>
    <x v="8"/>
    <x v="0"/>
    <m/>
    <m/>
    <x v="0"/>
    <m/>
    <s v="First Year when Age 5 CWT may be available."/>
    <m/>
    <m/>
    <m/>
    <m/>
    <m/>
    <m/>
    <m/>
  </r>
  <r>
    <x v="1"/>
    <x v="4"/>
    <s v="Clipped"/>
    <s v="NA"/>
    <x v="10"/>
    <n v="93"/>
    <n v="0"/>
    <n v="7"/>
    <n v="3"/>
    <n v="0"/>
    <n v="0"/>
    <n v="65.099999999999994"/>
    <n v="27.9"/>
    <n v="0"/>
  </r>
  <r>
    <x v="1"/>
    <x v="4"/>
    <s v="Unclipped"/>
    <s v="Petersen Tagged"/>
    <x v="10"/>
    <n v="0"/>
    <m/>
    <m/>
    <m/>
    <m/>
    <n v="0"/>
    <n v="0"/>
    <n v="0"/>
    <n v="0"/>
  </r>
  <r>
    <x v="1"/>
    <x v="4"/>
    <s v="Unclipped"/>
    <s v="No Petersen Tag"/>
    <x v="10"/>
    <n v="2393"/>
    <n v="0"/>
    <n v="66"/>
    <n v="53"/>
    <n v="4"/>
    <n v="0"/>
    <n v="1284.0487804878051"/>
    <n v="1031.1300813008131"/>
    <n v="77.82113821138212"/>
  </r>
  <r>
    <x v="2"/>
    <x v="4"/>
    <s v="Clipped"/>
    <s v="No Petersen Tag"/>
    <x v="10"/>
    <m/>
    <m/>
    <m/>
    <m/>
    <m/>
    <n v="0"/>
    <n v="0"/>
    <n v="0"/>
    <n v="0"/>
  </r>
  <r>
    <x v="2"/>
    <x v="4"/>
    <s v="Unclipped"/>
    <s v="No Petersen Tag"/>
    <x v="10"/>
    <m/>
    <m/>
    <m/>
    <m/>
    <m/>
    <n v="0"/>
    <n v="0"/>
    <n v="0"/>
    <n v="0"/>
  </r>
  <r>
    <x v="1"/>
    <x v="4"/>
    <s v="both"/>
    <s v="both"/>
    <x v="10"/>
    <n v="2486"/>
    <m/>
    <m/>
    <m/>
    <m/>
    <n v="0"/>
    <n v="1349.148780487805"/>
    <n v="1059.0300813008132"/>
    <n v="77.82113821138212"/>
  </r>
  <r>
    <x v="3"/>
    <x v="4"/>
    <s v="both"/>
    <s v="both"/>
    <x v="10"/>
    <n v="2486"/>
    <m/>
    <m/>
    <m/>
    <m/>
    <n v="0"/>
    <n v="1349.148780487805"/>
    <n v="1059.0300813008132"/>
    <n v="77.82113821138212"/>
  </r>
  <r>
    <x v="0"/>
    <x v="0"/>
    <m/>
    <m/>
    <x v="0"/>
    <m/>
    <m/>
    <m/>
    <m/>
    <m/>
    <m/>
    <m/>
    <m/>
    <m/>
  </r>
  <r>
    <x v="9"/>
    <x v="5"/>
    <m/>
    <m/>
    <x v="0"/>
    <m/>
    <s v="First Year when Age 6 CWT may be available."/>
    <m/>
    <m/>
    <m/>
    <m/>
    <m/>
    <m/>
    <m/>
  </r>
  <r>
    <x v="1"/>
    <x v="1"/>
    <s v="Clipped"/>
    <s v="NA"/>
    <x v="11"/>
    <n v="94"/>
    <n v="0"/>
    <n v="12"/>
    <n v="10"/>
    <n v="0"/>
    <n v="0"/>
    <n v="51.272727272727266"/>
    <n v="42.727272727272727"/>
    <n v="0"/>
  </r>
  <r>
    <x v="1"/>
    <x v="1"/>
    <s v="Unclipped"/>
    <s v="Petersen Tagged"/>
    <x v="11"/>
    <n v="344"/>
    <n v="0"/>
    <n v="16"/>
    <n v="22"/>
    <n v="0"/>
    <n v="0"/>
    <n v="144.84210526315789"/>
    <n v="199.15789473684211"/>
    <n v="0"/>
  </r>
  <r>
    <x v="1"/>
    <x v="1"/>
    <s v="Unclipped"/>
    <s v="No Petersen Tag"/>
    <x v="11"/>
    <n v="2950"/>
    <n v="0"/>
    <n v="60"/>
    <n v="86"/>
    <n v="0"/>
    <n v="0"/>
    <n v="1212.3287671232877"/>
    <n v="1737.6712328767123"/>
    <n v="0"/>
  </r>
  <r>
    <x v="2"/>
    <x v="1"/>
    <s v="Clipped"/>
    <s v="No Petersen Tag"/>
    <x v="11"/>
    <n v="0"/>
    <m/>
    <m/>
    <m/>
    <m/>
    <n v="0"/>
    <n v="0"/>
    <n v="0"/>
    <n v="0"/>
  </r>
  <r>
    <x v="2"/>
    <x v="1"/>
    <s v="Unclipped"/>
    <s v="No Petersen Tag"/>
    <x v="11"/>
    <n v="46"/>
    <m/>
    <m/>
    <m/>
    <m/>
    <n v="0"/>
    <n v="18.904109589041095"/>
    <n v="27.095890410958905"/>
    <n v="0"/>
  </r>
  <r>
    <x v="1"/>
    <x v="1"/>
    <s v="both"/>
    <s v="both"/>
    <x v="11"/>
    <n v="3388"/>
    <m/>
    <m/>
    <m/>
    <m/>
    <n v="0"/>
    <n v="1408.4435996591728"/>
    <n v="1979.5564003408272"/>
    <n v="0"/>
  </r>
  <r>
    <x v="3"/>
    <x v="1"/>
    <s v="both"/>
    <s v="both"/>
    <x v="11"/>
    <n v="3434"/>
    <m/>
    <m/>
    <m/>
    <m/>
    <n v="0"/>
    <n v="1427.347709248214"/>
    <n v="2006.652290751786"/>
    <n v="0"/>
  </r>
  <r>
    <x v="0"/>
    <x v="0"/>
    <m/>
    <m/>
    <x v="0"/>
    <m/>
    <m/>
    <m/>
    <m/>
    <m/>
    <m/>
    <m/>
    <m/>
    <m/>
  </r>
  <r>
    <x v="1"/>
    <x v="2"/>
    <s v="Clipped"/>
    <s v="NA"/>
    <x v="11"/>
    <n v="96"/>
    <n v="0"/>
    <n v="19"/>
    <n v="15"/>
    <n v="0"/>
    <n v="0"/>
    <n v="53.647058823529413"/>
    <n v="42.352941176470587"/>
    <n v="0"/>
  </r>
  <r>
    <x v="1"/>
    <x v="2"/>
    <s v="Unclipped"/>
    <s v="Petersen Tagged"/>
    <x v="11"/>
    <n v="415"/>
    <n v="0"/>
    <n v="31"/>
    <n v="58"/>
    <n v="0"/>
    <n v="0"/>
    <n v="144.55056179775281"/>
    <n v="270.44943820224722"/>
    <n v="0"/>
  </r>
  <r>
    <x v="1"/>
    <x v="2"/>
    <s v="Unclipped"/>
    <s v="No Petersen Tag"/>
    <x v="11"/>
    <n v="2325"/>
    <n v="0"/>
    <n v="46"/>
    <n v="175"/>
    <n v="0"/>
    <n v="0"/>
    <n v="483.93665158371044"/>
    <n v="1841.0633484162895"/>
    <n v="0"/>
  </r>
  <r>
    <x v="2"/>
    <x v="2"/>
    <s v="Clipped"/>
    <s v="No Petersen Tag"/>
    <x v="11"/>
    <n v="0"/>
    <m/>
    <m/>
    <m/>
    <m/>
    <n v="0"/>
    <n v="0"/>
    <n v="0"/>
    <n v="0"/>
  </r>
  <r>
    <x v="2"/>
    <x v="2"/>
    <s v="Unclipped"/>
    <s v="No Petersen Tag"/>
    <x v="11"/>
    <n v="42"/>
    <m/>
    <m/>
    <m/>
    <m/>
    <n v="0"/>
    <n v="8.7420814479638018"/>
    <n v="33.257918552036195"/>
    <n v="0"/>
  </r>
  <r>
    <x v="1"/>
    <x v="2"/>
    <s v="both"/>
    <s v="both"/>
    <x v="11"/>
    <n v="2836"/>
    <m/>
    <m/>
    <m/>
    <m/>
    <n v="0"/>
    <n v="682.13427220499261"/>
    <n v="2153.8657277950074"/>
    <n v="0"/>
  </r>
  <r>
    <x v="3"/>
    <x v="2"/>
    <s v="both"/>
    <s v="both"/>
    <x v="11"/>
    <n v="2878"/>
    <m/>
    <m/>
    <m/>
    <m/>
    <n v="0"/>
    <n v="690.87635365295637"/>
    <n v="2187.1236463470436"/>
    <n v="0"/>
  </r>
  <r>
    <x v="0"/>
    <x v="0"/>
    <m/>
    <m/>
    <x v="0"/>
    <m/>
    <m/>
    <m/>
    <m/>
    <m/>
    <m/>
    <m/>
    <m/>
    <m/>
  </r>
  <r>
    <x v="1"/>
    <x v="3"/>
    <s v="Clipped"/>
    <s v="NA"/>
    <x v="11"/>
    <n v="7"/>
    <n v="1"/>
    <n v="0"/>
    <n v="0"/>
    <n v="0"/>
    <n v="7"/>
    <n v="0"/>
    <n v="0"/>
    <n v="0"/>
  </r>
  <r>
    <x v="1"/>
    <x v="3"/>
    <s v="Unclipped"/>
    <s v="Petersen Tagged"/>
    <x v="11"/>
    <n v="10"/>
    <n v="1"/>
    <n v="0"/>
    <n v="0"/>
    <n v="0"/>
    <n v="10"/>
    <n v="0"/>
    <n v="0"/>
    <n v="0"/>
  </r>
  <r>
    <x v="1"/>
    <x v="3"/>
    <s v="Unclipped"/>
    <s v="No Petersen Tag"/>
    <x v="11"/>
    <n v="125"/>
    <n v="5"/>
    <n v="0"/>
    <n v="0"/>
    <n v="0"/>
    <n v="125"/>
    <n v="0"/>
    <n v="0"/>
    <n v="0"/>
  </r>
  <r>
    <x v="2"/>
    <x v="3"/>
    <s v="Clipped"/>
    <s v="No Petersen Tag"/>
    <x v="11"/>
    <n v="0"/>
    <m/>
    <m/>
    <m/>
    <m/>
    <n v="0"/>
    <n v="0"/>
    <n v="0"/>
    <n v="0"/>
  </r>
  <r>
    <x v="2"/>
    <x v="3"/>
    <s v="Unclipped"/>
    <s v="No Petersen Tag"/>
    <x v="11"/>
    <n v="1"/>
    <m/>
    <m/>
    <m/>
    <m/>
    <n v="1"/>
    <n v="0"/>
    <n v="0"/>
    <n v="0"/>
  </r>
  <r>
    <x v="1"/>
    <x v="3"/>
    <s v="both"/>
    <s v="both"/>
    <x v="11"/>
    <n v="142"/>
    <m/>
    <m/>
    <m/>
    <m/>
    <n v="142"/>
    <n v="0"/>
    <n v="0"/>
    <n v="0"/>
  </r>
  <r>
    <x v="3"/>
    <x v="3"/>
    <s v="both"/>
    <s v="both"/>
    <x v="11"/>
    <n v="143"/>
    <m/>
    <m/>
    <m/>
    <m/>
    <n v="143"/>
    <n v="0"/>
    <n v="0"/>
    <n v="0"/>
  </r>
  <r>
    <x v="0"/>
    <x v="0"/>
    <m/>
    <m/>
    <x v="0"/>
    <m/>
    <m/>
    <m/>
    <m/>
    <m/>
    <m/>
    <m/>
    <m/>
    <m/>
  </r>
  <r>
    <x v="10"/>
    <x v="6"/>
    <m/>
    <m/>
    <x v="0"/>
    <m/>
    <m/>
    <m/>
    <m/>
    <m/>
    <m/>
    <m/>
    <m/>
    <m/>
  </r>
  <r>
    <x v="1"/>
    <x v="1"/>
    <s v="Clipped"/>
    <s v="NA"/>
    <x v="12"/>
    <n v="246"/>
    <n v="1"/>
    <n v="65"/>
    <n v="4"/>
    <n v="0"/>
    <n v="3.5142857142857142"/>
    <n v="228.42857142857144"/>
    <n v="14.057142857142857"/>
    <n v="0"/>
  </r>
  <r>
    <x v="1"/>
    <x v="1"/>
    <s v="Unclipped"/>
    <s v="Petersen Tagged"/>
    <x v="12"/>
    <n v="587"/>
    <n v="0"/>
    <n v="69"/>
    <n v="28"/>
    <n v="0"/>
    <n v="0"/>
    <n v="417.55670103092785"/>
    <n v="169.44329896907215"/>
    <n v="0"/>
  </r>
  <r>
    <x v="1"/>
    <x v="1"/>
    <s v="Unclipped"/>
    <s v="No Petersen Tag"/>
    <x v="12"/>
    <n v="2699"/>
    <n v="0"/>
    <n v="106"/>
    <n v="40"/>
    <n v="0"/>
    <n v="0"/>
    <n v="1959.5479452054794"/>
    <n v="739.45205479452056"/>
    <n v="0"/>
  </r>
  <r>
    <x v="2"/>
    <x v="1"/>
    <s v="Clipped"/>
    <s v="No Petersen Tag"/>
    <x v="12"/>
    <n v="0"/>
    <m/>
    <m/>
    <m/>
    <m/>
    <n v="0"/>
    <n v="0"/>
    <n v="0"/>
    <n v="0"/>
  </r>
  <r>
    <x v="2"/>
    <x v="1"/>
    <s v="Unclipped"/>
    <s v="No Petersen Tag"/>
    <x v="12"/>
    <n v="50"/>
    <m/>
    <m/>
    <m/>
    <m/>
    <n v="0"/>
    <n v="36.301369863013697"/>
    <n v="13.698630136986301"/>
    <n v="0"/>
  </r>
  <r>
    <x v="1"/>
    <x v="1"/>
    <s v="both"/>
    <s v="both"/>
    <x v="12"/>
    <n v="3532"/>
    <m/>
    <m/>
    <m/>
    <m/>
    <n v="3.5142857142857142"/>
    <n v="2605.533217664979"/>
    <n v="922.95249662073559"/>
    <n v="0"/>
  </r>
  <r>
    <x v="3"/>
    <x v="1"/>
    <s v="both"/>
    <s v="both"/>
    <x v="12"/>
    <n v="3582"/>
    <m/>
    <m/>
    <m/>
    <m/>
    <n v="3.5142857142857142"/>
    <n v="2641.8345875279929"/>
    <n v="936.65112675772184"/>
    <n v="0"/>
  </r>
  <r>
    <x v="0"/>
    <x v="0"/>
    <m/>
    <m/>
    <x v="0"/>
    <m/>
    <m/>
    <m/>
    <m/>
    <m/>
    <m/>
    <m/>
    <m/>
    <m/>
  </r>
  <r>
    <x v="1"/>
    <x v="2"/>
    <s v="Clipped"/>
    <s v="NA"/>
    <x v="12"/>
    <n v="147"/>
    <n v="0"/>
    <n v="73"/>
    <n v="9"/>
    <n v="0"/>
    <n v="0"/>
    <n v="130.86585365853659"/>
    <n v="16.134146341463413"/>
    <n v="0"/>
  </r>
  <r>
    <x v="1"/>
    <x v="2"/>
    <s v="Unclipped"/>
    <s v="Petersen Tagged"/>
    <x v="12"/>
    <n v="392"/>
    <n v="0"/>
    <n v="62"/>
    <n v="62"/>
    <n v="0"/>
    <n v="0"/>
    <n v="196"/>
    <n v="196"/>
    <n v="0"/>
  </r>
  <r>
    <x v="1"/>
    <x v="2"/>
    <s v="Unclipped"/>
    <s v="No Petersen Tag"/>
    <x v="12"/>
    <n v="1306"/>
    <n v="0"/>
    <n v="79"/>
    <n v="95"/>
    <n v="2"/>
    <n v="0"/>
    <n v="586.21590909090912"/>
    <n v="704.94318181818187"/>
    <n v="14.840909090909092"/>
  </r>
  <r>
    <x v="2"/>
    <x v="2"/>
    <s v="Clipped"/>
    <s v="No Petersen Tag"/>
    <x v="12"/>
    <n v="2"/>
    <m/>
    <n v="2"/>
    <m/>
    <m/>
    <n v="0"/>
    <n v="2"/>
    <n v="0"/>
    <n v="0"/>
  </r>
  <r>
    <x v="2"/>
    <x v="2"/>
    <s v="Unclipped"/>
    <s v="No Petersen Tag"/>
    <x v="12"/>
    <n v="47"/>
    <m/>
    <m/>
    <m/>
    <m/>
    <n v="0"/>
    <n v="21.09659090909091"/>
    <n v="25.369318181818183"/>
    <n v="0.53409090909090906"/>
  </r>
  <r>
    <x v="1"/>
    <x v="2"/>
    <s v="both"/>
    <s v="both"/>
    <x v="12"/>
    <n v="1845"/>
    <m/>
    <m/>
    <m/>
    <m/>
    <n v="0"/>
    <n v="913.08176274944572"/>
    <n v="917.07732815964528"/>
    <n v="14.840909090909092"/>
  </r>
  <r>
    <x v="3"/>
    <x v="2"/>
    <s v="both"/>
    <s v="both"/>
    <x v="12"/>
    <n v="1894"/>
    <m/>
    <m/>
    <m/>
    <m/>
    <n v="0"/>
    <n v="936.17835365853659"/>
    <n v="942.44664634146341"/>
    <n v="15.375"/>
  </r>
  <r>
    <x v="0"/>
    <x v="0"/>
    <m/>
    <m/>
    <x v="0"/>
    <m/>
    <m/>
    <m/>
    <m/>
    <m/>
    <m/>
    <m/>
    <m/>
    <m/>
  </r>
  <r>
    <x v="1"/>
    <x v="3"/>
    <s v="Clipped"/>
    <s v="NA"/>
    <x v="12"/>
    <n v="58"/>
    <n v="12"/>
    <n v="0"/>
    <n v="0"/>
    <n v="0"/>
    <n v="58"/>
    <n v="0"/>
    <n v="0"/>
    <n v="0"/>
  </r>
  <r>
    <x v="1"/>
    <x v="3"/>
    <s v="Unclipped"/>
    <s v="Petersen Tagged"/>
    <x v="12"/>
    <n v="14"/>
    <m/>
    <m/>
    <m/>
    <m/>
    <n v="3.8181818181818179"/>
    <n v="10.181818181818182"/>
    <n v="0"/>
    <n v="0"/>
  </r>
  <r>
    <x v="1"/>
    <x v="3"/>
    <s v="Unclipped"/>
    <s v="No Petersen Tag"/>
    <x v="12"/>
    <n v="126"/>
    <n v="3"/>
    <n v="8"/>
    <n v="0"/>
    <n v="0"/>
    <n v="34.36363636363636"/>
    <n v="91.63636363636364"/>
    <n v="0"/>
    <n v="0"/>
  </r>
  <r>
    <x v="2"/>
    <x v="3"/>
    <s v="Clipped"/>
    <s v="No Petersen Tag"/>
    <x v="12"/>
    <n v="0"/>
    <m/>
    <m/>
    <m/>
    <m/>
    <n v="0"/>
    <n v="0"/>
    <n v="0"/>
    <n v="0"/>
  </r>
  <r>
    <x v="2"/>
    <x v="3"/>
    <s v="Unclipped"/>
    <s v="No Petersen Tag"/>
    <x v="12"/>
    <n v="0"/>
    <m/>
    <m/>
    <m/>
    <m/>
    <n v="0"/>
    <n v="0"/>
    <n v="0"/>
    <n v="0"/>
  </r>
  <r>
    <x v="1"/>
    <x v="3"/>
    <s v="both"/>
    <s v="both"/>
    <x v="12"/>
    <n v="198"/>
    <m/>
    <m/>
    <m/>
    <m/>
    <n v="96.181818181818187"/>
    <n v="101.81818181818183"/>
    <n v="0"/>
    <n v="0"/>
  </r>
  <r>
    <x v="3"/>
    <x v="3"/>
    <s v="both"/>
    <s v="both"/>
    <x v="12"/>
    <n v="198"/>
    <m/>
    <m/>
    <m/>
    <m/>
    <n v="96.181818181818187"/>
    <n v="101.81818181818183"/>
    <n v="0"/>
    <n v="0"/>
  </r>
  <r>
    <x v="0"/>
    <x v="0"/>
    <m/>
    <m/>
    <x v="0"/>
    <m/>
    <m/>
    <m/>
    <m/>
    <m/>
    <m/>
    <m/>
    <m/>
    <m/>
  </r>
  <r>
    <x v="11"/>
    <x v="7"/>
    <m/>
    <m/>
    <x v="0"/>
    <m/>
    <s v="Arbeider Comment: Only included scale ages 32,42,52,and 62. All other scale ages removed."/>
    <m/>
    <m/>
    <m/>
    <m/>
    <m/>
    <m/>
    <m/>
  </r>
  <r>
    <x v="1"/>
    <x v="1"/>
    <s v="Clipped"/>
    <s v="NA"/>
    <x v="13"/>
    <n v="478"/>
    <n v="0"/>
    <n v="77"/>
    <n v="24"/>
    <n v="0"/>
    <n v="0"/>
    <n v="364.41584158415844"/>
    <n v="113.58415841584159"/>
    <n v="0"/>
  </r>
  <r>
    <x v="1"/>
    <x v="1"/>
    <s v="Unclipped"/>
    <s v="Petersen Tagged"/>
    <x v="13"/>
    <n v="662"/>
    <n v="3"/>
    <n v="52"/>
    <n v="36"/>
    <n v="1"/>
    <n v="21.586956521739129"/>
    <n v="374.17391304347825"/>
    <n v="259.04347826086956"/>
    <n v="7.195652173913043"/>
  </r>
  <r>
    <x v="1"/>
    <x v="1"/>
    <s v="Unclipped"/>
    <s v="No Petersen Tag"/>
    <x v="13"/>
    <n v="7516"/>
    <n v="4"/>
    <n v="54"/>
    <n v="98"/>
    <n v="0"/>
    <n v="192.7179487179487"/>
    <n v="2601.6923076923076"/>
    <n v="4721.5897435897432"/>
    <n v="0"/>
  </r>
  <r>
    <x v="2"/>
    <x v="1"/>
    <s v="Clipped"/>
    <s v="No Petersen Tag"/>
    <x v="13"/>
    <n v="0"/>
    <m/>
    <m/>
    <m/>
    <m/>
    <n v="0"/>
    <n v="0"/>
    <n v="0"/>
    <n v="0"/>
  </r>
  <r>
    <x v="2"/>
    <x v="1"/>
    <s v="Unclipped"/>
    <s v="No Petersen Tag"/>
    <x v="13"/>
    <n v="49"/>
    <m/>
    <m/>
    <m/>
    <m/>
    <n v="1.2564102564102564"/>
    <n v="16.96153846153846"/>
    <n v="30.782051282051281"/>
    <n v="0"/>
  </r>
  <r>
    <x v="1"/>
    <x v="1"/>
    <s v="both"/>
    <s v="both"/>
    <x v="13"/>
    <n v="8656"/>
    <m/>
    <m/>
    <m/>
    <m/>
    <n v="214.30490523968783"/>
    <n v="3340.2820623199441"/>
    <n v="5094.2173802664547"/>
    <n v="7.195652173913043"/>
  </r>
  <r>
    <x v="3"/>
    <x v="1"/>
    <s v="both"/>
    <s v="both"/>
    <x v="13"/>
    <n v="8705"/>
    <m/>
    <m/>
    <m/>
    <m/>
    <n v="215.56131549609808"/>
    <n v="3357.2436007814827"/>
    <n v="5124.9994315485064"/>
    <n v="7.195652173913043"/>
  </r>
  <r>
    <x v="0"/>
    <x v="0"/>
    <m/>
    <m/>
    <x v="0"/>
    <m/>
    <m/>
    <m/>
    <m/>
    <m/>
    <m/>
    <m/>
    <m/>
    <m/>
  </r>
  <r>
    <x v="1"/>
    <x v="2"/>
    <s v="Clipped"/>
    <s v="NA"/>
    <x v="13"/>
    <n v="356"/>
    <n v="0"/>
    <n v="77"/>
    <n v="63"/>
    <n v="0"/>
    <n v="0"/>
    <n v="195.8"/>
    <n v="160.20000000000002"/>
    <n v="0"/>
  </r>
  <r>
    <x v="1"/>
    <x v="2"/>
    <s v="Unclipped"/>
    <s v="Petersen Tagged"/>
    <x v="13"/>
    <n v="503"/>
    <n v="0"/>
    <n v="37"/>
    <n v="96"/>
    <n v="2"/>
    <n v="0"/>
    <n v="137.85925925925926"/>
    <n v="357.68888888888893"/>
    <n v="7.4518518518518517"/>
  </r>
  <r>
    <x v="1"/>
    <x v="2"/>
    <s v="Unclipped"/>
    <s v="No Petersen Tag"/>
    <x v="13"/>
    <n v="4081"/>
    <n v="0"/>
    <n v="49"/>
    <n v="136"/>
    <n v="2"/>
    <n v="0"/>
    <n v="1069.3529411764705"/>
    <n v="2968"/>
    <n v="43.647058823529406"/>
  </r>
  <r>
    <x v="2"/>
    <x v="2"/>
    <s v="Clipped"/>
    <s v="No Petersen Tag"/>
    <x v="13"/>
    <n v="0"/>
    <m/>
    <m/>
    <m/>
    <m/>
    <n v="0"/>
    <n v="0"/>
    <n v="0"/>
    <n v="0"/>
  </r>
  <r>
    <x v="2"/>
    <x v="2"/>
    <s v="Unclipped"/>
    <s v="No Petersen Tag"/>
    <x v="13"/>
    <n v="50"/>
    <m/>
    <m/>
    <m/>
    <m/>
    <n v="0"/>
    <n v="13.101604278074866"/>
    <n v="36.363636363636367"/>
    <n v="0.53475935828876997"/>
  </r>
  <r>
    <x v="1"/>
    <x v="2"/>
    <s v="both"/>
    <s v="both"/>
    <x v="13"/>
    <n v="4940"/>
    <m/>
    <m/>
    <m/>
    <m/>
    <n v="0"/>
    <n v="1403.0122004357297"/>
    <n v="3485.8888888888887"/>
    <n v="51.098910675381255"/>
  </r>
  <r>
    <x v="3"/>
    <x v="2"/>
    <s v="both"/>
    <s v="both"/>
    <x v="13"/>
    <n v="4990"/>
    <m/>
    <m/>
    <m/>
    <m/>
    <n v="0"/>
    <n v="1416.1138047138045"/>
    <n v="3522.2525252525252"/>
    <n v="51.633670033670022"/>
  </r>
  <r>
    <x v="0"/>
    <x v="0"/>
    <m/>
    <m/>
    <x v="0"/>
    <m/>
    <m/>
    <m/>
    <m/>
    <m/>
    <m/>
    <m/>
    <m/>
    <m/>
  </r>
  <r>
    <x v="1"/>
    <x v="3"/>
    <s v="Clipped"/>
    <s v="NA"/>
    <x v="13"/>
    <n v="45"/>
    <n v="1"/>
    <n v="2"/>
    <n v="0"/>
    <n v="0"/>
    <n v="15"/>
    <n v="30"/>
    <n v="0"/>
    <n v="0"/>
  </r>
  <r>
    <x v="1"/>
    <x v="3"/>
    <s v="Unclipped"/>
    <s v="Petersen Tagged"/>
    <x v="13"/>
    <n v="2"/>
    <m/>
    <m/>
    <m/>
    <m/>
    <n v="1.5"/>
    <n v="0.5"/>
    <n v="0"/>
    <n v="0"/>
  </r>
  <r>
    <x v="1"/>
    <x v="3"/>
    <s v="Unclipped"/>
    <s v="No Petersen Tag"/>
    <x v="13"/>
    <n v="133"/>
    <n v="6"/>
    <n v="2"/>
    <n v="0"/>
    <n v="0"/>
    <n v="99.75"/>
    <n v="33.25"/>
    <n v="0"/>
    <n v="0"/>
  </r>
  <r>
    <x v="2"/>
    <x v="3"/>
    <s v="Clipped"/>
    <s v="No Petersen Tag"/>
    <x v="13"/>
    <n v="0"/>
    <m/>
    <m/>
    <m/>
    <m/>
    <n v="0"/>
    <n v="0"/>
    <n v="0"/>
    <n v="0"/>
  </r>
  <r>
    <x v="2"/>
    <x v="3"/>
    <s v="Unclipped"/>
    <s v="No Petersen Tag"/>
    <x v="13"/>
    <n v="0"/>
    <m/>
    <m/>
    <m/>
    <m/>
    <n v="0"/>
    <n v="0"/>
    <n v="0"/>
    <n v="0"/>
  </r>
  <r>
    <x v="1"/>
    <x v="3"/>
    <s v="both"/>
    <s v="both"/>
    <x v="13"/>
    <n v="180"/>
    <m/>
    <m/>
    <m/>
    <m/>
    <n v="116.25"/>
    <n v="63.75"/>
    <n v="0"/>
    <n v="0"/>
  </r>
  <r>
    <x v="3"/>
    <x v="3"/>
    <s v="both"/>
    <s v="both"/>
    <x v="13"/>
    <n v="180"/>
    <m/>
    <m/>
    <m/>
    <m/>
    <n v="116.25"/>
    <n v="63.75"/>
    <n v="0"/>
    <n v="0"/>
  </r>
  <r>
    <x v="0"/>
    <x v="0"/>
    <m/>
    <m/>
    <x v="0"/>
    <m/>
    <m/>
    <m/>
    <m/>
    <m/>
    <m/>
    <m/>
    <m/>
    <m/>
  </r>
  <r>
    <x v="12"/>
    <x v="8"/>
    <m/>
    <m/>
    <x v="0"/>
    <m/>
    <m/>
    <m/>
    <m/>
    <m/>
    <m/>
    <m/>
    <m/>
    <m/>
  </r>
  <r>
    <x v="1"/>
    <x v="1"/>
    <s v="Clipped"/>
    <s v="NA"/>
    <x v="14"/>
    <n v="239"/>
    <n v="0"/>
    <n v="34"/>
    <n v="5"/>
    <n v="0"/>
    <n v="0"/>
    <n v="208.35897435897436"/>
    <n v="30.641025641025639"/>
    <n v="0"/>
  </r>
  <r>
    <x v="1"/>
    <x v="1"/>
    <s v="Unclipped"/>
    <s v="Petersen Tagged"/>
    <x v="14"/>
    <n v="340"/>
    <n v="0"/>
    <n v="18"/>
    <n v="10"/>
    <n v="1"/>
    <n v="0"/>
    <n v="211.0344827586207"/>
    <n v="117.24137931034484"/>
    <n v="11.724137931034482"/>
  </r>
  <r>
    <x v="1"/>
    <x v="1"/>
    <s v="Unclipped"/>
    <s v="No Petersen Tag"/>
    <x v="14"/>
    <n v="3348"/>
    <n v="0"/>
    <n v="48"/>
    <n v="58"/>
    <n v="0"/>
    <n v="0"/>
    <n v="1516.0754716981132"/>
    <n v="1831.9245283018868"/>
    <n v="0"/>
  </r>
  <r>
    <x v="2"/>
    <x v="1"/>
    <s v="Clipped"/>
    <s v="No Petersen Tag"/>
    <x v="14"/>
    <n v="0"/>
    <m/>
    <m/>
    <m/>
    <m/>
    <n v="0"/>
    <n v="0"/>
    <n v="0"/>
    <n v="0"/>
  </r>
  <r>
    <x v="2"/>
    <x v="1"/>
    <s v="Unclipped"/>
    <s v="No Petersen Tag"/>
    <x v="14"/>
    <n v="63"/>
    <n v="0"/>
    <n v="24"/>
    <n v="30"/>
    <n v="0"/>
    <n v="0"/>
    <n v="28"/>
    <n v="35"/>
    <n v="0"/>
  </r>
  <r>
    <x v="1"/>
    <x v="1"/>
    <s v="both"/>
    <s v="both"/>
    <x v="14"/>
    <n v="3927"/>
    <m/>
    <m/>
    <m/>
    <m/>
    <n v="0"/>
    <n v="1935.4689288157083"/>
    <n v="1979.8069332532573"/>
    <n v="11.724137931034482"/>
  </r>
  <r>
    <x v="3"/>
    <x v="1"/>
    <s v="both"/>
    <s v="both"/>
    <x v="14"/>
    <n v="3990"/>
    <m/>
    <m/>
    <m/>
    <m/>
    <n v="0"/>
    <n v="1963.4689288157083"/>
    <n v="2014.8069332532573"/>
    <n v="11.724137931034482"/>
  </r>
  <r>
    <x v="0"/>
    <x v="0"/>
    <m/>
    <m/>
    <x v="0"/>
    <m/>
    <m/>
    <m/>
    <m/>
    <m/>
    <m/>
    <m/>
    <m/>
    <m/>
  </r>
  <r>
    <x v="1"/>
    <x v="2"/>
    <s v="Clipped"/>
    <s v="NA"/>
    <x v="14"/>
    <n v="165"/>
    <n v="0"/>
    <n v="28"/>
    <n v="20"/>
    <n v="0"/>
    <n v="0"/>
    <n v="96.25"/>
    <n v="68.75"/>
    <n v="0"/>
  </r>
  <r>
    <x v="1"/>
    <x v="2"/>
    <s v="Unclipped"/>
    <s v="Petersen Tagged"/>
    <x v="14"/>
    <n v="411"/>
    <n v="0"/>
    <n v="14"/>
    <n v="56"/>
    <n v="1"/>
    <n v="0"/>
    <n v="81.042253521126753"/>
    <n v="324.16901408450701"/>
    <n v="5.788732394366197"/>
  </r>
  <r>
    <x v="1"/>
    <x v="2"/>
    <s v="Unclipped"/>
    <s v="No Petersen Tag"/>
    <x v="14"/>
    <n v="2633"/>
    <n v="0"/>
    <n v="28"/>
    <n v="85"/>
    <n v="1"/>
    <n v="0"/>
    <n v="646.70175438596493"/>
    <n v="1963.2017543859649"/>
    <n v="23.096491228070175"/>
  </r>
  <r>
    <x v="2"/>
    <x v="2"/>
    <s v="Clipped"/>
    <s v="No Petersen Tag"/>
    <x v="14"/>
    <n v="0"/>
    <m/>
    <m/>
    <m/>
    <m/>
    <n v="0"/>
    <n v="0"/>
    <n v="0"/>
    <n v="0"/>
  </r>
  <r>
    <x v="2"/>
    <x v="2"/>
    <s v="Unclipped"/>
    <s v="No Petersen Tag"/>
    <x v="14"/>
    <n v="58"/>
    <n v="0"/>
    <n v="4"/>
    <n v="40"/>
    <n v="0"/>
    <n v="0"/>
    <n v="5.2727272727272725"/>
    <n v="52.727272727272727"/>
    <n v="0"/>
  </r>
  <r>
    <x v="1"/>
    <x v="2"/>
    <s v="both"/>
    <s v="both"/>
    <x v="14"/>
    <n v="3209"/>
    <m/>
    <m/>
    <m/>
    <m/>
    <n v="0"/>
    <n v="823.99400790709171"/>
    <n v="2356.1207684704718"/>
    <n v="28.885223622436371"/>
  </r>
  <r>
    <x v="3"/>
    <x v="2"/>
    <s v="both"/>
    <s v="both"/>
    <x v="14"/>
    <n v="3267"/>
    <m/>
    <m/>
    <m/>
    <m/>
    <n v="0"/>
    <n v="829.26673517981897"/>
    <n v="2408.8480411977444"/>
    <n v="28.885223622436371"/>
  </r>
  <r>
    <x v="0"/>
    <x v="0"/>
    <m/>
    <m/>
    <x v="0"/>
    <m/>
    <m/>
    <m/>
    <m/>
    <m/>
    <m/>
    <m/>
    <m/>
    <m/>
  </r>
  <r>
    <x v="1"/>
    <x v="3"/>
    <s v="Clipped"/>
    <s v="NA"/>
    <x v="14"/>
    <n v="164"/>
    <n v="8"/>
    <n v="0"/>
    <n v="0"/>
    <n v="0"/>
    <n v="164"/>
    <n v="0"/>
    <n v="0"/>
    <n v="0"/>
  </r>
  <r>
    <x v="1"/>
    <x v="3"/>
    <s v="Unclipped"/>
    <s v="Petersen Tagged"/>
    <x v="14"/>
    <n v="8"/>
    <m/>
    <m/>
    <m/>
    <m/>
    <n v="4.5714285714285712"/>
    <n v="3.4285714285714284"/>
    <n v="0"/>
    <n v="0"/>
  </r>
  <r>
    <x v="1"/>
    <x v="3"/>
    <s v="Unclipped"/>
    <s v="No Petersen Tag"/>
    <x v="14"/>
    <n v="320"/>
    <n v="4"/>
    <n v="3"/>
    <n v="0"/>
    <n v="0"/>
    <n v="182.85714285714283"/>
    <n v="137.14285714285714"/>
    <n v="0"/>
    <n v="0"/>
  </r>
  <r>
    <x v="2"/>
    <x v="3"/>
    <s v="Clipped"/>
    <s v="No Petersen Tag"/>
    <x v="14"/>
    <n v="0"/>
    <m/>
    <m/>
    <m/>
    <m/>
    <n v="0"/>
    <n v="0"/>
    <n v="0"/>
    <n v="0"/>
  </r>
  <r>
    <x v="2"/>
    <x v="3"/>
    <s v="Unclipped"/>
    <s v="No Petersen Tag"/>
    <x v="14"/>
    <n v="0"/>
    <m/>
    <m/>
    <m/>
    <m/>
    <n v="0"/>
    <n v="0"/>
    <n v="0"/>
    <n v="0"/>
  </r>
  <r>
    <x v="1"/>
    <x v="3"/>
    <s v="both"/>
    <s v="both"/>
    <x v="14"/>
    <n v="492"/>
    <m/>
    <m/>
    <m/>
    <m/>
    <n v="351.42857142857144"/>
    <n v="140.57142857142856"/>
    <n v="0"/>
    <n v="0"/>
  </r>
  <r>
    <x v="3"/>
    <x v="3"/>
    <s v="both"/>
    <s v="both"/>
    <x v="14"/>
    <n v="492"/>
    <m/>
    <m/>
    <m/>
    <m/>
    <n v="351.42857142857144"/>
    <n v="140.57142857142856"/>
    <n v="0"/>
    <n v="0"/>
  </r>
  <r>
    <x v="0"/>
    <x v="0"/>
    <m/>
    <m/>
    <x v="0"/>
    <m/>
    <m/>
    <m/>
    <m/>
    <m/>
    <m/>
    <m/>
    <m/>
    <m/>
  </r>
  <r>
    <x v="13"/>
    <x v="9"/>
    <m/>
    <m/>
    <x v="0"/>
    <m/>
    <m/>
    <m/>
    <m/>
    <m/>
    <m/>
    <m/>
    <m/>
    <m/>
  </r>
  <r>
    <x v="1"/>
    <x v="1"/>
    <s v="Clipped"/>
    <s v="NA"/>
    <x v="15"/>
    <n v="496"/>
    <n v="0"/>
    <n v="14"/>
    <n v="0"/>
    <n v="0"/>
    <n v="0"/>
    <n v="496"/>
    <n v="0"/>
    <n v="0"/>
  </r>
  <r>
    <x v="1"/>
    <x v="1"/>
    <s v="Unclipped"/>
    <s v="Petersen Tagged"/>
    <x v="15"/>
    <n v="348"/>
    <n v="1"/>
    <n v="5"/>
    <n v="5"/>
    <n v="0"/>
    <n v="31.636363636363637"/>
    <n v="158.18181818181819"/>
    <n v="158.18181818181819"/>
    <n v="0"/>
  </r>
  <r>
    <x v="1"/>
    <x v="1"/>
    <s v="Unclipped"/>
    <s v="No Petersen Tag"/>
    <x v="15"/>
    <n v="2461"/>
    <n v="0"/>
    <n v="62"/>
    <n v="41"/>
    <n v="1"/>
    <n v="0"/>
    <n v="1467.1346153846155"/>
    <n v="970.20192307692309"/>
    <n v="23.66346153846154"/>
  </r>
  <r>
    <x v="2"/>
    <x v="1"/>
    <s v="Clipped"/>
    <s v="No Petersen Tag"/>
    <x v="15"/>
    <n v="0"/>
    <m/>
    <m/>
    <m/>
    <m/>
    <n v="0"/>
    <n v="0"/>
    <n v="0"/>
    <n v="0"/>
  </r>
  <r>
    <x v="2"/>
    <x v="1"/>
    <s v="Unclipped"/>
    <s v="No Petersen Tag"/>
    <x v="15"/>
    <n v="53"/>
    <m/>
    <m/>
    <m/>
    <m/>
    <n v="0"/>
    <n v="31.596153846153847"/>
    <n v="20.89423076923077"/>
    <n v="0.50961538461538469"/>
  </r>
  <r>
    <x v="1"/>
    <x v="1"/>
    <s v="both"/>
    <s v="both"/>
    <x v="15"/>
    <n v="3305"/>
    <m/>
    <m/>
    <m/>
    <m/>
    <n v="31.636363636363637"/>
    <n v="2121.3164335664337"/>
    <n v="1128.3837412587413"/>
    <n v="23.66346153846154"/>
  </r>
  <r>
    <x v="3"/>
    <x v="1"/>
    <s v="both"/>
    <s v="both"/>
    <x v="15"/>
    <n v="3358"/>
    <m/>
    <m/>
    <m/>
    <m/>
    <n v="31.636363636363637"/>
    <n v="2152.9125874125875"/>
    <n v="1149.2779720279721"/>
    <n v="24.173076923076923"/>
  </r>
  <r>
    <x v="0"/>
    <x v="0"/>
    <m/>
    <m/>
    <x v="0"/>
    <m/>
    <m/>
    <m/>
    <m/>
    <m/>
    <m/>
    <m/>
    <m/>
    <m/>
  </r>
  <r>
    <x v="1"/>
    <x v="2"/>
    <s v="Clipped"/>
    <s v="NA"/>
    <x v="15"/>
    <n v="185"/>
    <n v="0"/>
    <n v="17"/>
    <n v="3"/>
    <n v="0"/>
    <n v="0"/>
    <n v="157.25"/>
    <n v="27.75"/>
    <n v="0"/>
  </r>
  <r>
    <x v="1"/>
    <x v="2"/>
    <s v="Unclipped"/>
    <s v="Petersen Tagged"/>
    <x v="15"/>
    <n v="248"/>
    <n v="0"/>
    <n v="10"/>
    <n v="16"/>
    <n v="0"/>
    <n v="0"/>
    <n v="95.384615384615387"/>
    <n v="152.61538461538461"/>
    <n v="0"/>
  </r>
  <r>
    <x v="1"/>
    <x v="2"/>
    <s v="Unclipped"/>
    <s v="No Petersen Tag"/>
    <x v="15"/>
    <n v="933"/>
    <n v="0"/>
    <n v="29"/>
    <n v="81"/>
    <n v="0"/>
    <n v="0"/>
    <n v="245.97272727272724"/>
    <n v="687.0272727272727"/>
    <n v="0"/>
  </r>
  <r>
    <x v="2"/>
    <x v="2"/>
    <s v="Clipped"/>
    <s v="No Petersen Tag"/>
    <x v="15"/>
    <n v="0"/>
    <m/>
    <m/>
    <m/>
    <m/>
    <n v="0"/>
    <n v="0"/>
    <n v="0"/>
    <n v="0"/>
  </r>
  <r>
    <x v="2"/>
    <x v="2"/>
    <s v="Unclipped"/>
    <s v="No Petersen Tag"/>
    <x v="15"/>
    <n v="53"/>
    <m/>
    <m/>
    <m/>
    <m/>
    <n v="0"/>
    <n v="13.972727272727271"/>
    <n v="39.027272727272724"/>
    <n v="0"/>
  </r>
  <r>
    <x v="1"/>
    <x v="2"/>
    <s v="both"/>
    <s v="both"/>
    <x v="15"/>
    <n v="1366"/>
    <m/>
    <m/>
    <m/>
    <m/>
    <n v="0"/>
    <n v="498.60734265734266"/>
    <n v="867.39265734265734"/>
    <n v="0"/>
  </r>
  <r>
    <x v="3"/>
    <x v="2"/>
    <s v="both"/>
    <s v="both"/>
    <x v="15"/>
    <n v="1419"/>
    <m/>
    <m/>
    <m/>
    <m/>
    <n v="0"/>
    <n v="512.58006993006995"/>
    <n v="906.41993006993005"/>
    <n v="0"/>
  </r>
  <r>
    <x v="0"/>
    <x v="0"/>
    <m/>
    <m/>
    <x v="0"/>
    <m/>
    <m/>
    <m/>
    <m/>
    <m/>
    <m/>
    <m/>
    <m/>
    <m/>
  </r>
  <r>
    <x v="1"/>
    <x v="3"/>
    <s v="Clipped"/>
    <s v="NA"/>
    <x v="15"/>
    <n v="80"/>
    <n v="0"/>
    <n v="0"/>
    <n v="0"/>
    <n v="0"/>
    <n v="0"/>
    <n v="0"/>
    <n v="0"/>
    <n v="0"/>
  </r>
  <r>
    <x v="1"/>
    <x v="3"/>
    <s v="Unclipped"/>
    <s v="Petersen Tagged"/>
    <x v="15"/>
    <n v="2"/>
    <n v="0"/>
    <n v="0"/>
    <n v="0"/>
    <n v="0"/>
    <n v="0"/>
    <n v="0"/>
    <n v="0"/>
    <n v="0"/>
  </r>
  <r>
    <x v="1"/>
    <x v="3"/>
    <s v="Unclipped"/>
    <s v="No Petersen Tag"/>
    <x v="15"/>
    <n v="199"/>
    <n v="2"/>
    <n v="0"/>
    <n v="0"/>
    <n v="0"/>
    <n v="199"/>
    <n v="0"/>
    <n v="0"/>
    <n v="0"/>
  </r>
  <r>
    <x v="2"/>
    <x v="3"/>
    <s v="Clipped"/>
    <s v="No Petersen Tag"/>
    <x v="15"/>
    <n v="0"/>
    <m/>
    <m/>
    <m/>
    <m/>
    <n v="0"/>
    <n v="0"/>
    <n v="0"/>
    <n v="0"/>
  </r>
  <r>
    <x v="2"/>
    <x v="3"/>
    <s v="Unclipped"/>
    <s v="No Petersen Tag"/>
    <x v="15"/>
    <n v="0"/>
    <m/>
    <m/>
    <m/>
    <m/>
    <m/>
    <m/>
    <m/>
    <m/>
  </r>
  <r>
    <x v="1"/>
    <x v="3"/>
    <s v="both"/>
    <s v="both"/>
    <x v="15"/>
    <n v="281"/>
    <m/>
    <m/>
    <m/>
    <m/>
    <n v="199"/>
    <n v="0"/>
    <n v="0"/>
    <n v="0"/>
  </r>
  <r>
    <x v="3"/>
    <x v="3"/>
    <s v="both"/>
    <s v="both"/>
    <x v="15"/>
    <n v="281"/>
    <m/>
    <m/>
    <m/>
    <m/>
    <n v="199"/>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x v="0"/>
    <s v="brood year"/>
    <s v="identifier"/>
    <s v="unclipped fish"/>
    <s v="Unclipped Fish"/>
    <s v="Total"/>
    <m/>
  </r>
  <r>
    <x v="1"/>
    <x v="1"/>
    <m/>
    <m/>
    <m/>
    <m/>
    <m/>
    <m/>
  </r>
  <r>
    <x v="2"/>
    <x v="2"/>
    <n v="2007"/>
    <s v="2010.3"/>
    <n v="44.751014357053684"/>
    <n v="0"/>
    <n v="0"/>
    <n v="0"/>
  </r>
  <r>
    <x v="2"/>
    <x v="3"/>
    <n v="2006"/>
    <s v="2010.4"/>
    <n v="3880.8798690109156"/>
    <n v="0"/>
    <n v="0"/>
    <n v="0"/>
  </r>
  <r>
    <x v="2"/>
    <x v="4"/>
    <n v="2005"/>
    <s v="2010.5"/>
    <n v="3241.3351428742781"/>
    <n v="0"/>
    <n v="0"/>
    <n v="0"/>
  </r>
  <r>
    <x v="2"/>
    <x v="5"/>
    <n v="2004"/>
    <s v="2010.6"/>
    <n v="351.03397375775205"/>
    <n v="0"/>
    <n v="0"/>
    <n v="0"/>
  </r>
  <r>
    <x v="1"/>
    <x v="1"/>
    <m/>
    <m/>
    <m/>
    <m/>
    <m/>
    <m/>
  </r>
  <r>
    <x v="3"/>
    <x v="2"/>
    <n v="2008"/>
    <s v="2011.3"/>
    <n v="19"/>
    <n v="0"/>
    <n v="0"/>
    <n v="0"/>
  </r>
  <r>
    <x v="3"/>
    <x v="3"/>
    <n v="2007"/>
    <s v="2011.4"/>
    <n v="1405.2216040009296"/>
    <n v="0"/>
    <n v="0"/>
    <n v="0"/>
  </r>
  <r>
    <x v="3"/>
    <x v="4"/>
    <n v="2006"/>
    <s v="2011.5"/>
    <n v="6811.3083797317649"/>
    <n v="0"/>
    <n v="0"/>
    <n v="0"/>
  </r>
  <r>
    <x v="3"/>
    <x v="5"/>
    <n v="2005"/>
    <s v="2011.6"/>
    <n v="179.47001626730588"/>
    <n v="0"/>
    <n v="0"/>
    <n v="0"/>
  </r>
  <r>
    <x v="1"/>
    <x v="1"/>
    <m/>
    <m/>
    <m/>
    <m/>
    <m/>
    <m/>
  </r>
  <r>
    <x v="4"/>
    <x v="2"/>
    <n v="2009"/>
    <s v="2012.3"/>
    <n v="176.92207269381183"/>
    <n v="0"/>
    <n v="0"/>
    <n v="0"/>
  </r>
  <r>
    <x v="4"/>
    <x v="3"/>
    <n v="2008"/>
    <s v="2012.4"/>
    <n v="1411.3554609481762"/>
    <n v="0"/>
    <n v="0"/>
    <n v="0"/>
  </r>
  <r>
    <x v="4"/>
    <x v="4"/>
    <n v="2007"/>
    <s v="2012.5"/>
    <n v="2626.4035134225169"/>
    <n v="0"/>
    <n v="0"/>
    <n v="0"/>
  </r>
  <r>
    <x v="4"/>
    <x v="5"/>
    <n v="2006"/>
    <s v="2012.6"/>
    <n v="72.318952935494821"/>
    <n v="0"/>
    <n v="0"/>
    <n v="0"/>
  </r>
  <r>
    <x v="1"/>
    <x v="1"/>
    <m/>
    <m/>
    <m/>
    <m/>
    <m/>
    <m/>
  </r>
  <r>
    <x v="5"/>
    <x v="2"/>
    <n v="2010"/>
    <s v="2013.3"/>
    <n v="400.75590451345658"/>
    <n v="0"/>
    <n v="0"/>
    <n v="0"/>
  </r>
  <r>
    <x v="5"/>
    <x v="3"/>
    <n v="2009"/>
    <s v="2013.4"/>
    <n v="2495.8152482962564"/>
    <n v="0"/>
    <n v="0"/>
    <n v="0"/>
  </r>
  <r>
    <x v="5"/>
    <x v="4"/>
    <n v="2008"/>
    <s v="2013.5"/>
    <n v="1486.2444547810755"/>
    <n v="0"/>
    <n v="0"/>
    <n v="0"/>
  </r>
  <r>
    <x v="5"/>
    <x v="5"/>
    <n v="2007"/>
    <s v="2013.6"/>
    <n v="40.184392409211426"/>
    <n v="0"/>
    <n v="0"/>
    <n v="0"/>
  </r>
  <r>
    <x v="1"/>
    <x v="1"/>
    <m/>
    <m/>
    <m/>
    <m/>
    <m/>
    <m/>
  </r>
  <r>
    <x v="6"/>
    <x v="2"/>
    <n v="2011"/>
    <s v="2014.3"/>
    <n v="30.842105263157894"/>
    <n v="0"/>
    <n v="0"/>
    <n v="0"/>
  </r>
  <r>
    <x v="6"/>
    <x v="3"/>
    <n v="2010"/>
    <s v="2014.4"/>
    <n v="5816.2648276535492"/>
    <n v="0"/>
    <n v="0"/>
    <n v="0"/>
  </r>
  <r>
    <x v="6"/>
    <x v="4"/>
    <n v="2009"/>
    <s v="2014.5"/>
    <n v="7388.9483025746185"/>
    <n v="0"/>
    <n v="0"/>
    <n v="0"/>
  </r>
  <r>
    <x v="6"/>
    <x v="5"/>
    <n v="2008"/>
    <s v="2014.6"/>
    <n v="129.9447645086743"/>
    <n v="0"/>
    <n v="0"/>
    <n v="0"/>
  </r>
  <r>
    <x v="1"/>
    <x v="1"/>
    <m/>
    <m/>
    <m/>
    <m/>
    <m/>
    <m/>
  </r>
  <r>
    <x v="7"/>
    <x v="2"/>
    <n v="2012"/>
    <s v="2015.3"/>
    <n v="19.136842105263156"/>
    <n v="0"/>
    <n v="0"/>
    <n v="0"/>
  </r>
  <r>
    <x v="7"/>
    <x v="3"/>
    <n v="2011"/>
    <s v="2015.4"/>
    <n v="3350.2609958074904"/>
    <n v="0"/>
    <n v="0"/>
    <n v="0"/>
  </r>
  <r>
    <x v="7"/>
    <x v="4"/>
    <n v="2010"/>
    <s v="2015.5"/>
    <n v="7530.9114601018682"/>
    <n v="0"/>
    <n v="0"/>
    <n v="0"/>
  </r>
  <r>
    <x v="7"/>
    <x v="5"/>
    <n v="2009"/>
    <s v="2015.6"/>
    <n v="97.690701985378183"/>
    <n v="0"/>
    <n v="0"/>
    <n v="0"/>
  </r>
  <r>
    <x v="1"/>
    <x v="1"/>
    <m/>
    <m/>
    <m/>
    <m/>
    <m/>
    <m/>
  </r>
  <r>
    <x v="8"/>
    <x v="2"/>
    <n v="2013"/>
    <s v="2016.3"/>
    <n v="109"/>
    <n v="0"/>
    <n v="0"/>
    <n v="0"/>
  </r>
  <r>
    <x v="8"/>
    <x v="3"/>
    <n v="2012"/>
    <s v="2016.4"/>
    <n v="1251.3861111111112"/>
    <n v="0"/>
    <n v="0"/>
    <n v="0"/>
  </r>
  <r>
    <x v="8"/>
    <x v="4"/>
    <n v="2011"/>
    <s v="2016.5"/>
    <n v="2613.9068888888892"/>
    <n v="0"/>
    <n v="0"/>
    <n v="0"/>
  </r>
  <r>
    <x v="8"/>
    <x v="5"/>
    <n v="2010"/>
    <s v="2016.6"/>
    <n v="308.70699999999999"/>
    <n v="0"/>
    <n v="0"/>
    <n v="0"/>
  </r>
  <r>
    <x v="1"/>
    <x v="1"/>
    <m/>
    <m/>
    <m/>
    <m/>
    <m/>
    <m/>
  </r>
  <r>
    <x v="9"/>
    <x v="2"/>
    <n v="2014"/>
    <s v="2017.3"/>
    <n v="8.5"/>
    <n v="3426.4285714285716"/>
    <n v="3434.4285714285716"/>
    <n v="8"/>
  </r>
  <r>
    <x v="9"/>
    <x v="3"/>
    <n v="2013"/>
    <s v="2017.4"/>
    <n v="1540.0465320538451"/>
    <n v="263.57142857142856"/>
    <n v="263.57142857142856"/>
    <n v="0"/>
  </r>
  <r>
    <x v="9"/>
    <x v="4"/>
    <n v="2012"/>
    <s v="2017.5"/>
    <n v="1940.5082900173263"/>
    <n v="0"/>
    <n v="0"/>
    <n v="0"/>
  </r>
  <r>
    <x v="9"/>
    <x v="5"/>
    <n v="2011"/>
    <s v="2017.6"/>
    <n v="200.94517792882843"/>
    <n v="0"/>
    <n v="0"/>
    <n v="0"/>
  </r>
  <r>
    <x v="1"/>
    <x v="1"/>
    <m/>
    <m/>
    <m/>
    <m/>
    <m/>
    <n v="0"/>
  </r>
  <r>
    <x v="10"/>
    <x v="2"/>
    <n v="2015"/>
    <s v="2018.3"/>
    <n v="0"/>
    <n v="0"/>
    <n v="0"/>
    <n v="0"/>
  </r>
  <r>
    <x v="10"/>
    <x v="3"/>
    <n v="2014"/>
    <s v="2018.4"/>
    <n v="1125.4591301230801"/>
    <n v="1186.3231038694498"/>
    <n v="1264.3231038694498"/>
    <n v="78"/>
  </r>
  <r>
    <x v="10"/>
    <x v="4"/>
    <n v="2013"/>
    <s v="2018.5"/>
    <n v="1049.9035471248776"/>
    <n v="1031.6768961305502"/>
    <n v="1031.6768961305502"/>
    <n v="0"/>
  </r>
  <r>
    <x v="10"/>
    <x v="5"/>
    <n v="2012"/>
    <s v="2018.6"/>
    <n v="42.637322752042408"/>
    <n v="0"/>
    <n v="0"/>
    <n v="0"/>
  </r>
  <r>
    <x v="1"/>
    <x v="1"/>
    <m/>
    <m/>
    <m/>
    <m/>
    <m/>
    <m/>
  </r>
  <r>
    <x v="11"/>
    <x v="2"/>
    <n v="2016"/>
    <s v="2019.3"/>
    <n v="0"/>
    <n v="0"/>
    <n v="0"/>
    <n v="0"/>
  </r>
  <r>
    <x v="11"/>
    <x v="3"/>
    <n v="2015"/>
    <s v="2019.4"/>
    <n v="1284.0487804878051"/>
    <n v="1027.2390243902441"/>
    <n v="1092.339024390244"/>
    <n v="65.099999999999994"/>
  </r>
  <r>
    <x v="11"/>
    <x v="4"/>
    <n v="2014"/>
    <s v="2019.5"/>
    <n v="1031.1300813008131"/>
    <n v="1365.7609756097561"/>
    <n v="1393.6609756097562"/>
    <n v="27.9"/>
  </r>
  <r>
    <x v="11"/>
    <x v="5"/>
    <n v="2013"/>
    <s v="2019.6"/>
    <n v="77.82113821138212"/>
    <n v="0"/>
    <n v="0"/>
    <n v="0"/>
  </r>
  <r>
    <x v="1"/>
    <x v="1"/>
    <m/>
    <m/>
    <m/>
    <m/>
    <m/>
    <m/>
  </r>
  <r>
    <x v="12"/>
    <x v="2"/>
    <n v="2017"/>
    <s v="2020.3"/>
    <n v="136"/>
    <n v="136"/>
    <n v="143"/>
    <n v="7"/>
  </r>
  <r>
    <x v="12"/>
    <x v="3"/>
    <n v="2016"/>
    <s v="2020.4"/>
    <n v="2013.3042768049138"/>
    <n v="1797.5931042901018"/>
    <n v="1902.5128903863585"/>
    <n v="104.91978609625667"/>
  </r>
  <r>
    <x v="12"/>
    <x v="4"/>
    <n v="2015"/>
    <s v="2020.5"/>
    <n v="4108.6957231950864"/>
    <n v="4324.4068957098989"/>
    <n v="4409.4871096136421"/>
    <n v="85.080213903743314"/>
  </r>
  <r>
    <x v="12"/>
    <x v="5"/>
    <n v="2014"/>
    <s v="2020.6"/>
    <n v="0"/>
    <n v="0"/>
    <n v="0"/>
    <n v="0"/>
  </r>
  <r>
    <x v="1"/>
    <x v="1"/>
    <m/>
    <m/>
    <m/>
    <m/>
    <m/>
    <m/>
  </r>
  <r>
    <x v="13"/>
    <x v="2"/>
    <n v="2018"/>
    <s v="2021.3"/>
    <n v="38.18181818181818"/>
    <n v="165.81784502480292"/>
    <n v="227.33213073908863"/>
    <n v="61.514285714285712"/>
  </r>
  <r>
    <x v="13"/>
    <x v="3"/>
    <n v="2017"/>
    <s v="2021.4"/>
    <n v="3318.5366979176029"/>
    <n v="3105.8099865126283"/>
    <n v="3467.1044115997365"/>
    <n v="361.29442508710804"/>
  </r>
  <r>
    <x v="13"/>
    <x v="4"/>
    <n v="2016"/>
    <s v="2021.5"/>
    <n v="1848.9064839005791"/>
    <n v="1949.3721684625689"/>
    <n v="1979.5634576611751"/>
    <n v="30.19128919860627"/>
  </r>
  <r>
    <x v="13"/>
    <x v="5"/>
    <n v="2015"/>
    <s v="2021.6"/>
    <n v="15.375"/>
    <n v="0"/>
    <n v="0"/>
    <n v="0"/>
  </r>
  <r>
    <x v="1"/>
    <x v="1"/>
    <m/>
    <m/>
    <m/>
    <m/>
    <m/>
    <m/>
  </r>
  <r>
    <x v="14"/>
    <x v="2"/>
    <n v="2019"/>
    <s v="2022.3"/>
    <n v="316.81131549609808"/>
    <n v="0"/>
    <n v="15"/>
    <n v="15"/>
  </r>
  <r>
    <x v="14"/>
    <x v="3"/>
    <n v="2018"/>
    <s v="2022.4"/>
    <n v="4246.8915639111292"/>
    <n v="4971.6483983918115"/>
    <n v="5561.8642399759701"/>
    <n v="590.2158415841584"/>
  </r>
  <r>
    <x v="14"/>
    <x v="4"/>
    <n v="2017"/>
    <s v="2022.5"/>
    <n v="8373.4677983851889"/>
    <n v="8024.3516016081876"/>
    <n v="8298.1357600240299"/>
    <n v="273.7841584158416"/>
  </r>
  <r>
    <x v="14"/>
    <x v="5"/>
    <n v="2016"/>
    <s v="2022.6"/>
    <n v="58.829322207583061"/>
    <n v="0"/>
    <n v="0"/>
    <n v="0"/>
  </r>
  <r>
    <x v="1"/>
    <x v="1"/>
    <m/>
    <m/>
    <m/>
    <m/>
    <m/>
    <m/>
  </r>
  <r>
    <x v="15"/>
    <x v="2"/>
    <n v="2020"/>
    <s v="2023.3"/>
    <n v="187.42857142857142"/>
    <n v="233.54608227432547"/>
    <n v="397.5460822743255"/>
    <n v="164"/>
  </r>
  <r>
    <x v="15"/>
    <x v="3"/>
    <n v="2019"/>
    <s v="2023.4"/>
    <n v="2628.6981182079817"/>
    <n v="2490.3455856707192"/>
    <n v="2794.9545600296933"/>
    <n v="304.60897435897436"/>
  </r>
  <r>
    <x v="15"/>
    <x v="4"/>
    <n v="2018"/>
    <s v="2023.5"/>
    <n v="4324.2639488099767"/>
    <n v="4457.108332054956"/>
    <n v="4556.4993576959814"/>
    <n v="99.391025641025635"/>
  </r>
  <r>
    <x v="15"/>
    <x v="5"/>
    <n v="2017"/>
    <s v="2023.6"/>
    <n v="40.609361553470855"/>
    <n v="0"/>
    <n v="0"/>
    <n v="0"/>
  </r>
  <r>
    <x v="1"/>
    <x v="1"/>
    <m/>
    <m/>
    <m/>
    <m/>
    <m/>
    <m/>
  </r>
  <r>
    <x v="16"/>
    <x v="2"/>
    <n v="2021"/>
    <s v="2024.3"/>
    <n v="230.63636363636363"/>
    <n v="214.16233766233765"/>
    <n v="214.16233766233765"/>
    <n v="0"/>
  </r>
  <r>
    <x v="16"/>
    <x v="3"/>
    <n v="2020"/>
    <s v="2024.4"/>
    <n v="2012.2426573426576"/>
    <n v="3284.8608724608725"/>
    <n v="3938.1108724608725"/>
    <n v="653.25"/>
  </r>
  <r>
    <x v="16"/>
    <x v="4"/>
    <n v="2019"/>
    <s v="2024.5"/>
    <n v="2027.9479020979022"/>
    <n v="795.97678987678978"/>
    <n v="823.72678987678978"/>
    <n v="27.75"/>
  </r>
  <r>
    <x v="16"/>
    <x v="5"/>
    <n v="2018"/>
    <s v="2024.6"/>
    <n v="24.173076923076923"/>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 dataOnRows="1"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rowHeaderCaption="Year">
  <location ref="A4:C80" firstHeaderRow="1" firstDataRow="2" firstDataCol="1"/>
  <pivotFields count="14">
    <pivotField showAll="0"/>
    <pivotField showAll="0" defaultSubtotal="0"/>
    <pivotField axis="axisCol" showAll="0" defaultSubtotal="0">
      <items count="4">
        <item h="1" x="3"/>
        <item x="1"/>
        <item x="2"/>
        <item h="1" x="0"/>
      </items>
    </pivotField>
    <pivotField showAll="0" defaultSubtotal="0"/>
    <pivotField axis="axisRow" showAll="0" sortType="ascending">
      <items count="17">
        <item x="1"/>
        <item x="2"/>
        <item x="3"/>
        <item x="4"/>
        <item x="5"/>
        <item x="6"/>
        <item x="7"/>
        <item x="8"/>
        <item x="9"/>
        <item x="10"/>
        <item x="11"/>
        <item x="12"/>
        <item x="13"/>
        <item x="14"/>
        <item x="15"/>
        <item x="0"/>
        <item t="default"/>
      </items>
    </pivotField>
    <pivotField showAll="0"/>
    <pivotField showAll="0"/>
    <pivotField showAll="0"/>
    <pivotField showAll="0"/>
    <pivotField showAll="0" defaultSubtotal="0"/>
    <pivotField dataField="1" showAll="0" defaultSubtotal="0"/>
    <pivotField dataField="1" showAll="0" defaultSubtotal="0"/>
    <pivotField dataField="1" showAll="0" defaultSubtotal="0"/>
    <pivotField dataField="1" showAll="0" defaultSubtotal="0"/>
  </pivotFields>
  <rowFields count="2">
    <field x="4"/>
    <field x="-2"/>
  </rowFields>
  <rowItems count="75">
    <i>
      <x/>
    </i>
    <i r="1">
      <x/>
    </i>
    <i r="1" i="1">
      <x v="1"/>
    </i>
    <i r="1" i="2">
      <x v="2"/>
    </i>
    <i r="1" i="3">
      <x v="3"/>
    </i>
    <i>
      <x v="1"/>
    </i>
    <i r="1">
      <x/>
    </i>
    <i r="1" i="1">
      <x v="1"/>
    </i>
    <i r="1" i="2">
      <x v="2"/>
    </i>
    <i r="1" i="3">
      <x v="3"/>
    </i>
    <i>
      <x v="2"/>
    </i>
    <i r="1">
      <x/>
    </i>
    <i r="1" i="1">
      <x v="1"/>
    </i>
    <i r="1" i="2">
      <x v="2"/>
    </i>
    <i r="1" i="3">
      <x v="3"/>
    </i>
    <i>
      <x v="3"/>
    </i>
    <i r="1">
      <x/>
    </i>
    <i r="1" i="1">
      <x v="1"/>
    </i>
    <i r="1" i="2">
      <x v="2"/>
    </i>
    <i r="1" i="3">
      <x v="3"/>
    </i>
    <i>
      <x v="4"/>
    </i>
    <i r="1">
      <x/>
    </i>
    <i r="1" i="1">
      <x v="1"/>
    </i>
    <i r="1" i="2">
      <x v="2"/>
    </i>
    <i r="1" i="3">
      <x v="3"/>
    </i>
    <i>
      <x v="5"/>
    </i>
    <i r="1">
      <x/>
    </i>
    <i r="1" i="1">
      <x v="1"/>
    </i>
    <i r="1" i="2">
      <x v="2"/>
    </i>
    <i r="1" i="3">
      <x v="3"/>
    </i>
    <i>
      <x v="6"/>
    </i>
    <i r="1">
      <x/>
    </i>
    <i r="1" i="1">
      <x v="1"/>
    </i>
    <i r="1" i="2">
      <x v="2"/>
    </i>
    <i r="1" i="3">
      <x v="3"/>
    </i>
    <i>
      <x v="7"/>
    </i>
    <i r="1">
      <x/>
    </i>
    <i r="1" i="1">
      <x v="1"/>
    </i>
    <i r="1" i="2">
      <x v="2"/>
    </i>
    <i r="1" i="3">
      <x v="3"/>
    </i>
    <i>
      <x v="8"/>
    </i>
    <i r="1">
      <x/>
    </i>
    <i r="1" i="1">
      <x v="1"/>
    </i>
    <i r="1" i="2">
      <x v="2"/>
    </i>
    <i r="1" i="3">
      <x v="3"/>
    </i>
    <i>
      <x v="9"/>
    </i>
    <i r="1">
      <x/>
    </i>
    <i r="1" i="1">
      <x v="1"/>
    </i>
    <i r="1" i="2">
      <x v="2"/>
    </i>
    <i r="1" i="3">
      <x v="3"/>
    </i>
    <i>
      <x v="10"/>
    </i>
    <i r="1">
      <x/>
    </i>
    <i r="1" i="1">
      <x v="1"/>
    </i>
    <i r="1" i="2">
      <x v="2"/>
    </i>
    <i r="1" i="3">
      <x v="3"/>
    </i>
    <i>
      <x v="11"/>
    </i>
    <i r="1">
      <x/>
    </i>
    <i r="1" i="1">
      <x v="1"/>
    </i>
    <i r="1" i="2">
      <x v="2"/>
    </i>
    <i r="1" i="3">
      <x v="3"/>
    </i>
    <i>
      <x v="12"/>
    </i>
    <i r="1">
      <x/>
    </i>
    <i r="1" i="1">
      <x v="1"/>
    </i>
    <i r="1" i="2">
      <x v="2"/>
    </i>
    <i r="1" i="3">
      <x v="3"/>
    </i>
    <i>
      <x v="13"/>
    </i>
    <i r="1">
      <x/>
    </i>
    <i r="1" i="1">
      <x v="1"/>
    </i>
    <i r="1" i="2">
      <x v="2"/>
    </i>
    <i r="1" i="3">
      <x v="3"/>
    </i>
    <i>
      <x v="14"/>
    </i>
    <i r="1">
      <x/>
    </i>
    <i r="1" i="1">
      <x v="1"/>
    </i>
    <i r="1" i="2">
      <x v="2"/>
    </i>
    <i r="1" i="3">
      <x v="3"/>
    </i>
  </rowItems>
  <colFields count="1">
    <field x="2"/>
  </colFields>
  <colItems count="2">
    <i>
      <x v="1"/>
    </i>
    <i>
      <x v="2"/>
    </i>
  </colItems>
  <dataFields count="4">
    <dataField name="Sum of Raw_ESC_Age-3" fld="10" baseField="4" baseItem="0"/>
    <dataField name="Sum of Raw_ESC_Age-4" fld="11" baseField="4" baseItem="0"/>
    <dataField name="Sum of Raw_ESC_Age-5" fld="12" baseField="4" baseItem="0"/>
    <dataField name="Sum of Raw_ESC_Age-6" fld="13" baseField="0" baseItem="0"/>
  </dataFields>
  <formats count="6">
    <format dxfId="109">
      <pivotArea collapsedLevelsAreSubtotals="1" fieldPosition="0">
        <references count="1">
          <reference field="4" count="1">
            <x v="10"/>
          </reference>
        </references>
      </pivotArea>
    </format>
    <format dxfId="108">
      <pivotArea dataOnly="0" labelOnly="1" fieldPosition="0">
        <references count="1">
          <reference field="4" count="1">
            <x v="10"/>
          </reference>
        </references>
      </pivotArea>
    </format>
    <format dxfId="107">
      <pivotArea collapsedLevelsAreSubtotals="1" fieldPosition="0">
        <references count="1">
          <reference field="4" count="1">
            <x v="10"/>
          </reference>
        </references>
      </pivotArea>
    </format>
    <format dxfId="106">
      <pivotArea dataOnly="0" labelOnly="1" fieldPosition="0">
        <references count="1">
          <reference field="4" count="1">
            <x v="10"/>
          </reference>
        </references>
      </pivotArea>
    </format>
    <format dxfId="105">
      <pivotArea collapsedLevelsAreSubtotals="1" fieldPosition="0">
        <references count="1">
          <reference field="4" count="1">
            <x v="9"/>
          </reference>
        </references>
      </pivotArea>
    </format>
    <format dxfId="104">
      <pivotArea dataOnly="0" labelOnly="1" fieldPosition="0">
        <references count="1">
          <reference field="4"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EC3E0E-CBFB-4A12-979B-FAEC60A53F03}"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F17" firstHeaderRow="1" firstDataRow="2" firstDataCol="1"/>
  <pivotFields count="8">
    <pivotField axis="axisRow" showAll="0">
      <items count="18">
        <item h="1" x="2"/>
        <item h="1" x="3"/>
        <item h="1" x="4"/>
        <item h="1" x="5"/>
        <item h="1" x="6"/>
        <item h="1" x="7"/>
        <item h="1" x="8"/>
        <item x="9"/>
        <item x="10"/>
        <item x="11"/>
        <item x="12"/>
        <item x="13"/>
        <item x="14"/>
        <item h="1" x="0"/>
        <item h="1" x="1"/>
        <item x="15"/>
        <item x="16"/>
        <item t="default"/>
      </items>
    </pivotField>
    <pivotField axis="axisCol" showAll="0">
      <items count="7">
        <item x="2"/>
        <item x="3"/>
        <item x="4"/>
        <item x="5"/>
        <item x="0"/>
        <item x="1"/>
        <item t="default"/>
      </items>
    </pivotField>
    <pivotField showAll="0"/>
    <pivotField showAll="0"/>
    <pivotField showAll="0"/>
    <pivotField dataField="1" showAll="0"/>
    <pivotField showAll="0"/>
    <pivotField showAll="0"/>
  </pivotFields>
  <rowFields count="1">
    <field x="0"/>
  </rowFields>
  <rowItems count="9">
    <i>
      <x v="7"/>
    </i>
    <i>
      <x v="8"/>
    </i>
    <i>
      <x v="9"/>
    </i>
    <i>
      <x v="10"/>
    </i>
    <i>
      <x v="11"/>
    </i>
    <i>
      <x v="12"/>
    </i>
    <i>
      <x v="15"/>
    </i>
    <i>
      <x v="16"/>
    </i>
    <i t="grand">
      <x/>
    </i>
  </rowItems>
  <colFields count="1">
    <field x="1"/>
  </colFields>
  <colItems count="5">
    <i>
      <x/>
    </i>
    <i>
      <x v="1"/>
    </i>
    <i>
      <x v="2"/>
    </i>
    <i>
      <x v="3"/>
    </i>
    <i t="grand">
      <x/>
    </i>
  </colItems>
  <dataFields count="1">
    <dataField name="Sum of Corrected_Unclipp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E01CE-056F-4567-8930-B355A6F8ACD3}" name="PivotTable1" cacheId="2"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U12:Y18" firstHeaderRow="0" firstDataRow="1" firstDataCol="1"/>
  <pivotFields count="7">
    <pivotField showAll="0"/>
    <pivotField axis="axisRow" showAll="0">
      <items count="6">
        <item x="0"/>
        <item x="1"/>
        <item x="2"/>
        <item x="3"/>
        <item x="4"/>
        <item t="default"/>
      </items>
    </pivotField>
    <pivotField showAll="0"/>
    <pivotField dataField="1" showAll="0"/>
    <pivotField dataField="1" showAll="0"/>
    <pivotField dataField="1" showAll="0"/>
    <pivotField dataField="1" showAll="0"/>
  </pivotFields>
  <rowFields count="1">
    <field x="1"/>
  </rowFields>
  <rowItems count="6">
    <i>
      <x/>
    </i>
    <i>
      <x v="1"/>
    </i>
    <i>
      <x v="2"/>
    </i>
    <i>
      <x v="3"/>
    </i>
    <i>
      <x v="4"/>
    </i>
    <i t="grand">
      <x/>
    </i>
  </rowItems>
  <colFields count="1">
    <field x="-2"/>
  </colFields>
  <colItems count="4">
    <i>
      <x/>
    </i>
    <i i="1">
      <x v="1"/>
    </i>
    <i i="2">
      <x v="2"/>
    </i>
    <i i="3">
      <x v="3"/>
    </i>
  </colItems>
  <dataFields count="4">
    <dataField name="Sum of 3" fld="3" baseField="0" baseItem="0"/>
    <dataField name="Sum of 4" fld="4" baseField="0" baseItem="0"/>
    <dataField name="Sum of 5" fld="5" baseField="0" baseItem="0"/>
    <dataField name="Sum of 6" fld="6" baseField="0" baseItem="0"/>
  </dataFields>
  <formats count="4">
    <format dxfId="103">
      <pivotArea grandRow="1" outline="0" collapsedLevelsAreSubtotals="1" fieldPosition="0"/>
    </format>
    <format dxfId="102">
      <pivotArea dataOnly="0" labelOnly="1" grandRow="1" outline="0" fieldPosition="0"/>
    </format>
    <format dxfId="101">
      <pivotArea collapsedLevelsAreSubtotals="1" fieldPosition="0">
        <references count="1">
          <reference field="1" count="1">
            <x v="2"/>
          </reference>
        </references>
      </pivotArea>
    </format>
    <format dxfId="100">
      <pivotArea dataOnly="0" labelOnly="1" fieldPosition="0">
        <references count="1">
          <reference field="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A0FB3F-7F52-4896-80B2-540465357B37}" name="PivotTable1" cacheId="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Year" fieldListSortAscending="1">
  <location ref="A4:E21" firstHeaderRow="1" firstDataRow="2" firstDataCol="1" rowPageCount="2" colPageCount="1"/>
  <pivotFields count="14">
    <pivotField axis="axisPage" showAll="0" defaultSubtotal="0">
      <items count="14">
        <item x="4"/>
        <item x="5"/>
        <item x="6"/>
        <item x="2"/>
        <item x="1"/>
        <item x="3"/>
        <item x="0"/>
        <item x="7"/>
        <item x="8"/>
        <item x="9"/>
        <item x="10"/>
        <item x="11"/>
        <item x="12"/>
        <item x="13"/>
      </items>
    </pivotField>
    <pivotField axis="axisPage" multipleItemSelectionAllowed="1" showAll="0" defaultSubtotal="0">
      <items count="10">
        <item x="2"/>
        <item x="1"/>
        <item x="3"/>
        <item h="1" x="0"/>
        <item x="4"/>
        <item h="1" x="5"/>
        <item h="1" x="6"/>
        <item h="1" x="7"/>
        <item h="1" x="8"/>
        <item h="1" x="9"/>
      </items>
    </pivotField>
    <pivotField showAll="0" defaultSubtotal="0"/>
    <pivotField showAll="0" defaultSubtotal="0"/>
    <pivotField axis="axisRow" showAll="0" defaultSubtotal="0">
      <items count="16">
        <item x="1"/>
        <item x="2"/>
        <item x="3"/>
        <item x="4"/>
        <item x="5"/>
        <item x="6"/>
        <item x="7"/>
        <item x="8"/>
        <item x="0"/>
        <item x="9"/>
        <item x="10"/>
        <item x="11"/>
        <item x="12"/>
        <item x="13"/>
        <item x="14"/>
        <item x="15"/>
      </items>
    </pivotField>
    <pivotField showAl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s>
  <rowFields count="1">
    <field x="4"/>
  </rowFields>
  <rowItems count="16">
    <i>
      <x/>
    </i>
    <i>
      <x v="1"/>
    </i>
    <i>
      <x v="2"/>
    </i>
    <i>
      <x v="3"/>
    </i>
    <i>
      <x v="4"/>
    </i>
    <i>
      <x v="5"/>
    </i>
    <i>
      <x v="6"/>
    </i>
    <i>
      <x v="7"/>
    </i>
    <i>
      <x v="9"/>
    </i>
    <i>
      <x v="10"/>
    </i>
    <i>
      <x v="11"/>
    </i>
    <i>
      <x v="12"/>
    </i>
    <i>
      <x v="13"/>
    </i>
    <i>
      <x v="14"/>
    </i>
    <i>
      <x v="15"/>
    </i>
    <i t="grand">
      <x/>
    </i>
  </rowItems>
  <colFields count="1">
    <field x="-2"/>
  </colFields>
  <colItems count="4">
    <i>
      <x/>
    </i>
    <i i="1">
      <x v="1"/>
    </i>
    <i i="2">
      <x v="2"/>
    </i>
    <i i="3">
      <x v="3"/>
    </i>
  </colItems>
  <pageFields count="2">
    <pageField fld="1" hier="-1"/>
    <pageField fld="0" item="5" hier="-1"/>
  </pageFields>
  <dataFields count="4">
    <dataField name="Sum of Raw_ESC_Age-3" fld="10" baseField="0" baseItem="0"/>
    <dataField name="Sum of Raw_ESC_Age-4" fld="11" baseField="0" baseItem="0"/>
    <dataField name="Sum of Raw_ESC_Age-5" fld="12" baseField="0" baseItem="0"/>
    <dataField name="Sum of Raw_ESC_Age-6" fld="13" baseField="0" baseItem="0"/>
  </dataFields>
  <formats count="21">
    <format dxfId="20">
      <pivotArea grandRow="1" outline="0" collapsedLevelsAreSubtotals="1" fieldPosition="0"/>
    </format>
    <format dxfId="19">
      <pivotArea collapsedLevelsAreSubtotals="1" fieldPosition="0">
        <references count="1">
          <reference field="4" count="8">
            <x v="0"/>
            <x v="1"/>
            <x v="2"/>
            <x v="3"/>
            <x v="4"/>
            <x v="5"/>
            <x v="6"/>
            <x v="7"/>
          </reference>
        </references>
      </pivotArea>
    </format>
    <format dxfId="18">
      <pivotArea collapsedLevelsAreSubtotals="1" fieldPosition="0">
        <references count="1">
          <reference field="4" count="8">
            <x v="0"/>
            <x v="1"/>
            <x v="2"/>
            <x v="3"/>
            <x v="4"/>
            <x v="5"/>
            <x v="6"/>
            <x v="7"/>
          </reference>
        </references>
      </pivotArea>
    </format>
    <format dxfId="17">
      <pivotArea collapsedLevelsAreSubtotals="1" fieldPosition="0">
        <references count="1">
          <reference field="4" count="8">
            <x v="0"/>
            <x v="1"/>
            <x v="2"/>
            <x v="3"/>
            <x v="4"/>
            <x v="5"/>
            <x v="6"/>
            <x v="7"/>
          </reference>
        </references>
      </pivotArea>
    </format>
    <format dxfId="16">
      <pivotArea collapsedLevelsAreSubtotals="1" fieldPosition="0">
        <references count="1">
          <reference field="4" count="8">
            <x v="0"/>
            <x v="1"/>
            <x v="2"/>
            <x v="3"/>
            <x v="4"/>
            <x v="5"/>
            <x v="6"/>
            <x v="7"/>
          </reference>
        </references>
      </pivotArea>
    </format>
    <format dxfId="15">
      <pivotArea collapsedLevelsAreSubtotals="1" fieldPosition="0">
        <references count="1">
          <reference field="4" count="8">
            <x v="0"/>
            <x v="1"/>
            <x v="2"/>
            <x v="3"/>
            <x v="4"/>
            <x v="5"/>
            <x v="6"/>
            <x v="7"/>
          </reference>
        </references>
      </pivotArea>
    </format>
    <format dxfId="14">
      <pivotArea collapsedLevelsAreSubtotals="1" fieldPosition="0">
        <references count="1">
          <reference field="4" count="8">
            <x v="0"/>
            <x v="1"/>
            <x v="2"/>
            <x v="3"/>
            <x v="4"/>
            <x v="5"/>
            <x v="6"/>
            <x v="7"/>
          </reference>
        </references>
      </pivotArea>
    </format>
    <format dxfId="13">
      <pivotArea collapsedLevelsAreSubtotals="1" fieldPosition="0">
        <references count="1">
          <reference field="4" count="8">
            <x v="0"/>
            <x v="1"/>
            <x v="2"/>
            <x v="3"/>
            <x v="4"/>
            <x v="5"/>
            <x v="6"/>
            <x v="7"/>
          </reference>
        </references>
      </pivotArea>
    </format>
    <format dxfId="12">
      <pivotArea collapsedLevelsAreSubtotals="1" fieldPosition="0">
        <references count="1">
          <reference field="4" count="8">
            <x v="0"/>
            <x v="1"/>
            <x v="2"/>
            <x v="3"/>
            <x v="4"/>
            <x v="5"/>
            <x v="6"/>
            <x v="7"/>
          </reference>
        </references>
      </pivotArea>
    </format>
    <format dxfId="11">
      <pivotArea collapsedLevelsAreSubtotals="1" fieldPosition="0">
        <references count="1">
          <reference field="4" count="8">
            <x v="0"/>
            <x v="1"/>
            <x v="2"/>
            <x v="3"/>
            <x v="4"/>
            <x v="5"/>
            <x v="6"/>
            <x v="7"/>
          </reference>
        </references>
      </pivotArea>
    </format>
    <format dxfId="10">
      <pivotArea collapsedLevelsAreSubtotals="1" fieldPosition="0">
        <references count="1">
          <reference field="4" count="8">
            <x v="0"/>
            <x v="1"/>
            <x v="2"/>
            <x v="3"/>
            <x v="4"/>
            <x v="5"/>
            <x v="6"/>
            <x v="7"/>
          </reference>
        </references>
      </pivotArea>
    </format>
    <format dxfId="9">
      <pivotArea collapsedLevelsAreSubtotals="1" fieldPosition="0">
        <references count="2">
          <reference field="4294967294" count="3" selected="0">
            <x v="1"/>
            <x v="2"/>
            <x v="3"/>
          </reference>
          <reference field="4" count="2">
            <x v="9"/>
            <x v="10"/>
          </reference>
        </references>
      </pivotArea>
    </format>
    <format dxfId="8">
      <pivotArea collapsedLevelsAreSubtotals="1" fieldPosition="0">
        <references count="2">
          <reference field="4294967294" count="3" selected="0">
            <x v="1"/>
            <x v="2"/>
            <x v="3"/>
          </reference>
          <reference field="4" count="2">
            <x v="9"/>
            <x v="10"/>
          </reference>
        </references>
      </pivotArea>
    </format>
    <format dxfId="7">
      <pivotArea collapsedLevelsAreSubtotals="1" fieldPosition="0">
        <references count="2">
          <reference field="4294967294" count="3" selected="0">
            <x v="1"/>
            <x v="2"/>
            <x v="3"/>
          </reference>
          <reference field="4" count="2">
            <x v="9"/>
            <x v="10"/>
          </reference>
        </references>
      </pivotArea>
    </format>
    <format dxfId="6">
      <pivotArea collapsedLevelsAreSubtotals="1" fieldPosition="0">
        <references count="2">
          <reference field="4294967294" count="3" selected="0">
            <x v="1"/>
            <x v="2"/>
            <x v="3"/>
          </reference>
          <reference field="4" count="2">
            <x v="9"/>
            <x v="10"/>
          </reference>
        </references>
      </pivotArea>
    </format>
    <format dxfId="5">
      <pivotArea collapsedLevelsAreSubtotals="1" fieldPosition="0">
        <references count="2">
          <reference field="4294967294" count="3" selected="0">
            <x v="1"/>
            <x v="2"/>
            <x v="3"/>
          </reference>
          <reference field="4" count="2">
            <x v="9"/>
            <x v="10"/>
          </reference>
        </references>
      </pivotArea>
    </format>
    <format dxfId="4">
      <pivotArea collapsedLevelsAreSubtotals="1" fieldPosition="0">
        <references count="1">
          <reference field="4" count="1">
            <x v="11"/>
          </reference>
        </references>
      </pivotArea>
    </format>
    <format dxfId="3">
      <pivotArea collapsedLevelsAreSubtotals="1" fieldPosition="0">
        <references count="2">
          <reference field="4294967294" count="1" selected="0">
            <x v="0"/>
          </reference>
          <reference field="4" count="1">
            <x v="12"/>
          </reference>
        </references>
      </pivotArea>
    </format>
    <format dxfId="2">
      <pivotArea collapsedLevelsAreSubtotals="1" fieldPosition="0">
        <references count="2">
          <reference field="4294967294" count="1" selected="0">
            <x v="1"/>
          </reference>
          <reference field="4" count="1">
            <x v="12"/>
          </reference>
        </references>
      </pivotArea>
    </format>
    <format dxfId="1">
      <pivotArea collapsedLevelsAreSubtotals="1" fieldPosition="0">
        <references count="2">
          <reference field="4294967294" count="2" selected="0">
            <x v="2"/>
            <x v="3"/>
          </reference>
          <reference field="4" count="1">
            <x v="12"/>
          </reference>
        </references>
      </pivotArea>
    </format>
    <format dxfId="0">
      <pivotArea collapsedLevelsAreSubtotals="1" fieldPosition="0">
        <references count="1">
          <reference field="4" count="1">
            <x v="13"/>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 rowHeaderCaption="Year" fieldListSortAscending="1">
  <location ref="AR5:AV48" firstHeaderRow="1" firstDataRow="2" firstDataCol="1" rowPageCount="1" colPageCount="1"/>
  <pivotFields count="14">
    <pivotField axis="axisPage" showAll="0" defaultSubtotal="0">
      <items count="12">
        <item x="4"/>
        <item x="5"/>
        <item x="6"/>
        <item x="2"/>
        <item x="1"/>
        <item x="3"/>
        <item x="0"/>
        <item x="7"/>
        <item x="8"/>
        <item x="9"/>
        <item x="10"/>
        <item x="11"/>
      </items>
    </pivotField>
    <pivotField axis="axisRow" showAll="0">
      <items count="9">
        <item x="2"/>
        <item x="1"/>
        <item x="3"/>
        <item x="0"/>
        <item x="4"/>
        <item x="5"/>
        <item x="6"/>
        <item x="7"/>
        <item t="default"/>
      </items>
    </pivotField>
    <pivotField showAll="0" defaultSubtotal="0"/>
    <pivotField showAll="0" defaultSubtotal="0"/>
    <pivotField axis="axisRow" showAll="0" defaultSubtotal="0">
      <items count="14">
        <item x="1"/>
        <item x="2"/>
        <item x="3"/>
        <item x="4"/>
        <item x="5"/>
        <item x="6"/>
        <item x="7"/>
        <item x="8"/>
        <item x="0"/>
        <item x="9"/>
        <item x="10"/>
        <item x="11"/>
        <item x="12"/>
        <item x="13"/>
      </items>
    </pivotField>
    <pivotField showAll="0"/>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s>
  <rowFields count="2">
    <field x="1"/>
    <field x="4"/>
  </rowFields>
  <rowItems count="42">
    <i>
      <x/>
    </i>
    <i r="1">
      <x/>
    </i>
    <i r="1">
      <x v="1"/>
    </i>
    <i r="1">
      <x v="2"/>
    </i>
    <i r="1">
      <x v="3"/>
    </i>
    <i r="1">
      <x v="4"/>
    </i>
    <i r="1">
      <x v="5"/>
    </i>
    <i r="1">
      <x v="6"/>
    </i>
    <i r="1">
      <x v="7"/>
    </i>
    <i r="1">
      <x v="9"/>
    </i>
    <i r="1">
      <x v="11"/>
    </i>
    <i r="1">
      <x v="12"/>
    </i>
    <i r="1">
      <x v="13"/>
    </i>
    <i>
      <x v="1"/>
    </i>
    <i r="1">
      <x/>
    </i>
    <i r="1">
      <x v="1"/>
    </i>
    <i r="1">
      <x v="2"/>
    </i>
    <i r="1">
      <x v="3"/>
    </i>
    <i r="1">
      <x v="4"/>
    </i>
    <i r="1">
      <x v="5"/>
    </i>
    <i r="1">
      <x v="6"/>
    </i>
    <i r="1">
      <x v="7"/>
    </i>
    <i r="1">
      <x v="9"/>
    </i>
    <i r="1">
      <x v="11"/>
    </i>
    <i r="1">
      <x v="12"/>
    </i>
    <i r="1">
      <x v="13"/>
    </i>
    <i>
      <x v="2"/>
    </i>
    <i r="1">
      <x/>
    </i>
    <i r="1">
      <x v="1"/>
    </i>
    <i r="1">
      <x v="2"/>
    </i>
    <i r="1">
      <x v="3"/>
    </i>
    <i r="1">
      <x v="4"/>
    </i>
    <i r="1">
      <x v="5"/>
    </i>
    <i r="1">
      <x v="6"/>
    </i>
    <i r="1">
      <x v="7"/>
    </i>
    <i r="1">
      <x v="9"/>
    </i>
    <i r="1">
      <x v="11"/>
    </i>
    <i r="1">
      <x v="12"/>
    </i>
    <i r="1">
      <x v="13"/>
    </i>
    <i>
      <x v="4"/>
    </i>
    <i r="1">
      <x v="10"/>
    </i>
    <i t="grand">
      <x/>
    </i>
  </rowItems>
  <colFields count="1">
    <field x="-2"/>
  </colFields>
  <colItems count="4">
    <i>
      <x/>
    </i>
    <i i="1">
      <x v="1"/>
    </i>
    <i i="2">
      <x v="2"/>
    </i>
    <i i="3">
      <x v="3"/>
    </i>
  </colItems>
  <pageFields count="1">
    <pageField fld="0" item="5" hier="-1"/>
  </pageFields>
  <dataFields count="4">
    <dataField name="Sum of Raw_ESC_Age-3" fld="10" baseField="0" baseItem="0"/>
    <dataField name="Sum of Raw_ESC_Age-4" fld="11" baseField="0" baseItem="0"/>
    <dataField name="Sum of Raw_ESC_Age-5" fld="12" baseField="0" baseItem="0"/>
    <dataField name="Sum of Raw_ESC_Age-6" fld="13" baseField="0" baseItem="0"/>
  </dataFields>
  <formats count="79">
    <format dxfId="99">
      <pivotArea grandRow="1" outline="0" collapsedLevelsAreSubtotals="1" fieldPosition="0"/>
    </format>
    <format dxfId="98">
      <pivotArea collapsedLevelsAreSubtotals="1" fieldPosition="0">
        <references count="1">
          <reference field="1" count="1">
            <x v="0"/>
          </reference>
        </references>
      </pivotArea>
    </format>
    <format dxfId="97">
      <pivotArea collapsedLevelsAreSubtotals="1" fieldPosition="0">
        <references count="2">
          <reference field="1" count="1" selected="0">
            <x v="0"/>
          </reference>
          <reference field="4" count="8">
            <x v="0"/>
            <x v="1"/>
            <x v="2"/>
            <x v="3"/>
            <x v="4"/>
            <x v="5"/>
            <x v="6"/>
            <x v="7"/>
          </reference>
        </references>
      </pivotArea>
    </format>
    <format dxfId="96">
      <pivotArea collapsedLevelsAreSubtotals="1" fieldPosition="0">
        <references count="1">
          <reference field="1" count="1">
            <x v="1"/>
          </reference>
        </references>
      </pivotArea>
    </format>
    <format dxfId="95">
      <pivotArea collapsedLevelsAreSubtotals="1" fieldPosition="0">
        <references count="2">
          <reference field="1" count="1" selected="0">
            <x v="1"/>
          </reference>
          <reference field="4" count="8">
            <x v="0"/>
            <x v="1"/>
            <x v="2"/>
            <x v="3"/>
            <x v="4"/>
            <x v="5"/>
            <x v="6"/>
            <x v="7"/>
          </reference>
        </references>
      </pivotArea>
    </format>
    <format dxfId="94">
      <pivotArea collapsedLevelsAreSubtotals="1" fieldPosition="0">
        <references count="1">
          <reference field="1" count="1">
            <x v="2"/>
          </reference>
        </references>
      </pivotArea>
    </format>
    <format dxfId="93">
      <pivotArea collapsedLevelsAreSubtotals="1" fieldPosition="0">
        <references count="2">
          <reference field="1" count="1" selected="0">
            <x v="2"/>
          </reference>
          <reference field="4" count="8">
            <x v="0"/>
            <x v="1"/>
            <x v="2"/>
            <x v="3"/>
            <x v="4"/>
            <x v="5"/>
            <x v="6"/>
            <x v="7"/>
          </reference>
        </references>
      </pivotArea>
    </format>
    <format dxfId="92">
      <pivotArea collapsedLevelsAreSubtotals="1" fieldPosition="0">
        <references count="1">
          <reference field="1" count="1">
            <x v="0"/>
          </reference>
        </references>
      </pivotArea>
    </format>
    <format dxfId="91">
      <pivotArea collapsedLevelsAreSubtotals="1" fieldPosition="0">
        <references count="2">
          <reference field="1" count="1" selected="0">
            <x v="0"/>
          </reference>
          <reference field="4" count="8">
            <x v="0"/>
            <x v="1"/>
            <x v="2"/>
            <x v="3"/>
            <x v="4"/>
            <x v="5"/>
            <x v="6"/>
            <x v="7"/>
          </reference>
        </references>
      </pivotArea>
    </format>
    <format dxfId="90">
      <pivotArea collapsedLevelsAreSubtotals="1" fieldPosition="0">
        <references count="1">
          <reference field="1" count="1">
            <x v="1"/>
          </reference>
        </references>
      </pivotArea>
    </format>
    <format dxfId="89">
      <pivotArea collapsedLevelsAreSubtotals="1" fieldPosition="0">
        <references count="2">
          <reference field="1" count="1" selected="0">
            <x v="1"/>
          </reference>
          <reference field="4" count="8">
            <x v="0"/>
            <x v="1"/>
            <x v="2"/>
            <x v="3"/>
            <x v="4"/>
            <x v="5"/>
            <x v="6"/>
            <x v="7"/>
          </reference>
        </references>
      </pivotArea>
    </format>
    <format dxfId="88">
      <pivotArea collapsedLevelsAreSubtotals="1" fieldPosition="0">
        <references count="1">
          <reference field="1" count="1">
            <x v="2"/>
          </reference>
        </references>
      </pivotArea>
    </format>
    <format dxfId="87">
      <pivotArea collapsedLevelsAreSubtotals="1" fieldPosition="0">
        <references count="2">
          <reference field="1" count="1" selected="0">
            <x v="2"/>
          </reference>
          <reference field="4" count="8">
            <x v="0"/>
            <x v="1"/>
            <x v="2"/>
            <x v="3"/>
            <x v="4"/>
            <x v="5"/>
            <x v="6"/>
            <x v="7"/>
          </reference>
        </references>
      </pivotArea>
    </format>
    <format dxfId="86">
      <pivotArea collapsedLevelsAreSubtotals="1" fieldPosition="0">
        <references count="1">
          <reference field="1" count="1">
            <x v="0"/>
          </reference>
        </references>
      </pivotArea>
    </format>
    <format dxfId="85">
      <pivotArea collapsedLevelsAreSubtotals="1" fieldPosition="0">
        <references count="2">
          <reference field="1" count="1" selected="0">
            <x v="0"/>
          </reference>
          <reference field="4" count="8">
            <x v="0"/>
            <x v="1"/>
            <x v="2"/>
            <x v="3"/>
            <x v="4"/>
            <x v="5"/>
            <x v="6"/>
            <x v="7"/>
          </reference>
        </references>
      </pivotArea>
    </format>
    <format dxfId="84">
      <pivotArea collapsedLevelsAreSubtotals="1" fieldPosition="0">
        <references count="1">
          <reference field="1" count="1">
            <x v="1"/>
          </reference>
        </references>
      </pivotArea>
    </format>
    <format dxfId="83">
      <pivotArea collapsedLevelsAreSubtotals="1" fieldPosition="0">
        <references count="2">
          <reference field="1" count="1" selected="0">
            <x v="1"/>
          </reference>
          <reference field="4" count="8">
            <x v="0"/>
            <x v="1"/>
            <x v="2"/>
            <x v="3"/>
            <x v="4"/>
            <x v="5"/>
            <x v="6"/>
            <x v="7"/>
          </reference>
        </references>
      </pivotArea>
    </format>
    <format dxfId="82">
      <pivotArea collapsedLevelsAreSubtotals="1" fieldPosition="0">
        <references count="1">
          <reference field="1" count="1">
            <x v="2"/>
          </reference>
        </references>
      </pivotArea>
    </format>
    <format dxfId="81">
      <pivotArea collapsedLevelsAreSubtotals="1" fieldPosition="0">
        <references count="2">
          <reference field="1" count="1" selected="0">
            <x v="2"/>
          </reference>
          <reference field="4" count="8">
            <x v="0"/>
            <x v="1"/>
            <x v="2"/>
            <x v="3"/>
            <x v="4"/>
            <x v="5"/>
            <x v="6"/>
            <x v="7"/>
          </reference>
        </references>
      </pivotArea>
    </format>
    <format dxfId="80">
      <pivotArea collapsedLevelsAreSubtotals="1" fieldPosition="0">
        <references count="1">
          <reference field="1" count="1">
            <x v="0"/>
          </reference>
        </references>
      </pivotArea>
    </format>
    <format dxfId="79">
      <pivotArea collapsedLevelsAreSubtotals="1" fieldPosition="0">
        <references count="2">
          <reference field="1" count="1" selected="0">
            <x v="0"/>
          </reference>
          <reference field="4" count="8">
            <x v="0"/>
            <x v="1"/>
            <x v="2"/>
            <x v="3"/>
            <x v="4"/>
            <x v="5"/>
            <x v="6"/>
            <x v="7"/>
          </reference>
        </references>
      </pivotArea>
    </format>
    <format dxfId="78">
      <pivotArea collapsedLevelsAreSubtotals="1" fieldPosition="0">
        <references count="1">
          <reference field="1" count="1">
            <x v="1"/>
          </reference>
        </references>
      </pivotArea>
    </format>
    <format dxfId="77">
      <pivotArea collapsedLevelsAreSubtotals="1" fieldPosition="0">
        <references count="2">
          <reference field="1" count="1" selected="0">
            <x v="1"/>
          </reference>
          <reference field="4" count="8">
            <x v="0"/>
            <x v="1"/>
            <x v="2"/>
            <x v="3"/>
            <x v="4"/>
            <x v="5"/>
            <x v="6"/>
            <x v="7"/>
          </reference>
        </references>
      </pivotArea>
    </format>
    <format dxfId="76">
      <pivotArea collapsedLevelsAreSubtotals="1" fieldPosition="0">
        <references count="1">
          <reference field="1" count="1">
            <x v="2"/>
          </reference>
        </references>
      </pivotArea>
    </format>
    <format dxfId="75">
      <pivotArea collapsedLevelsAreSubtotals="1" fieldPosition="0">
        <references count="2">
          <reference field="1" count="1" selected="0">
            <x v="2"/>
          </reference>
          <reference field="4" count="8">
            <x v="0"/>
            <x v="1"/>
            <x v="2"/>
            <x v="3"/>
            <x v="4"/>
            <x v="5"/>
            <x v="6"/>
            <x v="7"/>
          </reference>
        </references>
      </pivotArea>
    </format>
    <format dxfId="74">
      <pivotArea collapsedLevelsAreSubtotals="1" fieldPosition="0">
        <references count="1">
          <reference field="1" count="1">
            <x v="0"/>
          </reference>
        </references>
      </pivotArea>
    </format>
    <format dxfId="73">
      <pivotArea collapsedLevelsAreSubtotals="1" fieldPosition="0">
        <references count="2">
          <reference field="1" count="1" selected="0">
            <x v="0"/>
          </reference>
          <reference field="4" count="8">
            <x v="0"/>
            <x v="1"/>
            <x v="2"/>
            <x v="3"/>
            <x v="4"/>
            <x v="5"/>
            <x v="6"/>
            <x v="7"/>
          </reference>
        </references>
      </pivotArea>
    </format>
    <format dxfId="72">
      <pivotArea collapsedLevelsAreSubtotals="1" fieldPosition="0">
        <references count="1">
          <reference field="1" count="1">
            <x v="1"/>
          </reference>
        </references>
      </pivotArea>
    </format>
    <format dxfId="71">
      <pivotArea collapsedLevelsAreSubtotals="1" fieldPosition="0">
        <references count="2">
          <reference field="1" count="1" selected="0">
            <x v="1"/>
          </reference>
          <reference field="4" count="8">
            <x v="0"/>
            <x v="1"/>
            <x v="2"/>
            <x v="3"/>
            <x v="4"/>
            <x v="5"/>
            <x v="6"/>
            <x v="7"/>
          </reference>
        </references>
      </pivotArea>
    </format>
    <format dxfId="70">
      <pivotArea collapsedLevelsAreSubtotals="1" fieldPosition="0">
        <references count="1">
          <reference field="1" count="1">
            <x v="2"/>
          </reference>
        </references>
      </pivotArea>
    </format>
    <format dxfId="69">
      <pivotArea collapsedLevelsAreSubtotals="1" fieldPosition="0">
        <references count="2">
          <reference field="1" count="1" selected="0">
            <x v="2"/>
          </reference>
          <reference field="4" count="8">
            <x v="0"/>
            <x v="1"/>
            <x v="2"/>
            <x v="3"/>
            <x v="4"/>
            <x v="5"/>
            <x v="6"/>
            <x v="7"/>
          </reference>
        </references>
      </pivotArea>
    </format>
    <format dxfId="68">
      <pivotArea collapsedLevelsAreSubtotals="1" fieldPosition="0">
        <references count="1">
          <reference field="1" count="1">
            <x v="0"/>
          </reference>
        </references>
      </pivotArea>
    </format>
    <format dxfId="67">
      <pivotArea collapsedLevelsAreSubtotals="1" fieldPosition="0">
        <references count="2">
          <reference field="1" count="1" selected="0">
            <x v="0"/>
          </reference>
          <reference field="4" count="8">
            <x v="0"/>
            <x v="1"/>
            <x v="2"/>
            <x v="3"/>
            <x v="4"/>
            <x v="5"/>
            <x v="6"/>
            <x v="7"/>
          </reference>
        </references>
      </pivotArea>
    </format>
    <format dxfId="66">
      <pivotArea collapsedLevelsAreSubtotals="1" fieldPosition="0">
        <references count="1">
          <reference field="1" count="1">
            <x v="1"/>
          </reference>
        </references>
      </pivotArea>
    </format>
    <format dxfId="65">
      <pivotArea collapsedLevelsAreSubtotals="1" fieldPosition="0">
        <references count="2">
          <reference field="1" count="1" selected="0">
            <x v="1"/>
          </reference>
          <reference field="4" count="8">
            <x v="0"/>
            <x v="1"/>
            <x v="2"/>
            <x v="3"/>
            <x v="4"/>
            <x v="5"/>
            <x v="6"/>
            <x v="7"/>
          </reference>
        </references>
      </pivotArea>
    </format>
    <format dxfId="64">
      <pivotArea collapsedLevelsAreSubtotals="1" fieldPosition="0">
        <references count="1">
          <reference field="1" count="1">
            <x v="2"/>
          </reference>
        </references>
      </pivotArea>
    </format>
    <format dxfId="63">
      <pivotArea collapsedLevelsAreSubtotals="1" fieldPosition="0">
        <references count="2">
          <reference field="1" count="1" selected="0">
            <x v="2"/>
          </reference>
          <reference field="4" count="8">
            <x v="0"/>
            <x v="1"/>
            <x v="2"/>
            <x v="3"/>
            <x v="4"/>
            <x v="5"/>
            <x v="6"/>
            <x v="7"/>
          </reference>
        </references>
      </pivotArea>
    </format>
    <format dxfId="62">
      <pivotArea collapsedLevelsAreSubtotals="1" fieldPosition="0">
        <references count="1">
          <reference field="1" count="1">
            <x v="0"/>
          </reference>
        </references>
      </pivotArea>
    </format>
    <format dxfId="61">
      <pivotArea collapsedLevelsAreSubtotals="1" fieldPosition="0">
        <references count="2">
          <reference field="1" count="1" selected="0">
            <x v="0"/>
          </reference>
          <reference field="4" count="8">
            <x v="0"/>
            <x v="1"/>
            <x v="2"/>
            <x v="3"/>
            <x v="4"/>
            <x v="5"/>
            <x v="6"/>
            <x v="7"/>
          </reference>
        </references>
      </pivotArea>
    </format>
    <format dxfId="60">
      <pivotArea collapsedLevelsAreSubtotals="1" fieldPosition="0">
        <references count="1">
          <reference field="1" count="1">
            <x v="1"/>
          </reference>
        </references>
      </pivotArea>
    </format>
    <format dxfId="59">
      <pivotArea collapsedLevelsAreSubtotals="1" fieldPosition="0">
        <references count="2">
          <reference field="1" count="1" selected="0">
            <x v="1"/>
          </reference>
          <reference field="4" count="8">
            <x v="0"/>
            <x v="1"/>
            <x v="2"/>
            <x v="3"/>
            <x v="4"/>
            <x v="5"/>
            <x v="6"/>
            <x v="7"/>
          </reference>
        </references>
      </pivotArea>
    </format>
    <format dxfId="58">
      <pivotArea collapsedLevelsAreSubtotals="1" fieldPosition="0">
        <references count="1">
          <reference field="1" count="1">
            <x v="2"/>
          </reference>
        </references>
      </pivotArea>
    </format>
    <format dxfId="57">
      <pivotArea collapsedLevelsAreSubtotals="1" fieldPosition="0">
        <references count="2">
          <reference field="1" count="1" selected="0">
            <x v="2"/>
          </reference>
          <reference field="4" count="8">
            <x v="0"/>
            <x v="1"/>
            <x v="2"/>
            <x v="3"/>
            <x v="4"/>
            <x v="5"/>
            <x v="6"/>
            <x v="7"/>
          </reference>
        </references>
      </pivotArea>
    </format>
    <format dxfId="56">
      <pivotArea collapsedLevelsAreSubtotals="1" fieldPosition="0">
        <references count="1">
          <reference field="1" count="1">
            <x v="0"/>
          </reference>
        </references>
      </pivotArea>
    </format>
    <format dxfId="55">
      <pivotArea collapsedLevelsAreSubtotals="1" fieldPosition="0">
        <references count="2">
          <reference field="1" count="1" selected="0">
            <x v="0"/>
          </reference>
          <reference field="4" count="8">
            <x v="0"/>
            <x v="1"/>
            <x v="2"/>
            <x v="3"/>
            <x v="4"/>
            <x v="5"/>
            <x v="6"/>
            <x v="7"/>
          </reference>
        </references>
      </pivotArea>
    </format>
    <format dxfId="54">
      <pivotArea collapsedLevelsAreSubtotals="1" fieldPosition="0">
        <references count="1">
          <reference field="1" count="1">
            <x v="1"/>
          </reference>
        </references>
      </pivotArea>
    </format>
    <format dxfId="53">
      <pivotArea collapsedLevelsAreSubtotals="1" fieldPosition="0">
        <references count="2">
          <reference field="1" count="1" selected="0">
            <x v="1"/>
          </reference>
          <reference field="4" count="8">
            <x v="0"/>
            <x v="1"/>
            <x v="2"/>
            <x v="3"/>
            <x v="4"/>
            <x v="5"/>
            <x v="6"/>
            <x v="7"/>
          </reference>
        </references>
      </pivotArea>
    </format>
    <format dxfId="52">
      <pivotArea collapsedLevelsAreSubtotals="1" fieldPosition="0">
        <references count="1">
          <reference field="1" count="1">
            <x v="2"/>
          </reference>
        </references>
      </pivotArea>
    </format>
    <format dxfId="51">
      <pivotArea collapsedLevelsAreSubtotals="1" fieldPosition="0">
        <references count="2">
          <reference field="1" count="1" selected="0">
            <x v="2"/>
          </reference>
          <reference field="4" count="8">
            <x v="0"/>
            <x v="1"/>
            <x v="2"/>
            <x v="3"/>
            <x v="4"/>
            <x v="5"/>
            <x v="6"/>
            <x v="7"/>
          </reference>
        </references>
      </pivotArea>
    </format>
    <format dxfId="50">
      <pivotArea collapsedLevelsAreSubtotals="1" fieldPosition="0">
        <references count="1">
          <reference field="1" count="1">
            <x v="0"/>
          </reference>
        </references>
      </pivotArea>
    </format>
    <format dxfId="49">
      <pivotArea collapsedLevelsAreSubtotals="1" fieldPosition="0">
        <references count="2">
          <reference field="1" count="1" selected="0">
            <x v="0"/>
          </reference>
          <reference field="4" count="8">
            <x v="0"/>
            <x v="1"/>
            <x v="2"/>
            <x v="3"/>
            <x v="4"/>
            <x v="5"/>
            <x v="6"/>
            <x v="7"/>
          </reference>
        </references>
      </pivotArea>
    </format>
    <format dxfId="48">
      <pivotArea collapsedLevelsAreSubtotals="1" fieldPosition="0">
        <references count="1">
          <reference field="1" count="1">
            <x v="1"/>
          </reference>
        </references>
      </pivotArea>
    </format>
    <format dxfId="47">
      <pivotArea collapsedLevelsAreSubtotals="1" fieldPosition="0">
        <references count="2">
          <reference field="1" count="1" selected="0">
            <x v="1"/>
          </reference>
          <reference field="4" count="8">
            <x v="0"/>
            <x v="1"/>
            <x v="2"/>
            <x v="3"/>
            <x v="4"/>
            <x v="5"/>
            <x v="6"/>
            <x v="7"/>
          </reference>
        </references>
      </pivotArea>
    </format>
    <format dxfId="46">
      <pivotArea collapsedLevelsAreSubtotals="1" fieldPosition="0">
        <references count="1">
          <reference field="1" count="1">
            <x v="2"/>
          </reference>
        </references>
      </pivotArea>
    </format>
    <format dxfId="45">
      <pivotArea collapsedLevelsAreSubtotals="1" fieldPosition="0">
        <references count="2">
          <reference field="1" count="1" selected="0">
            <x v="2"/>
          </reference>
          <reference field="4" count="8">
            <x v="0"/>
            <x v="1"/>
            <x v="2"/>
            <x v="3"/>
            <x v="4"/>
            <x v="5"/>
            <x v="6"/>
            <x v="7"/>
          </reference>
        </references>
      </pivotArea>
    </format>
    <format dxfId="44">
      <pivotArea collapsedLevelsAreSubtotals="1" fieldPosition="0">
        <references count="1">
          <reference field="1" count="1">
            <x v="0"/>
          </reference>
        </references>
      </pivotArea>
    </format>
    <format dxfId="43">
      <pivotArea collapsedLevelsAreSubtotals="1" fieldPosition="0">
        <references count="2">
          <reference field="1" count="1" selected="0">
            <x v="0"/>
          </reference>
          <reference field="4" count="8">
            <x v="0"/>
            <x v="1"/>
            <x v="2"/>
            <x v="3"/>
            <x v="4"/>
            <x v="5"/>
            <x v="6"/>
            <x v="7"/>
          </reference>
        </references>
      </pivotArea>
    </format>
    <format dxfId="42">
      <pivotArea collapsedLevelsAreSubtotals="1" fieldPosition="0">
        <references count="1">
          <reference field="1" count="1">
            <x v="1"/>
          </reference>
        </references>
      </pivotArea>
    </format>
    <format dxfId="41">
      <pivotArea collapsedLevelsAreSubtotals="1" fieldPosition="0">
        <references count="2">
          <reference field="1" count="1" selected="0">
            <x v="1"/>
          </reference>
          <reference field="4" count="8">
            <x v="0"/>
            <x v="1"/>
            <x v="2"/>
            <x v="3"/>
            <x v="4"/>
            <x v="5"/>
            <x v="6"/>
            <x v="7"/>
          </reference>
        </references>
      </pivotArea>
    </format>
    <format dxfId="40">
      <pivotArea collapsedLevelsAreSubtotals="1" fieldPosition="0">
        <references count="1">
          <reference field="1" count="1">
            <x v="2"/>
          </reference>
        </references>
      </pivotArea>
    </format>
    <format dxfId="39">
      <pivotArea collapsedLevelsAreSubtotals="1" fieldPosition="0">
        <references count="2">
          <reference field="1" count="1" selected="0">
            <x v="2"/>
          </reference>
          <reference field="4" count="8">
            <x v="0"/>
            <x v="1"/>
            <x v="2"/>
            <x v="3"/>
            <x v="4"/>
            <x v="5"/>
            <x v="6"/>
            <x v="7"/>
          </reference>
        </references>
      </pivotArea>
    </format>
    <format dxfId="38">
      <pivotArea collapsedLevelsAreSubtotals="1" fieldPosition="0">
        <references count="1">
          <reference field="1" count="1">
            <x v="0"/>
          </reference>
        </references>
      </pivotArea>
    </format>
    <format dxfId="37">
      <pivotArea collapsedLevelsAreSubtotals="1" fieldPosition="0">
        <references count="2">
          <reference field="1" count="1" selected="0">
            <x v="0"/>
          </reference>
          <reference field="4" count="8">
            <x v="0"/>
            <x v="1"/>
            <x v="2"/>
            <x v="3"/>
            <x v="4"/>
            <x v="5"/>
            <x v="6"/>
            <x v="7"/>
          </reference>
        </references>
      </pivotArea>
    </format>
    <format dxfId="36">
      <pivotArea collapsedLevelsAreSubtotals="1" fieldPosition="0">
        <references count="1">
          <reference field="1" count="1">
            <x v="1"/>
          </reference>
        </references>
      </pivotArea>
    </format>
    <format dxfId="35">
      <pivotArea collapsedLevelsAreSubtotals="1" fieldPosition="0">
        <references count="2">
          <reference field="1" count="1" selected="0">
            <x v="1"/>
          </reference>
          <reference field="4" count="8">
            <x v="0"/>
            <x v="1"/>
            <x v="2"/>
            <x v="3"/>
            <x v="4"/>
            <x v="5"/>
            <x v="6"/>
            <x v="7"/>
          </reference>
        </references>
      </pivotArea>
    </format>
    <format dxfId="34">
      <pivotArea collapsedLevelsAreSubtotals="1" fieldPosition="0">
        <references count="1">
          <reference field="1" count="1">
            <x v="2"/>
          </reference>
        </references>
      </pivotArea>
    </format>
    <format dxfId="33">
      <pivotArea collapsedLevelsAreSubtotals="1" fieldPosition="0">
        <references count="2">
          <reference field="1" count="1" selected="0">
            <x v="2"/>
          </reference>
          <reference field="4" count="8">
            <x v="0"/>
            <x v="1"/>
            <x v="2"/>
            <x v="3"/>
            <x v="4"/>
            <x v="5"/>
            <x v="6"/>
            <x v="7"/>
          </reference>
        </references>
      </pivotArea>
    </format>
    <format dxfId="32">
      <pivotArea collapsedLevelsAreSubtotals="1" fieldPosition="0">
        <references count="1">
          <reference field="1" count="1">
            <x v="0"/>
          </reference>
        </references>
      </pivotArea>
    </format>
    <format dxfId="31">
      <pivotArea collapsedLevelsAreSubtotals="1" fieldPosition="0">
        <references count="2">
          <reference field="1" count="1" selected="0">
            <x v="0"/>
          </reference>
          <reference field="4" count="8">
            <x v="0"/>
            <x v="1"/>
            <x v="2"/>
            <x v="3"/>
            <x v="4"/>
            <x v="5"/>
            <x v="6"/>
            <x v="7"/>
          </reference>
        </references>
      </pivotArea>
    </format>
    <format dxfId="30">
      <pivotArea collapsedLevelsAreSubtotals="1" fieldPosition="0">
        <references count="1">
          <reference field="1" count="1">
            <x v="1"/>
          </reference>
        </references>
      </pivotArea>
    </format>
    <format dxfId="29">
      <pivotArea collapsedLevelsAreSubtotals="1" fieldPosition="0">
        <references count="2">
          <reference field="1" count="1" selected="0">
            <x v="1"/>
          </reference>
          <reference field="4" count="8">
            <x v="0"/>
            <x v="1"/>
            <x v="2"/>
            <x v="3"/>
            <x v="4"/>
            <x v="5"/>
            <x v="6"/>
            <x v="7"/>
          </reference>
        </references>
      </pivotArea>
    </format>
    <format dxfId="28">
      <pivotArea collapsedLevelsAreSubtotals="1" fieldPosition="0">
        <references count="1">
          <reference field="1" count="1">
            <x v="2"/>
          </reference>
        </references>
      </pivotArea>
    </format>
    <format dxfId="27">
      <pivotArea collapsedLevelsAreSubtotals="1" fieldPosition="0">
        <references count="2">
          <reference field="1" count="1" selected="0">
            <x v="2"/>
          </reference>
          <reference field="4" count="8">
            <x v="0"/>
            <x v="1"/>
            <x v="2"/>
            <x v="3"/>
            <x v="4"/>
            <x v="5"/>
            <x v="6"/>
            <x v="7"/>
          </reference>
        </references>
      </pivotArea>
    </format>
    <format dxfId="26">
      <pivotArea collapsedLevelsAreSubtotals="1" fieldPosition="0">
        <references count="1">
          <reference field="1" count="1">
            <x v="0"/>
          </reference>
        </references>
      </pivotArea>
    </format>
    <format dxfId="25">
      <pivotArea collapsedLevelsAreSubtotals="1" fieldPosition="0">
        <references count="2">
          <reference field="1" count="1" selected="0">
            <x v="0"/>
          </reference>
          <reference field="4" count="8">
            <x v="0"/>
            <x v="1"/>
            <x v="2"/>
            <x v="3"/>
            <x v="4"/>
            <x v="5"/>
            <x v="6"/>
            <x v="7"/>
          </reference>
        </references>
      </pivotArea>
    </format>
    <format dxfId="24">
      <pivotArea collapsedLevelsAreSubtotals="1" fieldPosition="0">
        <references count="1">
          <reference field="1" count="1">
            <x v="1"/>
          </reference>
        </references>
      </pivotArea>
    </format>
    <format dxfId="23">
      <pivotArea collapsedLevelsAreSubtotals="1" fieldPosition="0">
        <references count="2">
          <reference field="1" count="1" selected="0">
            <x v="1"/>
          </reference>
          <reference field="4" count="8">
            <x v="0"/>
            <x v="1"/>
            <x v="2"/>
            <x v="3"/>
            <x v="4"/>
            <x v="5"/>
            <x v="6"/>
            <x v="7"/>
          </reference>
        </references>
      </pivotArea>
    </format>
    <format dxfId="22">
      <pivotArea collapsedLevelsAreSubtotals="1" fieldPosition="0">
        <references count="1">
          <reference field="1" count="1">
            <x v="2"/>
          </reference>
        </references>
      </pivotArea>
    </format>
    <format dxfId="21">
      <pivotArea collapsedLevelsAreSubtotals="1" fieldPosition="0">
        <references count="2">
          <reference field="1" count="1" selected="0">
            <x v="2"/>
          </reference>
          <reference field="4" count="8">
            <x v="0"/>
            <x v="1"/>
            <x v="2"/>
            <x v="3"/>
            <x v="4"/>
            <x v="5"/>
            <x v="6"/>
            <x v="7"/>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E46" firstHeaderRow="2" firstDataRow="2" firstDataCol="4"/>
  <pivotFields count="5">
    <pivotField axis="axisRow" compact="0" outline="0" showAll="0" defaultSubtotal="0">
      <items count="11">
        <item x="1"/>
        <item x="2"/>
        <item x="3"/>
        <item x="4"/>
        <item x="5"/>
        <item x="6"/>
        <item x="7"/>
        <item x="8"/>
        <item x="9"/>
        <item x="0"/>
        <item x="10"/>
      </items>
    </pivotField>
    <pivotField axis="axisRow" compact="0" outline="0" showAll="0" defaultSubtotal="0">
      <items count="5">
        <item x="1"/>
        <item x="2"/>
        <item x="3"/>
        <item x="4"/>
        <item x="0"/>
      </items>
    </pivotField>
    <pivotField axis="axisRow" compact="0" outline="0" showAll="0" defaultSubtotal="0">
      <items count="14">
        <item x="4"/>
        <item x="3"/>
        <item x="2"/>
        <item x="1"/>
        <item x="5"/>
        <item x="6"/>
        <item x="7"/>
        <item x="8"/>
        <item x="9"/>
        <item x="10"/>
        <item x="11"/>
        <item x="12"/>
        <item x="0"/>
        <item x="13"/>
      </items>
    </pivotField>
    <pivotField axis="axisRow" compact="0" outline="0" showAll="0">
      <items count="4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0"/>
        <item x="37"/>
        <item x="38"/>
        <item x="39"/>
        <item x="40"/>
        <item t="default"/>
      </items>
    </pivotField>
    <pivotField dataField="1" compact="0" outline="0" showAll="0"/>
  </pivotFields>
  <rowFields count="4">
    <field x="0"/>
    <field x="1"/>
    <field x="2"/>
    <field x="3"/>
  </rowFields>
  <rowItems count="42">
    <i>
      <x/>
      <x/>
      <x v="3"/>
      <x/>
    </i>
    <i r="1">
      <x v="1"/>
      <x v="2"/>
      <x v="1"/>
    </i>
    <i r="1">
      <x v="2"/>
      <x v="1"/>
      <x v="2"/>
    </i>
    <i r="1">
      <x v="3"/>
      <x/>
      <x v="3"/>
    </i>
    <i>
      <x v="1"/>
      <x/>
      <x v="4"/>
      <x v="4"/>
    </i>
    <i r="1">
      <x v="1"/>
      <x v="3"/>
      <x v="5"/>
    </i>
    <i r="1">
      <x v="2"/>
      <x v="2"/>
      <x v="6"/>
    </i>
    <i r="1">
      <x v="3"/>
      <x v="1"/>
      <x v="7"/>
    </i>
    <i>
      <x v="2"/>
      <x/>
      <x v="5"/>
      <x v="8"/>
    </i>
    <i r="1">
      <x v="1"/>
      <x v="4"/>
      <x v="9"/>
    </i>
    <i r="1">
      <x v="2"/>
      <x v="3"/>
      <x v="10"/>
    </i>
    <i r="1">
      <x v="3"/>
      <x v="2"/>
      <x v="11"/>
    </i>
    <i>
      <x v="3"/>
      <x/>
      <x v="6"/>
      <x v="12"/>
    </i>
    <i r="1">
      <x v="1"/>
      <x v="5"/>
      <x v="13"/>
    </i>
    <i r="1">
      <x v="2"/>
      <x v="4"/>
      <x v="14"/>
    </i>
    <i r="1">
      <x v="3"/>
      <x v="3"/>
      <x v="15"/>
    </i>
    <i>
      <x v="4"/>
      <x/>
      <x v="7"/>
      <x v="16"/>
    </i>
    <i r="1">
      <x v="1"/>
      <x v="6"/>
      <x v="17"/>
    </i>
    <i r="1">
      <x v="2"/>
      <x v="5"/>
      <x v="18"/>
    </i>
    <i r="1">
      <x v="3"/>
      <x v="4"/>
      <x v="19"/>
    </i>
    <i>
      <x v="5"/>
      <x/>
      <x v="8"/>
      <x v="20"/>
    </i>
    <i r="1">
      <x v="1"/>
      <x v="7"/>
      <x v="21"/>
    </i>
    <i r="1">
      <x v="2"/>
      <x v="6"/>
      <x v="22"/>
    </i>
    <i r="1">
      <x v="3"/>
      <x v="5"/>
      <x v="23"/>
    </i>
    <i>
      <x v="6"/>
      <x/>
      <x v="9"/>
      <x v="24"/>
    </i>
    <i r="1">
      <x v="1"/>
      <x v="8"/>
      <x v="25"/>
    </i>
    <i r="1">
      <x v="2"/>
      <x v="7"/>
      <x v="26"/>
    </i>
    <i r="1">
      <x v="3"/>
      <x v="6"/>
      <x v="27"/>
    </i>
    <i>
      <x v="7"/>
      <x/>
      <x v="10"/>
      <x v="28"/>
    </i>
    <i r="1">
      <x v="1"/>
      <x v="9"/>
      <x v="29"/>
    </i>
    <i r="1">
      <x v="2"/>
      <x v="8"/>
      <x v="30"/>
    </i>
    <i r="1">
      <x v="3"/>
      <x v="7"/>
      <x v="31"/>
    </i>
    <i>
      <x v="8"/>
      <x/>
      <x v="11"/>
      <x v="32"/>
    </i>
    <i r="1">
      <x v="1"/>
      <x v="10"/>
      <x v="33"/>
    </i>
    <i r="1">
      <x v="2"/>
      <x v="9"/>
      <x v="34"/>
    </i>
    <i r="1">
      <x v="3"/>
      <x v="8"/>
      <x v="35"/>
    </i>
    <i>
      <x v="9"/>
      <x v="4"/>
      <x v="12"/>
      <x v="36"/>
    </i>
    <i>
      <x v="10"/>
      <x/>
      <x v="13"/>
      <x v="37"/>
    </i>
    <i r="1">
      <x v="1"/>
      <x v="11"/>
      <x v="38"/>
    </i>
    <i r="1">
      <x v="2"/>
      <x v="10"/>
      <x v="39"/>
    </i>
    <i r="1">
      <x v="3"/>
      <x v="9"/>
      <x v="40"/>
    </i>
    <i t="grand">
      <x/>
    </i>
  </rowItems>
  <colItems count="1">
    <i/>
  </colItems>
  <dataFields count="1">
    <dataField name="Average of unclipped fish" fld="4"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80" dT="2023-01-26T21:27:59.63" personId="{B668B702-F4A3-4F33-8A06-833183C84E8E}" id="{D17EDF3D-B49E-4AFD-88BC-EC3D4C3C1EAA}">
    <text>Arbeider 2023-01-26: CWT Spreadsheet had a recovery AND only Age 3 are possible for clipped fish. Not sure why this cell was left empty prior.</text>
  </threadedComment>
  <threadedComment ref="F243" dT="2022-03-16T22:52:22.11" personId="{AB15CF5A-2253-4934-9861-5A21FA4C87DF}" id="{BBB57278-2317-4464-A6D0-CDBCD56F969A}">
    <text>Do the hatchery numbers need to be revised for 2020?</text>
  </threadedComment>
  <threadedComment ref="F243" dT="2023-02-02T23:01:19.71" personId="{B668B702-F4A3-4F33-8A06-833183C84E8E}" id="{8E030084-6360-41E5-805E-3A6702FF72CA}" parentId="{BBB57278-2317-4464-A6D0-CDBCD56F969A}">
    <text>Entered 46 M and 42 F from the Daily Field Activity excel. Not showing in SEP EPAD database. Will follow-up</text>
  </threadedComment>
  <threadedComment ref="F267" dT="2022-03-16T22:45:12.30" personId="{AB15CF5A-2253-4934-9861-5A21FA4C87DF}" id="{DA5C99D8-4EFB-4630-9F79-B855624BAEEB}">
    <text>'Broodstock' numbers used from the SEP file for 2021, is that correct? In 2020 'sacrifices and morts' data was used (there was no 'broodstock' data in the SEP file in 2020).</text>
  </threadedComment>
  <threadedComment ref="F267" dT="2023-02-02T22:56:15.21" personId="{B668B702-F4A3-4F33-8A06-833183C84E8E}" id="{44546D45-CE10-4BF8-867F-42EC76220446}" parentId="{DA5C99D8-4EFB-4630-9F79-B855624BAEEB}">
    <text>2020 is weird. 2021 is good. Verified.</text>
  </threadedComment>
  <threadedComment ref="G281" dT="2023-01-26T21:17:24.19" personId="{B668B702-F4A3-4F33-8A06-833183C84E8E}" id="{FC720594-1003-40EE-9A64-A08749BC30BA}">
    <text>No recoveries. Leave cells blank as columns K:N require blanks to operate in this case.</text>
  </threadedComment>
  <threadedComment ref="K281" dT="2023-01-25T23:13:40.74" personId="{B668B702-F4A3-4F33-8A06-833183C84E8E}" id="{686B3023-FAB4-4CB7-AFCA-F4DA89F5441A}">
    <text>Arbeider Edit 2023-01-25: Assuming that Petersen Tagged "Jacks" had the same age structure as recovered, untagged "Jacks".
NOTE THAT THIS IS DIFFERENT APPROACH THAN ALL OTHER YEARS.</text>
  </threadedComment>
  <threadedComment ref="F290" dT="2023-01-20T21:41:00.28" personId="{B668B702-F4A3-4F33-8A06-833183C84E8E}" id="{1DD15BC9-3B71-43E6-BA00-11F1A69395B7}">
    <text>Sex Corrected, includes 1 NR Adipose Status, but all Absent were Sacrificed.</text>
  </threadedComment>
  <threadedComment ref="H297" dT="2023-01-20T21:55:17.80" personId="{B668B702-F4A3-4F33-8A06-833183C84E8E}" id="{BBA9B6DA-23D7-464A-8FBF-CEC5B16AA01F}">
    <text>Yes, Males and Females really were both 77!!</text>
  </threadedComment>
  <threadedComment ref="F298" dT="2023-01-20T21:41:11.02" personId="{B668B702-F4A3-4F33-8A06-833183C84E8E}" id="{8D8087D5-A3AD-425E-B9A5-E62EE7C61CA8}">
    <text>Sex Corrected</text>
  </threadedComment>
</ThreadedComments>
</file>

<file path=xl/threadedComments/threadedComment2.xml><?xml version="1.0" encoding="utf-8"?>
<ThreadedComments xmlns="http://schemas.microsoft.com/office/spreadsheetml/2018/threadedcomments" xmlns:x="http://schemas.openxmlformats.org/spreadsheetml/2006/main">
  <threadedComment ref="G36" dT="2023-01-26T21:34:56.47" personId="{B668B702-F4A3-4F33-8A06-833183C84E8E}" id="{B03701B7-F760-47A7-96D5-4B0FB094DFA4}">
    <text>No Age 5 or 6 CWT possible.</text>
  </threadedComment>
  <threadedComment ref="H40" dT="2023-01-26T21:35:12.83" personId="{B668B702-F4A3-4F33-8A06-833183C84E8E}" id="{840BC59C-D5B8-4ADA-828E-7578F43FA680}">
    <text>No Age 6 CWT possible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2"/>
  <sheetViews>
    <sheetView zoomScale="90" zoomScaleNormal="90" workbookViewId="0">
      <pane xSplit="2" ySplit="7" topLeftCell="C333" activePane="bottomRight" state="frozen"/>
      <selection pane="topRight" activeCell="C1" sqref="C1"/>
      <selection pane="bottomLeft" activeCell="A7" sqref="A7"/>
      <selection pane="bottomRight" activeCell="K357" sqref="K357"/>
    </sheetView>
  </sheetViews>
  <sheetFormatPr defaultColWidth="9.140625" defaultRowHeight="15" x14ac:dyDescent="0.25"/>
  <cols>
    <col min="1" max="1" width="19.140625" style="6" customWidth="1"/>
    <col min="2" max="2" width="18.140625" style="6" customWidth="1"/>
    <col min="3" max="3" width="15.42578125" style="6" customWidth="1"/>
    <col min="4" max="4" width="18.140625" style="6" customWidth="1"/>
    <col min="5" max="5" width="9.140625" style="6"/>
    <col min="6" max="6" width="18.85546875" style="6" customWidth="1"/>
    <col min="7" max="8" width="9.140625" style="6"/>
    <col min="9" max="9" width="11.85546875" style="6" customWidth="1"/>
    <col min="10" max="11" width="15" style="6" customWidth="1"/>
    <col min="12" max="12" width="13.42578125" style="6" customWidth="1"/>
    <col min="13" max="13" width="11" style="6" customWidth="1"/>
    <col min="14" max="14" width="11.140625" style="6" customWidth="1"/>
    <col min="15" max="15" width="14.5703125" style="6" customWidth="1"/>
    <col min="16" max="16" width="13.140625" style="6" customWidth="1"/>
    <col min="17" max="20" width="10.140625" style="6" bestFit="1" customWidth="1"/>
    <col min="21" max="16384" width="9.140625" style="6"/>
  </cols>
  <sheetData>
    <row r="1" spans="1:18" x14ac:dyDescent="0.25">
      <c r="A1" s="116" t="s">
        <v>3126</v>
      </c>
    </row>
    <row r="2" spans="1:18" x14ac:dyDescent="0.25">
      <c r="A2" s="7" t="s">
        <v>28</v>
      </c>
    </row>
    <row r="3" spans="1:18" x14ac:dyDescent="0.25">
      <c r="A3" s="23" t="s">
        <v>5</v>
      </c>
    </row>
    <row r="4" spans="1:18" x14ac:dyDescent="0.25">
      <c r="A4" s="6" t="s">
        <v>3</v>
      </c>
    </row>
    <row r="5" spans="1:18" x14ac:dyDescent="0.25">
      <c r="A5" s="6" t="s">
        <v>3130</v>
      </c>
    </row>
    <row r="6" spans="1:18" x14ac:dyDescent="0.25">
      <c r="G6" s="6" t="s">
        <v>4</v>
      </c>
      <c r="L6" s="6" t="s">
        <v>29</v>
      </c>
    </row>
    <row r="7" spans="1:18" x14ac:dyDescent="0.25">
      <c r="A7" s="1" t="s">
        <v>30</v>
      </c>
      <c r="B7" s="1" t="s">
        <v>31</v>
      </c>
      <c r="C7" s="1" t="s">
        <v>32</v>
      </c>
      <c r="D7" s="1" t="s">
        <v>33</v>
      </c>
      <c r="E7" s="1" t="s">
        <v>0</v>
      </c>
      <c r="F7" s="1" t="s">
        <v>1</v>
      </c>
      <c r="G7" s="2" t="s">
        <v>34</v>
      </c>
      <c r="H7" s="2" t="s">
        <v>35</v>
      </c>
      <c r="I7" s="2" t="s">
        <v>36</v>
      </c>
      <c r="J7" s="2" t="s">
        <v>37</v>
      </c>
      <c r="K7" s="1" t="s">
        <v>38</v>
      </c>
      <c r="L7" s="1" t="s">
        <v>39</v>
      </c>
      <c r="M7" s="1" t="s">
        <v>40</v>
      </c>
      <c r="N7" s="1" t="s">
        <v>41</v>
      </c>
      <c r="O7" s="4" t="str">
        <f>K7</f>
        <v>Raw_ESC_Age-3</v>
      </c>
      <c r="P7" s="4" t="str">
        <f>L7</f>
        <v>Raw_ESC_Age-4</v>
      </c>
      <c r="Q7" s="4" t="str">
        <f>M7</f>
        <v>Raw_ESC_Age-5</v>
      </c>
      <c r="R7" s="4" t="str">
        <f>N7</f>
        <v>Raw_ESC_Age-6</v>
      </c>
    </row>
    <row r="8" spans="1:18" x14ac:dyDescent="0.25">
      <c r="A8" s="13"/>
      <c r="B8" s="13"/>
      <c r="C8" s="13"/>
      <c r="D8" s="13"/>
      <c r="E8" s="13"/>
      <c r="F8" s="13"/>
      <c r="G8" s="5"/>
      <c r="H8" s="5"/>
      <c r="I8" s="5"/>
      <c r="J8" s="5"/>
      <c r="K8" s="13"/>
      <c r="L8" s="13"/>
      <c r="M8" s="13"/>
      <c r="N8" s="13"/>
    </row>
    <row r="9" spans="1:18" x14ac:dyDescent="0.25">
      <c r="A9" s="14" t="s">
        <v>2</v>
      </c>
      <c r="B9" s="6" t="s">
        <v>42</v>
      </c>
      <c r="C9" s="6" t="s">
        <v>43</v>
      </c>
      <c r="D9" s="6" t="s">
        <v>44</v>
      </c>
      <c r="E9" s="6">
        <v>2010</v>
      </c>
      <c r="F9" s="13">
        <v>0</v>
      </c>
      <c r="G9" s="24"/>
      <c r="H9" s="24"/>
      <c r="I9" s="24"/>
      <c r="J9" s="24"/>
      <c r="K9" s="8"/>
      <c r="L9" s="8"/>
      <c r="M9" s="8"/>
      <c r="N9" s="8"/>
    </row>
    <row r="10" spans="1:18" x14ac:dyDescent="0.25">
      <c r="A10" s="14" t="s">
        <v>2</v>
      </c>
      <c r="B10" s="6" t="s">
        <v>42</v>
      </c>
      <c r="C10" s="6" t="s">
        <v>45</v>
      </c>
      <c r="D10" s="6" t="s">
        <v>33</v>
      </c>
      <c r="E10" s="6">
        <v>2010</v>
      </c>
      <c r="F10" s="14">
        <v>833</v>
      </c>
      <c r="G10" s="16">
        <v>1</v>
      </c>
      <c r="H10" s="9">
        <v>102</v>
      </c>
      <c r="I10" s="9">
        <v>39</v>
      </c>
      <c r="J10" s="9">
        <v>2</v>
      </c>
      <c r="K10" s="8">
        <f>+(G10/(SUM($G10:$J10)))*$F10</f>
        <v>5.7847222222222223</v>
      </c>
      <c r="L10" s="8">
        <f t="shared" ref="L10:L11" si="0">+(H10/(SUM($G10:$J10)))*$F10</f>
        <v>590.04166666666674</v>
      </c>
      <c r="M10" s="8">
        <f>+(I10/(SUM($G10:$J10)))*$F10</f>
        <v>225.60416666666666</v>
      </c>
      <c r="N10" s="8">
        <f>+(J10/(SUM($G10:$J10)))*$F10</f>
        <v>11.569444444444445</v>
      </c>
    </row>
    <row r="11" spans="1:18" x14ac:dyDescent="0.25">
      <c r="A11" s="14" t="s">
        <v>2</v>
      </c>
      <c r="B11" s="6" t="s">
        <v>42</v>
      </c>
      <c r="C11" s="6" t="s">
        <v>45</v>
      </c>
      <c r="D11" s="6" t="s">
        <v>46</v>
      </c>
      <c r="E11" s="6">
        <v>2010</v>
      </c>
      <c r="F11" s="25">
        <f>+F14-SUM(F9:F10)</f>
        <v>2845</v>
      </c>
      <c r="G11" s="16">
        <v>1</v>
      </c>
      <c r="H11" s="9">
        <v>55</v>
      </c>
      <c r="I11" s="9">
        <v>29</v>
      </c>
      <c r="J11" s="9">
        <v>4</v>
      </c>
      <c r="K11" s="8">
        <f t="shared" ref="K11" si="1">+(G11/(SUM($G11:$J11)))*$F11</f>
        <v>31.966292134831459</v>
      </c>
      <c r="L11" s="8">
        <f t="shared" si="0"/>
        <v>1758.1460674157302</v>
      </c>
      <c r="M11" s="8">
        <f t="shared" ref="M11" si="2">+(I11/(SUM($G11:$J11)))*$F11</f>
        <v>927.02247191011236</v>
      </c>
      <c r="N11" s="8">
        <f t="shared" ref="N11" si="3">+(J11/(SUM($G11:$J11)))*$F11</f>
        <v>127.86516853932584</v>
      </c>
    </row>
    <row r="12" spans="1:18" x14ac:dyDescent="0.25">
      <c r="A12" s="14" t="s">
        <v>47</v>
      </c>
      <c r="B12" s="6" t="s">
        <v>42</v>
      </c>
      <c r="C12" s="6" t="s">
        <v>43</v>
      </c>
      <c r="D12" s="6" t="s">
        <v>46</v>
      </c>
      <c r="E12" s="6">
        <v>2010</v>
      </c>
      <c r="F12" s="28"/>
      <c r="G12" s="26"/>
      <c r="H12" s="26"/>
      <c r="I12" s="26"/>
      <c r="J12" s="26"/>
      <c r="K12" s="8">
        <f>+IF($F12=0,0,(G12/(SUM($G12:$J12)))*$F12)</f>
        <v>0</v>
      </c>
      <c r="L12" s="8">
        <f>+IF($F12=0,0,(H12/(SUM($G12:$J12)))*$F12)</f>
        <v>0</v>
      </c>
      <c r="M12" s="8">
        <f>+IF($F12=0,0,(I12/(SUM($G12:$J12)))*$F12)</f>
        <v>0</v>
      </c>
      <c r="N12" s="8">
        <f>+IF($F12=0,0,(J12/(SUM($G12:$J12)))*$F12)</f>
        <v>0</v>
      </c>
    </row>
    <row r="13" spans="1:18" x14ac:dyDescent="0.25">
      <c r="A13" s="14" t="s">
        <v>47</v>
      </c>
      <c r="B13" s="6" t="s">
        <v>42</v>
      </c>
      <c r="C13" s="6" t="s">
        <v>45</v>
      </c>
      <c r="D13" s="6" t="s">
        <v>46</v>
      </c>
      <c r="E13" s="6">
        <v>2010</v>
      </c>
      <c r="F13" s="28"/>
      <c r="G13" s="27"/>
      <c r="H13" s="27"/>
      <c r="I13" s="27"/>
      <c r="J13" s="27"/>
      <c r="K13" s="8">
        <f>+IF(G13="",(G11/(SUM($G11:$J11)))*$F13,(G13/(SUM($G13:$J13)))*$F13)</f>
        <v>0</v>
      </c>
      <c r="L13" s="8">
        <f>+IF(H13="",(H11/(SUM($G11:$J11)))*$F13,(H13/(SUM($G13:$J13)))*$F13)</f>
        <v>0</v>
      </c>
      <c r="M13" s="8">
        <f>+IF(I13="",(I11/(SUM($G11:$J11)))*$F13,(I13/(SUM($G13:$J13)))*$F13)</f>
        <v>0</v>
      </c>
      <c r="N13" s="8">
        <f>+IF(J13="",(J11/(SUM($G11:$J11)))*$F13,(J13/(SUM($G13:$J13)))*$F13)</f>
        <v>0</v>
      </c>
    </row>
    <row r="14" spans="1:18" x14ac:dyDescent="0.25">
      <c r="A14" s="14" t="s">
        <v>2</v>
      </c>
      <c r="B14" s="6" t="s">
        <v>42</v>
      </c>
      <c r="C14" s="6" t="s">
        <v>48</v>
      </c>
      <c r="D14" s="6" t="s">
        <v>48</v>
      </c>
      <c r="E14" s="6">
        <v>2010</v>
      </c>
      <c r="F14" s="13">
        <v>3678</v>
      </c>
      <c r="G14" s="29"/>
      <c r="H14" s="29"/>
      <c r="I14" s="29"/>
      <c r="J14" s="29"/>
      <c r="K14" s="8">
        <f>+SUM(K9:K11)</f>
        <v>37.751014357053684</v>
      </c>
      <c r="L14" s="8">
        <f>+SUM(L9:L11)</f>
        <v>2348.1877340823967</v>
      </c>
      <c r="M14" s="8">
        <f>+SUM(M9:M11)</f>
        <v>1152.626638576779</v>
      </c>
      <c r="N14" s="8">
        <f>+SUM(N9:N11)</f>
        <v>139.43461298377028</v>
      </c>
      <c r="O14" s="12">
        <f>K14/$F14</f>
        <v>1.0264006078589908E-2</v>
      </c>
      <c r="P14" s="12">
        <f>L14/$F14</f>
        <v>0.63844147201805235</v>
      </c>
      <c r="Q14" s="12">
        <f>M14/$F14</f>
        <v>0.31338407791647066</v>
      </c>
      <c r="R14" s="12">
        <f>N14/$F14</f>
        <v>3.791044398688697E-2</v>
      </c>
    </row>
    <row r="15" spans="1:18" x14ac:dyDescent="0.25">
      <c r="A15" s="14" t="s">
        <v>49</v>
      </c>
      <c r="B15" s="6" t="s">
        <v>42</v>
      </c>
      <c r="C15" s="6" t="s">
        <v>48</v>
      </c>
      <c r="D15" s="6" t="s">
        <v>48</v>
      </c>
      <c r="E15" s="6">
        <v>2010</v>
      </c>
      <c r="F15" s="30">
        <f>F14+SUM(F12:F13)</f>
        <v>3678</v>
      </c>
      <c r="G15" s="29"/>
      <c r="H15" s="29"/>
      <c r="I15" s="29"/>
      <c r="J15" s="29"/>
      <c r="K15" s="8">
        <f t="shared" ref="K15:L15" si="4">SUM(K9:K13)</f>
        <v>37.751014357053684</v>
      </c>
      <c r="L15" s="8">
        <f t="shared" si="4"/>
        <v>2348.1877340823967</v>
      </c>
      <c r="M15" s="8">
        <f>SUM(M9:M13)</f>
        <v>1152.626638576779</v>
      </c>
      <c r="N15" s="8">
        <f>SUM(N9:N13)</f>
        <v>139.43461298377028</v>
      </c>
      <c r="O15" s="12">
        <f t="shared" ref="O15:P15" si="5">K15/$F15</f>
        <v>1.0264006078589908E-2</v>
      </c>
      <c r="P15" s="12">
        <f t="shared" si="5"/>
        <v>0.63844147201805235</v>
      </c>
      <c r="Q15" s="12">
        <f>M15/$F15</f>
        <v>0.31338407791647066</v>
      </c>
      <c r="R15" s="12">
        <f>N15/$F15</f>
        <v>3.791044398688697E-2</v>
      </c>
    </row>
    <row r="16" spans="1:18" x14ac:dyDescent="0.25">
      <c r="A16" s="14"/>
      <c r="F16" s="17"/>
      <c r="G16" s="29"/>
      <c r="H16" s="29"/>
      <c r="I16" s="29"/>
      <c r="J16" s="29"/>
    </row>
    <row r="17" spans="1:18" x14ac:dyDescent="0.25">
      <c r="A17" s="14" t="s">
        <v>2</v>
      </c>
      <c r="B17" s="6" t="s">
        <v>50</v>
      </c>
      <c r="C17" s="6" t="s">
        <v>43</v>
      </c>
      <c r="D17" s="6" t="s">
        <v>44</v>
      </c>
      <c r="E17" s="6">
        <v>2010</v>
      </c>
      <c r="F17" s="13">
        <v>0</v>
      </c>
      <c r="G17" s="24"/>
      <c r="H17" s="24"/>
      <c r="I17" s="24"/>
      <c r="J17" s="24"/>
      <c r="K17" s="8"/>
      <c r="L17" s="8"/>
      <c r="M17" s="8"/>
      <c r="N17" s="8"/>
    </row>
    <row r="18" spans="1:18" x14ac:dyDescent="0.25">
      <c r="A18" s="14" t="s">
        <v>2</v>
      </c>
      <c r="B18" s="6" t="s">
        <v>50</v>
      </c>
      <c r="C18" s="6" t="s">
        <v>45</v>
      </c>
      <c r="D18" s="6" t="s">
        <v>33</v>
      </c>
      <c r="E18" s="6">
        <v>2010</v>
      </c>
      <c r="F18" s="15">
        <v>648</v>
      </c>
      <c r="G18" s="9">
        <v>0</v>
      </c>
      <c r="H18" s="9">
        <v>69</v>
      </c>
      <c r="I18" s="9">
        <v>93</v>
      </c>
      <c r="J18" s="9">
        <v>7</v>
      </c>
      <c r="K18" s="8">
        <f t="shared" ref="K18:K19" si="6">+(G18/(SUM($G18:$J18)))*$F18</f>
        <v>0</v>
      </c>
      <c r="L18" s="8">
        <f t="shared" ref="L18:L19" si="7">+(H18/(SUM($G18:$J18)))*$F18</f>
        <v>264.56804733727807</v>
      </c>
      <c r="M18" s="8">
        <f>+(I18/(SUM($G18:$J18)))*$F18</f>
        <v>356.59171597633139</v>
      </c>
      <c r="N18" s="8">
        <f>+(J18/(SUM($G18:$J18)))*$F18</f>
        <v>26.840236686390536</v>
      </c>
    </row>
    <row r="19" spans="1:18" x14ac:dyDescent="0.25">
      <c r="A19" s="14" t="s">
        <v>2</v>
      </c>
      <c r="B19" s="6" t="s">
        <v>50</v>
      </c>
      <c r="C19" s="6" t="s">
        <v>45</v>
      </c>
      <c r="D19" s="6" t="s">
        <v>46</v>
      </c>
      <c r="E19" s="6">
        <v>2010</v>
      </c>
      <c r="F19" s="25">
        <f>+F22-SUM(F17:F18)</f>
        <v>3164</v>
      </c>
      <c r="G19" s="9">
        <v>0</v>
      </c>
      <c r="H19" s="9">
        <v>54</v>
      </c>
      <c r="I19" s="9">
        <v>75</v>
      </c>
      <c r="J19" s="9">
        <v>8</v>
      </c>
      <c r="K19" s="8">
        <f t="shared" si="6"/>
        <v>0</v>
      </c>
      <c r="L19" s="8">
        <f t="shared" si="7"/>
        <v>1247.1240875912408</v>
      </c>
      <c r="M19" s="8">
        <f t="shared" ref="M19" si="8">+(I19/(SUM($G19:$J19)))*$F19</f>
        <v>1732.1167883211679</v>
      </c>
      <c r="N19" s="8">
        <f t="shared" ref="N19" si="9">+(J19/(SUM($G19:$J19)))*$F19</f>
        <v>184.75912408759123</v>
      </c>
    </row>
    <row r="20" spans="1:18" x14ac:dyDescent="0.25">
      <c r="A20" s="14" t="s">
        <v>47</v>
      </c>
      <c r="B20" s="6" t="s">
        <v>50</v>
      </c>
      <c r="C20" s="6" t="s">
        <v>43</v>
      </c>
      <c r="D20" s="6" t="s">
        <v>46</v>
      </c>
      <c r="E20" s="6">
        <v>2010</v>
      </c>
      <c r="F20" s="28"/>
      <c r="G20" s="26"/>
      <c r="H20" s="26"/>
      <c r="I20" s="26"/>
      <c r="J20" s="26"/>
      <c r="K20" s="8">
        <f>+IF($F20=0,0,(G20/(SUM($G20:$J20)))*$F20)</f>
        <v>0</v>
      </c>
      <c r="L20" s="8">
        <f>+IF($F20=0,0,(H20/(SUM($G20:$J20)))*$F20)</f>
        <v>0</v>
      </c>
      <c r="M20" s="8">
        <f>+IF($F20=0,0,(I20/(SUM($G20:$J20)))*$F20)</f>
        <v>0</v>
      </c>
      <c r="N20" s="8">
        <f>+IF($F20=0,0,(J20/(SUM($G20:$J20)))*$F20)</f>
        <v>0</v>
      </c>
    </row>
    <row r="21" spans="1:18" x14ac:dyDescent="0.25">
      <c r="A21" s="14" t="s">
        <v>47</v>
      </c>
      <c r="B21" s="6" t="s">
        <v>50</v>
      </c>
      <c r="C21" s="6" t="s">
        <v>45</v>
      </c>
      <c r="D21" s="6" t="s">
        <v>46</v>
      </c>
      <c r="E21" s="6">
        <v>2010</v>
      </c>
      <c r="F21" s="28"/>
      <c r="G21" s="27"/>
      <c r="H21" s="27"/>
      <c r="I21" s="27"/>
      <c r="J21" s="27"/>
      <c r="K21" s="8">
        <f>+IF(G21="",(G19/(SUM($G19:$J19)))*$F21,(G21/(SUM($G21:$J21)))*$F21)</f>
        <v>0</v>
      </c>
      <c r="L21" s="8">
        <f>+IF(H21="",(H19/(SUM($G19:$J19)))*$F21,(H21/(SUM($G21:$J21)))*$F21)</f>
        <v>0</v>
      </c>
      <c r="M21" s="8">
        <f>+IF(I21="",(I19/(SUM($G19:$J19)))*$F21,(I21/(SUM($G21:$J21)))*$F21)</f>
        <v>0</v>
      </c>
      <c r="N21" s="8">
        <f>+IF(J21="",(J19/(SUM($G19:$J19)))*$F21,(J21/(SUM($G21:$J21)))*$F21)</f>
        <v>0</v>
      </c>
    </row>
    <row r="22" spans="1:18" x14ac:dyDescent="0.25">
      <c r="A22" s="14" t="s">
        <v>2</v>
      </c>
      <c r="B22" s="6" t="s">
        <v>50</v>
      </c>
      <c r="C22" s="6" t="s">
        <v>48</v>
      </c>
      <c r="D22" s="6" t="s">
        <v>48</v>
      </c>
      <c r="E22" s="6">
        <v>2010</v>
      </c>
      <c r="F22" s="15">
        <v>3812</v>
      </c>
      <c r="G22" s="29"/>
      <c r="H22" s="29"/>
      <c r="I22" s="29"/>
      <c r="J22" s="29"/>
      <c r="K22" s="8">
        <f>+SUM(K17:K19)</f>
        <v>0</v>
      </c>
      <c r="L22" s="8">
        <f>+SUM(L17:L19)</f>
        <v>1511.692134928519</v>
      </c>
      <c r="M22" s="8">
        <f>+SUM(M17:M19)</f>
        <v>2088.7085042974991</v>
      </c>
      <c r="N22" s="8">
        <f>+SUM(N17:N19)</f>
        <v>211.59936077398177</v>
      </c>
      <c r="O22" s="12">
        <f>K22/$F22</f>
        <v>0</v>
      </c>
      <c r="P22" s="12">
        <f>L22/$F22</f>
        <v>0.39656142049541421</v>
      </c>
      <c r="Q22" s="12">
        <f>M22/$F22</f>
        <v>0.54792982798990009</v>
      </c>
      <c r="R22" s="12">
        <f>N22/$F22</f>
        <v>5.5508751514685671E-2</v>
      </c>
    </row>
    <row r="23" spans="1:18" x14ac:dyDescent="0.25">
      <c r="A23" s="14" t="s">
        <v>49</v>
      </c>
      <c r="B23" s="6" t="s">
        <v>50</v>
      </c>
      <c r="C23" s="6" t="s">
        <v>48</v>
      </c>
      <c r="D23" s="6" t="s">
        <v>48</v>
      </c>
      <c r="E23" s="6">
        <v>2010</v>
      </c>
      <c r="F23" s="31">
        <f>F22+SUM(F20:F21)</f>
        <v>3812</v>
      </c>
      <c r="G23" s="29"/>
      <c r="H23" s="29"/>
      <c r="I23" s="29"/>
      <c r="J23" s="29"/>
      <c r="K23" s="8">
        <f t="shared" ref="K23:L23" si="10">SUM(K17:K21)</f>
        <v>0</v>
      </c>
      <c r="L23" s="8">
        <f t="shared" si="10"/>
        <v>1511.692134928519</v>
      </c>
      <c r="M23" s="8">
        <f>SUM(M17:M21)</f>
        <v>2088.7085042974991</v>
      </c>
      <c r="N23" s="8">
        <f>SUM(N17:N21)</f>
        <v>211.59936077398177</v>
      </c>
      <c r="O23" s="12">
        <f>K23/$F23</f>
        <v>0</v>
      </c>
      <c r="P23" s="12">
        <f t="shared" ref="P23" si="11">L23/$F23</f>
        <v>0.39656142049541421</v>
      </c>
      <c r="Q23" s="12">
        <f>M23/$F23</f>
        <v>0.54792982798990009</v>
      </c>
      <c r="R23" s="12">
        <f>N23/$F23</f>
        <v>5.5508751514685671E-2</v>
      </c>
    </row>
    <row r="24" spans="1:18" x14ac:dyDescent="0.25">
      <c r="A24" s="14"/>
      <c r="F24" s="17"/>
      <c r="G24" s="29"/>
      <c r="H24" s="29"/>
      <c r="I24" s="29"/>
      <c r="J24" s="29"/>
    </row>
    <row r="25" spans="1:18" x14ac:dyDescent="0.25">
      <c r="A25" s="14" t="s">
        <v>2</v>
      </c>
      <c r="B25" s="6" t="s">
        <v>51</v>
      </c>
      <c r="C25" s="6" t="s">
        <v>43</v>
      </c>
      <c r="D25" s="6" t="s">
        <v>44</v>
      </c>
      <c r="E25" s="6">
        <v>2010</v>
      </c>
      <c r="F25" s="13">
        <v>0</v>
      </c>
      <c r="G25" s="24"/>
      <c r="H25" s="24"/>
      <c r="I25" s="24"/>
      <c r="J25" s="24"/>
      <c r="K25" s="8"/>
      <c r="L25" s="8"/>
      <c r="M25" s="8"/>
      <c r="N25" s="8"/>
    </row>
    <row r="26" spans="1:18" x14ac:dyDescent="0.25">
      <c r="A26" s="14" t="s">
        <v>2</v>
      </c>
      <c r="B26" s="6" t="s">
        <v>51</v>
      </c>
      <c r="C26" s="6" t="s">
        <v>45</v>
      </c>
      <c r="D26" s="6" t="s">
        <v>33</v>
      </c>
      <c r="E26" s="6">
        <v>2010</v>
      </c>
      <c r="F26" s="15">
        <v>14</v>
      </c>
      <c r="G26" s="9">
        <v>0</v>
      </c>
      <c r="H26" s="9">
        <v>1</v>
      </c>
      <c r="I26" s="9">
        <v>0</v>
      </c>
      <c r="J26" s="9">
        <v>0</v>
      </c>
      <c r="K26" s="8">
        <f t="shared" ref="K26:K27" si="12">+(G26/(SUM($G26:$J26)))*$F26</f>
        <v>0</v>
      </c>
      <c r="L26" s="8">
        <f t="shared" ref="L26:L27" si="13">+(H26/(SUM($G26:$J26)))*$F26</f>
        <v>14</v>
      </c>
      <c r="M26" s="8">
        <f>+(I26/(SUM($G26:$J26)))*$F26</f>
        <v>0</v>
      </c>
      <c r="N26" s="8">
        <f>+(J26/(SUM($G26:$J26)))*$F26</f>
        <v>0</v>
      </c>
    </row>
    <row r="27" spans="1:18" x14ac:dyDescent="0.25">
      <c r="A27" s="14" t="s">
        <v>2</v>
      </c>
      <c r="B27" s="6" t="s">
        <v>51</v>
      </c>
      <c r="C27" s="6" t="s">
        <v>45</v>
      </c>
      <c r="D27" s="6" t="s">
        <v>46</v>
      </c>
      <c r="E27" s="6">
        <v>2010</v>
      </c>
      <c r="F27" s="25">
        <f>+F30-SUM(F25:F26)</f>
        <v>14</v>
      </c>
      <c r="G27" s="9">
        <v>1</v>
      </c>
      <c r="H27" s="9">
        <v>1</v>
      </c>
      <c r="I27" s="9">
        <v>0</v>
      </c>
      <c r="J27" s="9">
        <v>0</v>
      </c>
      <c r="K27" s="8">
        <f t="shared" si="12"/>
        <v>7</v>
      </c>
      <c r="L27" s="8">
        <f t="shared" si="13"/>
        <v>7</v>
      </c>
      <c r="M27" s="8">
        <f t="shared" ref="M27" si="14">+(I27/(SUM($G27:$J27)))*$F27</f>
        <v>0</v>
      </c>
      <c r="N27" s="8">
        <f t="shared" ref="N27" si="15">+(J27/(SUM($G27:$J27)))*$F27</f>
        <v>0</v>
      </c>
    </row>
    <row r="28" spans="1:18" x14ac:dyDescent="0.25">
      <c r="A28" s="14" t="s">
        <v>47</v>
      </c>
      <c r="B28" s="6" t="s">
        <v>51</v>
      </c>
      <c r="C28" s="6" t="s">
        <v>43</v>
      </c>
      <c r="D28" s="6" t="s">
        <v>46</v>
      </c>
      <c r="E28" s="6">
        <v>2010</v>
      </c>
      <c r="F28" s="28"/>
      <c r="G28" s="26"/>
      <c r="H28" s="26"/>
      <c r="I28" s="26"/>
      <c r="J28" s="26"/>
      <c r="K28" s="8">
        <f>+IF($F28=0,0,(G28/(SUM($G28:$J28)))*$F28)</f>
        <v>0</v>
      </c>
      <c r="L28" s="8">
        <f>+IF($F28=0,0,(H28/(SUM($G28:$J28)))*$F28)</f>
        <v>0</v>
      </c>
      <c r="M28" s="8">
        <f>+IF($F28=0,0,(I28/(SUM($G28:$J28)))*$F28)</f>
        <v>0</v>
      </c>
      <c r="N28" s="8">
        <f>+IF($F28=0,0,(J28/(SUM($G28:$J28)))*$F28)</f>
        <v>0</v>
      </c>
    </row>
    <row r="29" spans="1:18" x14ac:dyDescent="0.25">
      <c r="A29" s="14" t="s">
        <v>47</v>
      </c>
      <c r="B29" s="6" t="s">
        <v>51</v>
      </c>
      <c r="C29" s="6" t="s">
        <v>45</v>
      </c>
      <c r="D29" s="6" t="s">
        <v>46</v>
      </c>
      <c r="E29" s="6">
        <v>2010</v>
      </c>
      <c r="F29" s="28"/>
      <c r="G29" s="27"/>
      <c r="H29" s="27"/>
      <c r="I29" s="27"/>
      <c r="J29" s="27"/>
      <c r="K29" s="8">
        <f>+IF(G29="",(G27/(SUM($G27:$J27)))*$F29,(G29/(SUM($G29:$J29)))*$F29)</f>
        <v>0</v>
      </c>
      <c r="L29" s="8">
        <f>+IF(H29="",(H27/(SUM($G27:$J27)))*$F29,(H29/(SUM($G29:$J29)))*$F29)</f>
        <v>0</v>
      </c>
      <c r="M29" s="8">
        <f>+IF(I29="",(I27/(SUM($G27:$J27)))*$F29,(I29/(SUM($G29:$J29)))*$F29)</f>
        <v>0</v>
      </c>
      <c r="N29" s="8">
        <f>+IF(J29="",(J27/(SUM($G27:$J27)))*$F29,(J29/(SUM($G29:$J29)))*$F29)</f>
        <v>0</v>
      </c>
    </row>
    <row r="30" spans="1:18" x14ac:dyDescent="0.25">
      <c r="A30" s="14" t="s">
        <v>2</v>
      </c>
      <c r="B30" s="6" t="s">
        <v>51</v>
      </c>
      <c r="C30" s="6" t="s">
        <v>48</v>
      </c>
      <c r="D30" s="6" t="s">
        <v>48</v>
      </c>
      <c r="E30" s="6">
        <v>2010</v>
      </c>
      <c r="F30" s="15">
        <v>28</v>
      </c>
      <c r="G30" s="29"/>
      <c r="H30" s="29"/>
      <c r="I30" s="29"/>
      <c r="J30" s="29"/>
      <c r="K30" s="8">
        <f>+SUM(K25:K27)</f>
        <v>7</v>
      </c>
      <c r="L30" s="8">
        <f>+SUM(L25:L27)</f>
        <v>21</v>
      </c>
      <c r="M30" s="8">
        <f>+SUM(M25:M27)</f>
        <v>0</v>
      </c>
      <c r="N30" s="8">
        <f>+SUM(N25:N27)</f>
        <v>0</v>
      </c>
      <c r="O30" s="12">
        <f>K30/$F30</f>
        <v>0.25</v>
      </c>
      <c r="P30" s="12">
        <f>L30/$F30</f>
        <v>0.75</v>
      </c>
      <c r="Q30" s="12">
        <f>M30/$F30</f>
        <v>0</v>
      </c>
      <c r="R30" s="12">
        <f>N30/$F30</f>
        <v>0</v>
      </c>
    </row>
    <row r="31" spans="1:18" x14ac:dyDescent="0.25">
      <c r="A31" s="14" t="s">
        <v>49</v>
      </c>
      <c r="B31" s="6" t="s">
        <v>51</v>
      </c>
      <c r="C31" s="6" t="s">
        <v>48</v>
      </c>
      <c r="D31" s="6" t="s">
        <v>48</v>
      </c>
      <c r="E31" s="6">
        <v>2010</v>
      </c>
      <c r="F31" s="31">
        <f>F30+SUM(F28:F29)</f>
        <v>28</v>
      </c>
      <c r="G31" s="29"/>
      <c r="H31" s="29"/>
      <c r="I31" s="29"/>
      <c r="J31" s="29"/>
      <c r="K31" s="8">
        <f t="shared" ref="K31:L31" si="16">SUM(K25:K29)</f>
        <v>7</v>
      </c>
      <c r="L31" s="8">
        <f t="shared" si="16"/>
        <v>21</v>
      </c>
      <c r="M31" s="8">
        <f>SUM(M25:M29)</f>
        <v>0</v>
      </c>
      <c r="N31" s="8">
        <f>SUM(N25:N29)</f>
        <v>0</v>
      </c>
      <c r="O31" s="12">
        <f>K31/$F31</f>
        <v>0.25</v>
      </c>
      <c r="P31" s="12">
        <f t="shared" ref="P31" si="17">L31/$F31</f>
        <v>0.75</v>
      </c>
      <c r="Q31" s="12">
        <f>M31/$F31</f>
        <v>0</v>
      </c>
      <c r="R31" s="12">
        <f>N31/$F31</f>
        <v>0</v>
      </c>
    </row>
    <row r="32" spans="1:18" x14ac:dyDescent="0.25">
      <c r="A32" s="15"/>
      <c r="B32" s="13"/>
      <c r="C32" s="13"/>
      <c r="D32" s="13"/>
      <c r="E32" s="13"/>
      <c r="F32" s="33"/>
      <c r="G32" s="5"/>
      <c r="H32" s="5"/>
      <c r="I32" s="5"/>
      <c r="J32" s="5"/>
      <c r="K32" s="13"/>
      <c r="L32" s="13"/>
      <c r="M32" s="13"/>
      <c r="N32" s="13"/>
      <c r="O32" s="14"/>
      <c r="P32" s="14"/>
      <c r="Q32" s="14"/>
    </row>
    <row r="33" spans="1:18" x14ac:dyDescent="0.25">
      <c r="A33" s="14" t="s">
        <v>2</v>
      </c>
      <c r="B33" s="6" t="s">
        <v>42</v>
      </c>
      <c r="C33" s="6" t="s">
        <v>43</v>
      </c>
      <c r="D33" s="6" t="s">
        <v>44</v>
      </c>
      <c r="E33" s="6">
        <v>2011</v>
      </c>
      <c r="F33" s="13">
        <v>0</v>
      </c>
      <c r="G33" s="24">
        <v>0</v>
      </c>
      <c r="H33" s="24">
        <v>0</v>
      </c>
      <c r="I33" s="24">
        <v>0</v>
      </c>
      <c r="J33" s="24">
        <v>0</v>
      </c>
      <c r="K33" s="8"/>
      <c r="L33" s="8"/>
      <c r="M33" s="8"/>
      <c r="N33" s="8"/>
    </row>
    <row r="34" spans="1:18" x14ac:dyDescent="0.25">
      <c r="A34" s="14" t="s">
        <v>2</v>
      </c>
      <c r="B34" s="6" t="s">
        <v>42</v>
      </c>
      <c r="C34" s="6" t="s">
        <v>45</v>
      </c>
      <c r="D34" s="6" t="s">
        <v>33</v>
      </c>
      <c r="E34" s="6">
        <v>2011</v>
      </c>
      <c r="F34" s="14">
        <v>265</v>
      </c>
      <c r="G34" s="9">
        <v>0</v>
      </c>
      <c r="H34" s="9">
        <v>32</v>
      </c>
      <c r="I34" s="9">
        <v>66</v>
      </c>
      <c r="J34" s="9">
        <v>1</v>
      </c>
      <c r="K34" s="8">
        <f t="shared" ref="K34:K35" si="18">+(G34/(SUM($G34:$J34)))*$F34</f>
        <v>0</v>
      </c>
      <c r="L34" s="8">
        <f t="shared" ref="L34:L35" si="19">+(H34/(SUM($G34:$J34)))*$F34</f>
        <v>85.656565656565661</v>
      </c>
      <c r="M34" s="8">
        <f>+(I34/(SUM($G34:$J34)))*$F34</f>
        <v>176.66666666666666</v>
      </c>
      <c r="N34" s="8">
        <f>+(J34/(SUM($G34:$J34)))*$F34</f>
        <v>2.6767676767676769</v>
      </c>
    </row>
    <row r="35" spans="1:18" x14ac:dyDescent="0.25">
      <c r="A35" s="14" t="s">
        <v>2</v>
      </c>
      <c r="B35" s="6" t="s">
        <v>42</v>
      </c>
      <c r="C35" s="6" t="s">
        <v>45</v>
      </c>
      <c r="D35" s="6" t="s">
        <v>46</v>
      </c>
      <c r="E35" s="6">
        <v>2011</v>
      </c>
      <c r="F35" s="25">
        <f>+F38-SUM(F33:F34)</f>
        <v>3250</v>
      </c>
      <c r="G35" s="9">
        <v>0</v>
      </c>
      <c r="H35" s="9">
        <v>39</v>
      </c>
      <c r="I35" s="9">
        <v>127</v>
      </c>
      <c r="J35" s="9">
        <v>5</v>
      </c>
      <c r="K35" s="8">
        <f t="shared" si="18"/>
        <v>0</v>
      </c>
      <c r="L35" s="8">
        <f t="shared" si="19"/>
        <v>741.22807017543857</v>
      </c>
      <c r="M35" s="8">
        <f t="shared" ref="M35" si="20">+(I35/(SUM($G35:$J35)))*$F35</f>
        <v>2413.7426900584796</v>
      </c>
      <c r="N35" s="8">
        <f t="shared" ref="N35" si="21">+(J35/(SUM($G35:$J35)))*$F35</f>
        <v>95.029239766081872</v>
      </c>
    </row>
    <row r="36" spans="1:18" x14ac:dyDescent="0.25">
      <c r="A36" s="14" t="s">
        <v>47</v>
      </c>
      <c r="B36" s="6" t="s">
        <v>42</v>
      </c>
      <c r="C36" s="6" t="s">
        <v>43</v>
      </c>
      <c r="D36" s="6" t="s">
        <v>46</v>
      </c>
      <c r="E36" s="6">
        <v>2011</v>
      </c>
      <c r="F36" s="28"/>
      <c r="G36" s="26"/>
      <c r="H36" s="26"/>
      <c r="I36" s="26"/>
      <c r="J36" s="26"/>
      <c r="K36" s="8">
        <f>+IF($F36=0,0,(G36/(SUM($G36:$J36)))*$F36)</f>
        <v>0</v>
      </c>
      <c r="L36" s="8">
        <f>+IF($F36=0,0,(H36/(SUM($G36:$J36)))*$F36)</f>
        <v>0</v>
      </c>
      <c r="M36" s="8">
        <f>+IF($F36=0,0,(I36/(SUM($G36:$J36)))*$F36)</f>
        <v>0</v>
      </c>
      <c r="N36" s="8">
        <f>+IF($F36=0,0,(J36/(SUM($G36:$J36)))*$F36)</f>
        <v>0</v>
      </c>
    </row>
    <row r="37" spans="1:18" x14ac:dyDescent="0.25">
      <c r="A37" s="14" t="s">
        <v>47</v>
      </c>
      <c r="B37" s="6" t="s">
        <v>42</v>
      </c>
      <c r="C37" s="6" t="s">
        <v>45</v>
      </c>
      <c r="D37" s="6" t="s">
        <v>46</v>
      </c>
      <c r="E37" s="6">
        <v>2011</v>
      </c>
      <c r="F37" s="28"/>
      <c r="G37" s="27"/>
      <c r="H37" s="27"/>
      <c r="I37" s="27"/>
      <c r="J37" s="27"/>
      <c r="K37" s="8">
        <f>+IF(G37="",(G35/(SUM($G35:$J35)))*$F37,(G37/(SUM($G37:$J37)))*$F37)</f>
        <v>0</v>
      </c>
      <c r="L37" s="8">
        <f>+IF(H37="",(H35/(SUM($G35:$J35)))*$F37,(H37/(SUM($G37:$J37)))*$F37)</f>
        <v>0</v>
      </c>
      <c r="M37" s="8">
        <f>+IF(I37="",(I35/(SUM($G35:$J35)))*$F37,(I37/(SUM($G37:$J37)))*$F37)</f>
        <v>0</v>
      </c>
      <c r="N37" s="8">
        <f>+IF(J37="",(J35/(SUM($G35:$J35)))*$F37,(J37/(SUM($G37:$J37)))*$F37)</f>
        <v>0</v>
      </c>
    </row>
    <row r="38" spans="1:18" x14ac:dyDescent="0.25">
      <c r="A38" s="14" t="s">
        <v>2</v>
      </c>
      <c r="B38" s="6" t="s">
        <v>42</v>
      </c>
      <c r="C38" s="6" t="s">
        <v>48</v>
      </c>
      <c r="D38" s="6" t="s">
        <v>48</v>
      </c>
      <c r="E38" s="6">
        <v>2011</v>
      </c>
      <c r="F38" s="13">
        <v>3515</v>
      </c>
      <c r="G38" s="29"/>
      <c r="H38" s="29"/>
      <c r="I38" s="29"/>
      <c r="J38" s="29"/>
      <c r="K38" s="8">
        <f>+SUM(K33:K35)</f>
        <v>0</v>
      </c>
      <c r="L38" s="8">
        <f>+SUM(L33:L35)</f>
        <v>826.88463583200428</v>
      </c>
      <c r="M38" s="8">
        <f>+SUM(M33:M35)</f>
        <v>2590.4093567251462</v>
      </c>
      <c r="N38" s="8">
        <f>+SUM(N33:N35)</f>
        <v>97.706007442849554</v>
      </c>
      <c r="O38" s="12">
        <f>K38/$F38</f>
        <v>0</v>
      </c>
      <c r="P38" s="12">
        <f>L38/$F38</f>
        <v>0.23524456211436823</v>
      </c>
      <c r="Q38" s="12">
        <f>M38/$F38</f>
        <v>0.73695856521341285</v>
      </c>
      <c r="R38" s="12">
        <f>N38/$F38</f>
        <v>2.7796872672218934E-2</v>
      </c>
    </row>
    <row r="39" spans="1:18" x14ac:dyDescent="0.25">
      <c r="A39" s="14" t="s">
        <v>49</v>
      </c>
      <c r="B39" s="6" t="s">
        <v>42</v>
      </c>
      <c r="C39" s="6" t="s">
        <v>48</v>
      </c>
      <c r="D39" s="6" t="s">
        <v>48</v>
      </c>
      <c r="E39" s="6">
        <v>2011</v>
      </c>
      <c r="F39" s="31">
        <f>F38+SUM(F36:F37)</f>
        <v>3515</v>
      </c>
      <c r="G39" s="29"/>
      <c r="H39" s="29"/>
      <c r="I39" s="29"/>
      <c r="J39" s="29"/>
      <c r="K39" s="8">
        <f t="shared" ref="K39:L39" si="22">SUM(K33:K37)</f>
        <v>0</v>
      </c>
      <c r="L39" s="8">
        <f t="shared" si="22"/>
        <v>826.88463583200428</v>
      </c>
      <c r="M39" s="8">
        <f>SUM(M33:M37)</f>
        <v>2590.4093567251462</v>
      </c>
      <c r="N39" s="8">
        <f>SUM(N33:N37)</f>
        <v>97.706007442849554</v>
      </c>
      <c r="O39" s="12">
        <f>K39/$F39</f>
        <v>0</v>
      </c>
      <c r="P39" s="12">
        <f t="shared" ref="P39" si="23">L39/$F39</f>
        <v>0.23524456211436823</v>
      </c>
      <c r="Q39" s="12">
        <f>M39/$F39</f>
        <v>0.73695856521341285</v>
      </c>
      <c r="R39" s="12">
        <f>N39/$F39</f>
        <v>2.7796872672218934E-2</v>
      </c>
    </row>
    <row r="40" spans="1:18" x14ac:dyDescent="0.25">
      <c r="A40" s="14"/>
      <c r="F40" s="17"/>
      <c r="G40" s="29"/>
      <c r="H40" s="29"/>
      <c r="I40" s="29"/>
      <c r="J40" s="29"/>
    </row>
    <row r="41" spans="1:18" x14ac:dyDescent="0.25">
      <c r="A41" s="14" t="s">
        <v>2</v>
      </c>
      <c r="B41" s="6" t="s">
        <v>50</v>
      </c>
      <c r="C41" s="6" t="s">
        <v>43</v>
      </c>
      <c r="D41" s="6" t="s">
        <v>44</v>
      </c>
      <c r="E41" s="6">
        <v>2011</v>
      </c>
      <c r="F41" s="13">
        <v>0</v>
      </c>
      <c r="G41" s="24"/>
      <c r="H41" s="24"/>
      <c r="I41" s="24"/>
      <c r="J41" s="24"/>
      <c r="K41" s="8"/>
      <c r="L41" s="8"/>
      <c r="M41" s="8"/>
      <c r="N41" s="8"/>
    </row>
    <row r="42" spans="1:18" x14ac:dyDescent="0.25">
      <c r="A42" s="14" t="s">
        <v>2</v>
      </c>
      <c r="B42" s="6" t="s">
        <v>50</v>
      </c>
      <c r="C42" s="6" t="s">
        <v>45</v>
      </c>
      <c r="D42" s="6" t="s">
        <v>33</v>
      </c>
      <c r="E42" s="6">
        <v>2011</v>
      </c>
      <c r="F42" s="15">
        <v>466</v>
      </c>
      <c r="G42" s="9">
        <v>0</v>
      </c>
      <c r="H42" s="9">
        <v>31</v>
      </c>
      <c r="I42" s="9">
        <v>158</v>
      </c>
      <c r="J42" s="9">
        <v>1</v>
      </c>
      <c r="K42" s="8">
        <f t="shared" ref="K42:K43" si="24">+(G42/(SUM($G42:$J42)))*$F42</f>
        <v>0</v>
      </c>
      <c r="L42" s="8">
        <f t="shared" ref="L42:L43" si="25">+(H42/(SUM($G42:$J42)))*$F42</f>
        <v>76.03157894736843</v>
      </c>
      <c r="M42" s="8">
        <f>+(I42/(SUM($G42:$J42)))*$F42</f>
        <v>387.51578947368421</v>
      </c>
      <c r="N42" s="8">
        <f>+(J42/(SUM($G42:$J42)))*$F42</f>
        <v>2.4526315789473685</v>
      </c>
    </row>
    <row r="43" spans="1:18" x14ac:dyDescent="0.25">
      <c r="A43" s="14" t="s">
        <v>2</v>
      </c>
      <c r="B43" s="6" t="s">
        <v>50</v>
      </c>
      <c r="C43" s="6" t="s">
        <v>45</v>
      </c>
      <c r="D43" s="6" t="s">
        <v>46</v>
      </c>
      <c r="E43" s="6">
        <v>2011</v>
      </c>
      <c r="F43" s="25">
        <f>+F46-SUM(F41:F42)</f>
        <v>4415</v>
      </c>
      <c r="G43" s="9">
        <v>0</v>
      </c>
      <c r="H43" s="9">
        <v>38</v>
      </c>
      <c r="I43" s="9">
        <v>290</v>
      </c>
      <c r="J43" s="9">
        <v>6</v>
      </c>
      <c r="K43" s="8">
        <f t="shared" si="24"/>
        <v>0</v>
      </c>
      <c r="L43" s="8">
        <f t="shared" si="25"/>
        <v>502.30538922155688</v>
      </c>
      <c r="M43" s="8">
        <f t="shared" ref="M43" si="26">+(I43/(SUM($G43:$J43)))*$F43</f>
        <v>3833.3832335329339</v>
      </c>
      <c r="N43" s="8">
        <f t="shared" ref="N43" si="27">+(J43/(SUM($G43:$J43)))*$F43</f>
        <v>79.311377245508979</v>
      </c>
    </row>
    <row r="44" spans="1:18" x14ac:dyDescent="0.25">
      <c r="A44" s="14" t="s">
        <v>47</v>
      </c>
      <c r="B44" s="6" t="s">
        <v>50</v>
      </c>
      <c r="C44" s="6" t="s">
        <v>43</v>
      </c>
      <c r="D44" s="6" t="s">
        <v>46</v>
      </c>
      <c r="E44" s="6">
        <v>2011</v>
      </c>
      <c r="F44" s="28"/>
      <c r="G44" s="26"/>
      <c r="H44" s="26"/>
      <c r="I44" s="26"/>
      <c r="J44" s="26"/>
      <c r="K44" s="8">
        <f>+IF($F44=0,0,(G44/(SUM($G44:$J44)))*$F44)</f>
        <v>0</v>
      </c>
      <c r="L44" s="8">
        <f>+IF($F44=0,0,(H44/(SUM($G44:$J44)))*$F44)</f>
        <v>0</v>
      </c>
      <c r="M44" s="8">
        <f>+IF($F44=0,0,(I44/(SUM($G44:$J44)))*$F44)</f>
        <v>0</v>
      </c>
      <c r="N44" s="8">
        <f>+IF($F44=0,0,(J44/(SUM($G44:$J44)))*$F44)</f>
        <v>0</v>
      </c>
    </row>
    <row r="45" spans="1:18" x14ac:dyDescent="0.25">
      <c r="A45" s="14" t="s">
        <v>47</v>
      </c>
      <c r="B45" s="6" t="s">
        <v>50</v>
      </c>
      <c r="C45" s="6" t="s">
        <v>45</v>
      </c>
      <c r="D45" s="6" t="s">
        <v>46</v>
      </c>
      <c r="E45" s="6">
        <v>2011</v>
      </c>
      <c r="F45" s="28"/>
      <c r="G45" s="27"/>
      <c r="H45" s="27"/>
      <c r="I45" s="27"/>
      <c r="J45" s="27"/>
      <c r="K45" s="8">
        <f>+IF(G45="",(G43/(SUM($G43:$J43)))*$F45,(G45/(SUM($G45:$J45)))*$F45)</f>
        <v>0</v>
      </c>
      <c r="L45" s="8">
        <f>+IF(H45="",(H43/(SUM($G43:$J43)))*$F45,(H45/(SUM($G45:$J45)))*$F45)</f>
        <v>0</v>
      </c>
      <c r="M45" s="8">
        <f>+IF(I45="",(I43/(SUM($G43:$J43)))*$F45,(I45/(SUM($G45:$J45)))*$F45)</f>
        <v>0</v>
      </c>
      <c r="N45" s="8">
        <f>+IF(J45="",(J43/(SUM($G43:$J43)))*$F45,(J45/(SUM($G45:$J45)))*$F45)</f>
        <v>0</v>
      </c>
    </row>
    <row r="46" spans="1:18" x14ac:dyDescent="0.25">
      <c r="A46" s="14" t="s">
        <v>2</v>
      </c>
      <c r="B46" s="6" t="s">
        <v>50</v>
      </c>
      <c r="C46" s="6" t="s">
        <v>48</v>
      </c>
      <c r="D46" s="6" t="s">
        <v>48</v>
      </c>
      <c r="E46" s="6">
        <v>2011</v>
      </c>
      <c r="F46" s="15">
        <v>4881</v>
      </c>
      <c r="G46" s="29"/>
      <c r="H46" s="29"/>
      <c r="I46" s="29"/>
      <c r="J46" s="29"/>
      <c r="K46" s="8">
        <f>+SUM(K41:K43)</f>
        <v>0</v>
      </c>
      <c r="L46" s="8">
        <f>+SUM(L41:L43)</f>
        <v>578.3369681689253</v>
      </c>
      <c r="M46" s="8">
        <f>+SUM(M41:M43)</f>
        <v>4220.8990230066183</v>
      </c>
      <c r="N46" s="8">
        <f>+SUM(N41:N43)</f>
        <v>81.76400882445634</v>
      </c>
      <c r="O46" s="12">
        <f>K46/$F46</f>
        <v>0</v>
      </c>
      <c r="P46" s="12">
        <f>L46/$F46</f>
        <v>0.11848739360150078</v>
      </c>
      <c r="Q46" s="12">
        <f>M46/$F46</f>
        <v>0.86476111923921706</v>
      </c>
      <c r="R46" s="12">
        <f>N46/$F46</f>
        <v>1.6751487159282184E-2</v>
      </c>
    </row>
    <row r="47" spans="1:18" x14ac:dyDescent="0.25">
      <c r="A47" s="14" t="s">
        <v>49</v>
      </c>
      <c r="B47" s="6" t="s">
        <v>50</v>
      </c>
      <c r="C47" s="6" t="s">
        <v>48</v>
      </c>
      <c r="D47" s="6" t="s">
        <v>48</v>
      </c>
      <c r="E47" s="6">
        <v>2011</v>
      </c>
      <c r="F47" s="31">
        <f>F46+SUM(F44:F45)</f>
        <v>4881</v>
      </c>
      <c r="G47" s="29"/>
      <c r="H47" s="29"/>
      <c r="I47" s="29"/>
      <c r="J47" s="29"/>
      <c r="K47" s="8">
        <f t="shared" ref="K47:L47" si="28">SUM(K41:K45)</f>
        <v>0</v>
      </c>
      <c r="L47" s="8">
        <f t="shared" si="28"/>
        <v>578.3369681689253</v>
      </c>
      <c r="M47" s="8">
        <f>SUM(M41:M45)</f>
        <v>4220.8990230066183</v>
      </c>
      <c r="N47" s="8">
        <f>SUM(N41:N45)</f>
        <v>81.76400882445634</v>
      </c>
      <c r="O47" s="12">
        <f>K47/$F47</f>
        <v>0</v>
      </c>
      <c r="P47" s="12">
        <f t="shared" ref="P47" si="29">L47/$F47</f>
        <v>0.11848739360150078</v>
      </c>
      <c r="Q47" s="12">
        <f>M47/$F47</f>
        <v>0.86476111923921706</v>
      </c>
      <c r="R47" s="12">
        <f>N47/$F47</f>
        <v>1.6751487159282184E-2</v>
      </c>
    </row>
    <row r="48" spans="1:18" x14ac:dyDescent="0.25">
      <c r="A48" s="14"/>
      <c r="F48" s="17"/>
      <c r="G48" s="29"/>
      <c r="H48" s="29"/>
      <c r="I48" s="29"/>
      <c r="J48" s="29"/>
    </row>
    <row r="49" spans="1:18" x14ac:dyDescent="0.25">
      <c r="A49" s="14" t="s">
        <v>2</v>
      </c>
      <c r="B49" s="6" t="s">
        <v>51</v>
      </c>
      <c r="C49" s="6" t="s">
        <v>43</v>
      </c>
      <c r="D49" s="6" t="s">
        <v>44</v>
      </c>
      <c r="E49" s="6">
        <v>2011</v>
      </c>
      <c r="F49" s="13">
        <v>0</v>
      </c>
      <c r="G49" s="24">
        <v>0</v>
      </c>
      <c r="H49" s="24">
        <v>0</v>
      </c>
      <c r="I49" s="24">
        <v>0</v>
      </c>
      <c r="J49" s="24">
        <v>0</v>
      </c>
      <c r="K49" s="8"/>
      <c r="L49" s="8"/>
      <c r="M49" s="8"/>
      <c r="N49" s="8"/>
    </row>
    <row r="50" spans="1:18" x14ac:dyDescent="0.25">
      <c r="A50" s="14" t="s">
        <v>2</v>
      </c>
      <c r="B50" s="6" t="s">
        <v>51</v>
      </c>
      <c r="C50" s="6" t="s">
        <v>45</v>
      </c>
      <c r="D50" s="6" t="s">
        <v>33</v>
      </c>
      <c r="E50" s="6">
        <v>2011</v>
      </c>
      <c r="F50" s="15">
        <v>3</v>
      </c>
      <c r="G50" s="9"/>
      <c r="H50" s="9"/>
      <c r="I50" s="9"/>
      <c r="J50" s="9"/>
      <c r="K50" s="114">
        <f>+IF(G50="",(G51/(SUM($G51:$J51)))*$F50,(G50/(SUM($G50:$J50)))*$F50)</f>
        <v>3</v>
      </c>
      <c r="L50" s="114">
        <f t="shared" ref="L50:N50" si="30">+IF(H50="",(H51/(SUM($G51:$J51)))*$F50,(H50/(SUM($G50:$J50)))*$F50)</f>
        <v>0</v>
      </c>
      <c r="M50" s="114">
        <f t="shared" si="30"/>
        <v>0</v>
      </c>
      <c r="N50" s="114">
        <f t="shared" si="30"/>
        <v>0</v>
      </c>
    </row>
    <row r="51" spans="1:18" x14ac:dyDescent="0.25">
      <c r="A51" s="14" t="s">
        <v>2</v>
      </c>
      <c r="B51" s="6" t="s">
        <v>51</v>
      </c>
      <c r="C51" s="6" t="s">
        <v>45</v>
      </c>
      <c r="D51" s="6" t="s">
        <v>46</v>
      </c>
      <c r="E51" s="6">
        <v>2011</v>
      </c>
      <c r="F51" s="25">
        <f>+F54-SUM(F49:F50)</f>
        <v>16</v>
      </c>
      <c r="G51" s="9">
        <v>1</v>
      </c>
      <c r="H51" s="9">
        <v>0</v>
      </c>
      <c r="I51" s="9">
        <v>0</v>
      </c>
      <c r="J51" s="9">
        <v>0</v>
      </c>
      <c r="K51" s="8">
        <f t="shared" ref="K51" si="31">+(G51/(SUM($G51:$J51)))*$F51</f>
        <v>16</v>
      </c>
      <c r="L51" s="8">
        <f t="shared" ref="L51" si="32">+(H51/(SUM($G51:$J51)))*$F51</f>
        <v>0</v>
      </c>
      <c r="M51" s="8">
        <f t="shared" ref="M51" si="33">+(I51/(SUM($G51:$J51)))*$F51</f>
        <v>0</v>
      </c>
      <c r="N51" s="8">
        <f t="shared" ref="N51" si="34">+(J51/(SUM($G51:$J51)))*$F51</f>
        <v>0</v>
      </c>
    </row>
    <row r="52" spans="1:18" x14ac:dyDescent="0.25">
      <c r="A52" s="14" t="s">
        <v>47</v>
      </c>
      <c r="B52" s="6" t="s">
        <v>51</v>
      </c>
      <c r="C52" s="6" t="s">
        <v>43</v>
      </c>
      <c r="D52" s="6" t="s">
        <v>46</v>
      </c>
      <c r="E52" s="6">
        <v>2011</v>
      </c>
      <c r="F52" s="28"/>
      <c r="G52" s="26"/>
      <c r="H52" s="26"/>
      <c r="I52" s="26"/>
      <c r="J52" s="26"/>
      <c r="K52" s="8">
        <f>+IF($F52=0,0,(G52/(SUM($G52:$J52)))*$F52)</f>
        <v>0</v>
      </c>
      <c r="L52" s="8">
        <f>+IF($F52=0,0,(H52/(SUM($G52:$J52)))*$F52)</f>
        <v>0</v>
      </c>
      <c r="M52" s="8">
        <f>+IF($F52=0,0,(I52/(SUM($G52:$J52)))*$F52)</f>
        <v>0</v>
      </c>
      <c r="N52" s="8">
        <f>+IF($F52=0,0,(J52/(SUM($G52:$J52)))*$F52)</f>
        <v>0</v>
      </c>
    </row>
    <row r="53" spans="1:18" x14ac:dyDescent="0.25">
      <c r="A53" s="14" t="s">
        <v>47</v>
      </c>
      <c r="B53" s="6" t="s">
        <v>51</v>
      </c>
      <c r="C53" s="6" t="s">
        <v>45</v>
      </c>
      <c r="D53" s="6" t="s">
        <v>46</v>
      </c>
      <c r="E53" s="6">
        <v>2011</v>
      </c>
      <c r="F53" s="28"/>
      <c r="G53" s="27"/>
      <c r="H53" s="27"/>
      <c r="I53" s="27"/>
      <c r="J53" s="27"/>
      <c r="K53" s="8">
        <f>+IF(G53="",(G51/(SUM($G51:$J51)))*$F53,(G53/(SUM($G53:$J53)))*$F53)</f>
        <v>0</v>
      </c>
      <c r="L53" s="8">
        <f>+IF(H53="",(H51/(SUM($G51:$J51)))*$F53,(H53/(SUM($G53:$J53)))*$F53)</f>
        <v>0</v>
      </c>
      <c r="M53" s="8">
        <f>+IF(I53="",(I51/(SUM($G51:$J51)))*$F53,(I53/(SUM($G53:$J53)))*$F53)</f>
        <v>0</v>
      </c>
      <c r="N53" s="8">
        <f>+IF(J53="",(J51/(SUM($G51:$J51)))*$F53,(J53/(SUM($G53:$J53)))*$F53)</f>
        <v>0</v>
      </c>
    </row>
    <row r="54" spans="1:18" x14ac:dyDescent="0.25">
      <c r="A54" s="14" t="s">
        <v>2</v>
      </c>
      <c r="B54" s="6" t="s">
        <v>51</v>
      </c>
      <c r="C54" s="6" t="s">
        <v>48</v>
      </c>
      <c r="D54" s="6" t="s">
        <v>48</v>
      </c>
      <c r="E54" s="6">
        <v>2011</v>
      </c>
      <c r="F54" s="15">
        <v>19</v>
      </c>
      <c r="G54" s="29"/>
      <c r="H54" s="29"/>
      <c r="I54" s="29"/>
      <c r="J54" s="29"/>
      <c r="K54" s="8">
        <f>+SUM(K49:K51)</f>
        <v>19</v>
      </c>
      <c r="L54" s="8">
        <f>+SUM(L49:L51)</f>
        <v>0</v>
      </c>
      <c r="M54" s="8">
        <f>+SUM(M49:M51)</f>
        <v>0</v>
      </c>
      <c r="N54" s="8">
        <f>+SUM(N49:N51)</f>
        <v>0</v>
      </c>
      <c r="O54" s="12">
        <f>K54/$F54</f>
        <v>1</v>
      </c>
      <c r="P54" s="12">
        <f>L54/$F54</f>
        <v>0</v>
      </c>
      <c r="Q54" s="12">
        <f>M54/$F54</f>
        <v>0</v>
      </c>
      <c r="R54" s="12">
        <f>N54/$F54</f>
        <v>0</v>
      </c>
    </row>
    <row r="55" spans="1:18" x14ac:dyDescent="0.25">
      <c r="A55" s="14" t="s">
        <v>49</v>
      </c>
      <c r="B55" s="6" t="s">
        <v>51</v>
      </c>
      <c r="C55" s="6" t="s">
        <v>48</v>
      </c>
      <c r="D55" s="6" t="s">
        <v>48</v>
      </c>
      <c r="E55" s="6">
        <v>2011</v>
      </c>
      <c r="F55" s="31">
        <f>F54+SUM(F52:F53)</f>
        <v>19</v>
      </c>
      <c r="G55" s="29"/>
      <c r="H55" s="29"/>
      <c r="I55" s="29"/>
      <c r="J55" s="29"/>
      <c r="K55" s="8">
        <f t="shared" ref="K55:L55" si="35">SUM(K49:K53)</f>
        <v>19</v>
      </c>
      <c r="L55" s="8">
        <f t="shared" si="35"/>
        <v>0</v>
      </c>
      <c r="M55" s="8">
        <f>SUM(M49:M53)</f>
        <v>0</v>
      </c>
      <c r="N55" s="8">
        <f>SUM(N49:N53)</f>
        <v>0</v>
      </c>
      <c r="O55" s="12">
        <f>K55/$F55</f>
        <v>1</v>
      </c>
      <c r="P55" s="12">
        <f t="shared" ref="P55" si="36">L55/$F55</f>
        <v>0</v>
      </c>
      <c r="Q55" s="12">
        <f>M55/$F55</f>
        <v>0</v>
      </c>
      <c r="R55" s="12">
        <f>N55/$F55</f>
        <v>0</v>
      </c>
    </row>
    <row r="56" spans="1:18" x14ac:dyDescent="0.25">
      <c r="A56" s="14"/>
      <c r="F56" s="17"/>
      <c r="G56" s="29"/>
      <c r="H56" s="29"/>
      <c r="I56" s="29"/>
      <c r="J56" s="29"/>
    </row>
    <row r="57" spans="1:18" x14ac:dyDescent="0.25">
      <c r="A57" s="14" t="s">
        <v>2</v>
      </c>
      <c r="B57" s="6" t="s">
        <v>42</v>
      </c>
      <c r="C57" s="6" t="s">
        <v>43</v>
      </c>
      <c r="D57" s="6" t="s">
        <v>44</v>
      </c>
      <c r="E57" s="6">
        <v>2012</v>
      </c>
      <c r="F57" s="13">
        <v>0</v>
      </c>
      <c r="G57" s="24"/>
      <c r="H57" s="24"/>
      <c r="I57" s="24"/>
      <c r="J57" s="24"/>
      <c r="K57" s="8"/>
      <c r="L57" s="8"/>
      <c r="M57" s="8"/>
      <c r="N57" s="8"/>
    </row>
    <row r="58" spans="1:18" x14ac:dyDescent="0.25">
      <c r="A58" s="6" t="s">
        <v>2</v>
      </c>
      <c r="B58" s="6" t="s">
        <v>42</v>
      </c>
      <c r="C58" s="6" t="s">
        <v>45</v>
      </c>
      <c r="D58" s="6" t="s">
        <v>33</v>
      </c>
      <c r="E58" s="6">
        <v>2012</v>
      </c>
      <c r="F58" s="14">
        <v>274</v>
      </c>
      <c r="G58" s="9">
        <v>4</v>
      </c>
      <c r="H58" s="9">
        <v>21</v>
      </c>
      <c r="I58" s="9">
        <v>28</v>
      </c>
      <c r="J58" s="9">
        <v>1</v>
      </c>
      <c r="K58" s="8">
        <f t="shared" ref="K58:K59" si="37">+(G58/(SUM($G58:$J58)))*$F58</f>
        <v>20.296296296296294</v>
      </c>
      <c r="L58" s="8">
        <f t="shared" ref="L58:L59" si="38">+(H58/(SUM($G58:$J58)))*$F58</f>
        <v>106.55555555555556</v>
      </c>
      <c r="M58" s="8">
        <f>+(I58/(SUM($G58:$J58)))*$F58</f>
        <v>142.07407407407408</v>
      </c>
      <c r="N58" s="8">
        <f>+(J58/(SUM($G58:$J58)))*$F58</f>
        <v>5.0740740740740735</v>
      </c>
    </row>
    <row r="59" spans="1:18" x14ac:dyDescent="0.25">
      <c r="A59" s="6" t="s">
        <v>2</v>
      </c>
      <c r="B59" s="6" t="s">
        <v>42</v>
      </c>
      <c r="C59" s="6" t="s">
        <v>45</v>
      </c>
      <c r="D59" s="6" t="s">
        <v>46</v>
      </c>
      <c r="E59" s="6">
        <v>2012</v>
      </c>
      <c r="F59" s="25">
        <f>+F62-SUM(F57:F58)</f>
        <v>1887</v>
      </c>
      <c r="G59" s="9">
        <v>5</v>
      </c>
      <c r="H59" s="9">
        <v>26</v>
      </c>
      <c r="I59" s="9">
        <v>52</v>
      </c>
      <c r="J59" s="9">
        <v>1</v>
      </c>
      <c r="K59" s="8">
        <f t="shared" si="37"/>
        <v>112.32142857142857</v>
      </c>
      <c r="L59" s="8">
        <f t="shared" si="38"/>
        <v>584.07142857142856</v>
      </c>
      <c r="M59" s="8">
        <f t="shared" ref="M59" si="39">+(I59/(SUM($G59:$J59)))*$F59</f>
        <v>1168.1428571428571</v>
      </c>
      <c r="N59" s="8">
        <f t="shared" ref="N59" si="40">+(J59/(SUM($G59:$J59)))*$F59</f>
        <v>22.464285714285712</v>
      </c>
    </row>
    <row r="60" spans="1:18" x14ac:dyDescent="0.25">
      <c r="A60" s="14" t="s">
        <v>47</v>
      </c>
      <c r="B60" s="6" t="s">
        <v>42</v>
      </c>
      <c r="C60" s="6" t="s">
        <v>43</v>
      </c>
      <c r="D60" s="6" t="s">
        <v>46</v>
      </c>
      <c r="E60" s="6">
        <v>2012</v>
      </c>
      <c r="F60" s="28"/>
      <c r="G60" s="26"/>
      <c r="H60" s="26"/>
      <c r="I60" s="26"/>
      <c r="J60" s="26"/>
      <c r="K60" s="8">
        <f>+IF($F60=0,0,(G60/(SUM($G60:$J60)))*$F60)</f>
        <v>0</v>
      </c>
      <c r="L60" s="8">
        <f>+IF($F60=0,0,(H60/(SUM($G60:$J60)))*$F60)</f>
        <v>0</v>
      </c>
      <c r="M60" s="8">
        <f>+IF($F60=0,0,(I60/(SUM($G60:$J60)))*$F60)</f>
        <v>0</v>
      </c>
      <c r="N60" s="8">
        <f>+IF($F60=0,0,(J60/(SUM($G60:$J60)))*$F60)</f>
        <v>0</v>
      </c>
    </row>
    <row r="61" spans="1:18" x14ac:dyDescent="0.25">
      <c r="A61" s="14" t="s">
        <v>47</v>
      </c>
      <c r="B61" s="6" t="s">
        <v>42</v>
      </c>
      <c r="C61" s="6" t="s">
        <v>45</v>
      </c>
      <c r="D61" s="6" t="s">
        <v>46</v>
      </c>
      <c r="E61" s="6">
        <v>2012</v>
      </c>
      <c r="F61" s="28"/>
      <c r="G61" s="27"/>
      <c r="H61" s="27"/>
      <c r="I61" s="27"/>
      <c r="J61" s="27"/>
      <c r="K61" s="8">
        <f>+IF(G61="",(G59/(SUM($G59:$J59)))*$F61,(G61/(SUM($G61:$J61)))*$F61)</f>
        <v>0</v>
      </c>
      <c r="L61" s="8">
        <f>+IF(H61="",(H59/(SUM($G59:$J59)))*$F61,(H61/(SUM($G61:$J61)))*$F61)</f>
        <v>0</v>
      </c>
      <c r="M61" s="8">
        <f>+IF(I61="",(I59/(SUM($G59:$J59)))*$F61,(I61/(SUM($G61:$J61)))*$F61)</f>
        <v>0</v>
      </c>
      <c r="N61" s="8">
        <f>+IF(J61="",(J59/(SUM($G59:$J59)))*$F61,(J61/(SUM($G61:$J61)))*$F61)</f>
        <v>0</v>
      </c>
    </row>
    <row r="62" spans="1:18" x14ac:dyDescent="0.25">
      <c r="A62" s="6" t="s">
        <v>2</v>
      </c>
      <c r="B62" s="6" t="s">
        <v>42</v>
      </c>
      <c r="C62" s="6" t="s">
        <v>48</v>
      </c>
      <c r="D62" s="6" t="s">
        <v>48</v>
      </c>
      <c r="E62" s="6">
        <v>2012</v>
      </c>
      <c r="F62" s="13">
        <v>2161</v>
      </c>
      <c r="G62" s="29"/>
      <c r="H62" s="29"/>
      <c r="I62" s="29"/>
      <c r="J62" s="29"/>
      <c r="K62" s="8">
        <f>+SUM(K57:K59)</f>
        <v>132.61772486772486</v>
      </c>
      <c r="L62" s="8">
        <f>+SUM(L57:L59)</f>
        <v>690.6269841269841</v>
      </c>
      <c r="M62" s="8">
        <f>+SUM(M57:M59)</f>
        <v>1310.2169312169312</v>
      </c>
      <c r="N62" s="8">
        <f>+SUM(N57:N59)</f>
        <v>27.538359788359784</v>
      </c>
      <c r="O62" s="12">
        <f>K62/$F62</f>
        <v>6.136868341866028E-2</v>
      </c>
      <c r="P62" s="12">
        <f>L62/$F62</f>
        <v>0.31958675804117725</v>
      </c>
      <c r="Q62" s="12">
        <f>M62/$F62</f>
        <v>0.6063012175922865</v>
      </c>
      <c r="R62" s="12">
        <f>N62/$F62</f>
        <v>1.2743340947875884E-2</v>
      </c>
    </row>
    <row r="63" spans="1:18" x14ac:dyDescent="0.25">
      <c r="A63" s="14" t="s">
        <v>49</v>
      </c>
      <c r="B63" s="6" t="s">
        <v>42</v>
      </c>
      <c r="C63" s="6" t="s">
        <v>48</v>
      </c>
      <c r="D63" s="6" t="s">
        <v>48</v>
      </c>
      <c r="E63" s="6">
        <v>2012</v>
      </c>
      <c r="F63" s="31">
        <f>F62+SUM(F60:F61)</f>
        <v>2161</v>
      </c>
      <c r="G63" s="29"/>
      <c r="H63" s="29"/>
      <c r="I63" s="29"/>
      <c r="J63" s="29"/>
      <c r="K63" s="8">
        <f t="shared" ref="K63:L63" si="41">SUM(K57:K61)</f>
        <v>132.61772486772486</v>
      </c>
      <c r="L63" s="8">
        <f t="shared" si="41"/>
        <v>690.6269841269841</v>
      </c>
      <c r="M63" s="8">
        <f>SUM(M57:M61)</f>
        <v>1310.2169312169312</v>
      </c>
      <c r="N63" s="8">
        <f>SUM(N57:N61)</f>
        <v>27.538359788359784</v>
      </c>
      <c r="O63" s="12">
        <f>K63/$F63</f>
        <v>6.136868341866028E-2</v>
      </c>
      <c r="P63" s="12">
        <f t="shared" ref="P63" si="42">L63/$F63</f>
        <v>0.31958675804117725</v>
      </c>
      <c r="Q63" s="12">
        <f>M63/$F63</f>
        <v>0.6063012175922865</v>
      </c>
      <c r="R63" s="12">
        <f>N63/$F63</f>
        <v>1.2743340947875884E-2</v>
      </c>
    </row>
    <row r="64" spans="1:18" x14ac:dyDescent="0.25">
      <c r="F64" s="17"/>
      <c r="G64" s="29"/>
      <c r="H64" s="29"/>
      <c r="I64" s="29"/>
      <c r="J64" s="29"/>
    </row>
    <row r="65" spans="1:18" x14ac:dyDescent="0.25">
      <c r="A65" s="6" t="s">
        <v>2</v>
      </c>
      <c r="B65" s="6" t="s">
        <v>50</v>
      </c>
      <c r="C65" s="6" t="s">
        <v>43</v>
      </c>
      <c r="D65" s="6" t="s">
        <v>44</v>
      </c>
      <c r="E65" s="6">
        <v>2012</v>
      </c>
      <c r="F65" s="13">
        <v>0</v>
      </c>
      <c r="G65" s="24"/>
      <c r="H65" s="24"/>
      <c r="I65" s="24"/>
      <c r="J65" s="24"/>
      <c r="K65" s="8"/>
      <c r="L65" s="8"/>
      <c r="M65" s="8"/>
      <c r="N65" s="8"/>
    </row>
    <row r="66" spans="1:18" x14ac:dyDescent="0.25">
      <c r="A66" s="6" t="s">
        <v>2</v>
      </c>
      <c r="B66" s="6" t="s">
        <v>50</v>
      </c>
      <c r="C66" s="6" t="s">
        <v>45</v>
      </c>
      <c r="D66" s="6" t="s">
        <v>33</v>
      </c>
      <c r="E66" s="6">
        <v>2012</v>
      </c>
      <c r="F66" s="15">
        <v>396</v>
      </c>
      <c r="G66" s="9">
        <v>0</v>
      </c>
      <c r="H66" s="9">
        <v>59</v>
      </c>
      <c r="I66" s="9">
        <v>89</v>
      </c>
      <c r="J66" s="9">
        <v>3</v>
      </c>
      <c r="K66" s="8">
        <f t="shared" ref="K66:K67" si="43">+(G66/(SUM($G66:$J66)))*$F66</f>
        <v>0</v>
      </c>
      <c r="L66" s="8">
        <f t="shared" ref="L66:L67" si="44">+(H66/(SUM($G66:$J66)))*$F66</f>
        <v>154.72847682119206</v>
      </c>
      <c r="M66" s="8">
        <f>+(I66/(SUM($G66:$J66)))*$F66</f>
        <v>233.40397350993379</v>
      </c>
      <c r="N66" s="8">
        <f>+(J66/(SUM($G66:$J66)))*$F66</f>
        <v>7.8675496688741724</v>
      </c>
    </row>
    <row r="67" spans="1:18" x14ac:dyDescent="0.25">
      <c r="A67" s="6" t="s">
        <v>2</v>
      </c>
      <c r="B67" s="6" t="s">
        <v>50</v>
      </c>
      <c r="C67" s="6" t="s">
        <v>45</v>
      </c>
      <c r="D67" s="6" t="s">
        <v>46</v>
      </c>
      <c r="E67" s="6">
        <v>2012</v>
      </c>
      <c r="F67" s="25">
        <f>+F70-SUM(F65:F66)</f>
        <v>1698</v>
      </c>
      <c r="G67" s="9">
        <v>1</v>
      </c>
      <c r="H67" s="9">
        <v>46</v>
      </c>
      <c r="I67" s="9">
        <v>88</v>
      </c>
      <c r="J67" s="9">
        <v>3</v>
      </c>
      <c r="K67" s="8">
        <f t="shared" si="43"/>
        <v>12.304347826086957</v>
      </c>
      <c r="L67" s="8">
        <f t="shared" si="44"/>
        <v>566</v>
      </c>
      <c r="M67" s="8">
        <f t="shared" ref="M67" si="45">+(I67/(SUM($G67:$J67)))*$F67</f>
        <v>1082.782608695652</v>
      </c>
      <c r="N67" s="8">
        <f t="shared" ref="N67" si="46">+(J67/(SUM($G67:$J67)))*$F67</f>
        <v>36.913043478260867</v>
      </c>
    </row>
    <row r="68" spans="1:18" x14ac:dyDescent="0.25">
      <c r="A68" s="14" t="s">
        <v>47</v>
      </c>
      <c r="B68" s="6" t="s">
        <v>50</v>
      </c>
      <c r="C68" s="6" t="s">
        <v>43</v>
      </c>
      <c r="D68" s="6" t="s">
        <v>46</v>
      </c>
      <c r="E68" s="6">
        <v>2012</v>
      </c>
      <c r="F68" s="28"/>
      <c r="G68" s="26"/>
      <c r="H68" s="26"/>
      <c r="I68" s="26"/>
      <c r="J68" s="26"/>
      <c r="K68" s="8">
        <f>+IF($F68=0,0,(G68/(SUM($G68:$J68)))*$F68)</f>
        <v>0</v>
      </c>
      <c r="L68" s="8">
        <f>+IF($F68=0,0,(H68/(SUM($G68:$J68)))*$F68)</f>
        <v>0</v>
      </c>
      <c r="M68" s="8">
        <f>+IF($F68=0,0,(I68/(SUM($G68:$J68)))*$F68)</f>
        <v>0</v>
      </c>
      <c r="N68" s="8">
        <f>+IF($F68=0,0,(J68/(SUM($G68:$J68)))*$F68)</f>
        <v>0</v>
      </c>
    </row>
    <row r="69" spans="1:18" x14ac:dyDescent="0.25">
      <c r="A69" s="14" t="s">
        <v>47</v>
      </c>
      <c r="B69" s="6" t="s">
        <v>50</v>
      </c>
      <c r="C69" s="6" t="s">
        <v>45</v>
      </c>
      <c r="D69" s="6" t="s">
        <v>46</v>
      </c>
      <c r="E69" s="6">
        <v>2012</v>
      </c>
      <c r="F69" s="28"/>
      <c r="G69" s="27"/>
      <c r="H69" s="27"/>
      <c r="I69" s="27"/>
      <c r="J69" s="27"/>
      <c r="K69" s="8">
        <f>+IF(G69="",(G67/(SUM($G67:$J67)))*$F69,(G69/(SUM($G69:$J69)))*$F69)</f>
        <v>0</v>
      </c>
      <c r="L69" s="8">
        <f>+IF(H69="",(H67/(SUM($G67:$J67)))*$F69,(H69/(SUM($G69:$J69)))*$F69)</f>
        <v>0</v>
      </c>
      <c r="M69" s="8">
        <f>+IF(I69="",(I67/(SUM($G67:$J67)))*$F69,(I69/(SUM($G69:$J69)))*$F69)</f>
        <v>0</v>
      </c>
      <c r="N69" s="8">
        <f>+IF(J69="",(J67/(SUM($G67:$J67)))*$F69,(J69/(SUM($G69:$J69)))*$F69)</f>
        <v>0</v>
      </c>
    </row>
    <row r="70" spans="1:18" x14ac:dyDescent="0.25">
      <c r="A70" s="6" t="s">
        <v>2</v>
      </c>
      <c r="B70" s="6" t="s">
        <v>50</v>
      </c>
      <c r="C70" s="6" t="s">
        <v>48</v>
      </c>
      <c r="D70" s="6" t="s">
        <v>48</v>
      </c>
      <c r="E70" s="6">
        <v>2012</v>
      </c>
      <c r="F70" s="15">
        <v>2094</v>
      </c>
      <c r="G70" s="29"/>
      <c r="H70" s="29"/>
      <c r="I70" s="29"/>
      <c r="J70" s="29"/>
      <c r="K70" s="8">
        <f>+SUM(K65:K67)</f>
        <v>12.304347826086957</v>
      </c>
      <c r="L70" s="8">
        <f>+SUM(L65:L67)</f>
        <v>720.72847682119209</v>
      </c>
      <c r="M70" s="8">
        <f>+SUM(M65:M67)</f>
        <v>1316.1865822055859</v>
      </c>
      <c r="N70" s="8">
        <f>+SUM(N65:N67)</f>
        <v>44.780593147135036</v>
      </c>
      <c r="O70" s="12">
        <f>K70/$F70</f>
        <v>5.8760018271666464E-3</v>
      </c>
      <c r="P70" s="12">
        <f>L70/$F70</f>
        <v>0.34418742923648143</v>
      </c>
      <c r="Q70" s="12">
        <f>M70/$F70</f>
        <v>0.62855137641145453</v>
      </c>
      <c r="R70" s="12">
        <f>N70/$F70</f>
        <v>2.1385192524897342E-2</v>
      </c>
    </row>
    <row r="71" spans="1:18" x14ac:dyDescent="0.25">
      <c r="A71" s="14" t="s">
        <v>49</v>
      </c>
      <c r="B71" s="6" t="s">
        <v>50</v>
      </c>
      <c r="C71" s="6" t="s">
        <v>48</v>
      </c>
      <c r="D71" s="6" t="s">
        <v>48</v>
      </c>
      <c r="E71" s="6">
        <v>2012</v>
      </c>
      <c r="F71" s="31">
        <f>F70+SUM(F68:F69)</f>
        <v>2094</v>
      </c>
      <c r="G71" s="29"/>
      <c r="H71" s="29"/>
      <c r="I71" s="29"/>
      <c r="J71" s="29"/>
      <c r="K71" s="8">
        <f t="shared" ref="K71:L71" si="47">SUM(K65:K69)</f>
        <v>12.304347826086957</v>
      </c>
      <c r="L71" s="8">
        <f t="shared" si="47"/>
        <v>720.72847682119209</v>
      </c>
      <c r="M71" s="8">
        <f>SUM(M65:M69)</f>
        <v>1316.1865822055859</v>
      </c>
      <c r="N71" s="8">
        <f>SUM(N65:N69)</f>
        <v>44.780593147135036</v>
      </c>
      <c r="O71" s="12">
        <f>K71/$F71</f>
        <v>5.8760018271666464E-3</v>
      </c>
      <c r="P71" s="12">
        <f t="shared" ref="P71" si="48">L71/$F71</f>
        <v>0.34418742923648143</v>
      </c>
      <c r="Q71" s="12">
        <f>M71/$F71</f>
        <v>0.62855137641145453</v>
      </c>
      <c r="R71" s="12">
        <f>N71/$F71</f>
        <v>2.1385192524897342E-2</v>
      </c>
    </row>
    <row r="72" spans="1:18" x14ac:dyDescent="0.25">
      <c r="F72" s="17"/>
      <c r="G72" s="29"/>
      <c r="H72" s="29"/>
      <c r="I72" s="29"/>
      <c r="J72" s="29"/>
    </row>
    <row r="73" spans="1:18" x14ac:dyDescent="0.25">
      <c r="A73" s="6" t="s">
        <v>2</v>
      </c>
      <c r="B73" s="6" t="s">
        <v>51</v>
      </c>
      <c r="C73" s="6" t="s">
        <v>43</v>
      </c>
      <c r="D73" s="6" t="s">
        <v>44</v>
      </c>
      <c r="E73" s="6">
        <v>2012</v>
      </c>
      <c r="F73" s="13">
        <v>0</v>
      </c>
      <c r="G73" s="24"/>
      <c r="H73" s="24"/>
      <c r="I73" s="24"/>
      <c r="J73" s="24"/>
      <c r="K73" s="8"/>
      <c r="L73" s="8"/>
      <c r="M73" s="8"/>
      <c r="N73" s="8"/>
    </row>
    <row r="74" spans="1:18" x14ac:dyDescent="0.25">
      <c r="A74" s="6" t="s">
        <v>2</v>
      </c>
      <c r="B74" s="6" t="s">
        <v>51</v>
      </c>
      <c r="C74" s="6" t="s">
        <v>45</v>
      </c>
      <c r="D74" s="6" t="s">
        <v>33</v>
      </c>
      <c r="E74" s="6">
        <v>2012</v>
      </c>
      <c r="F74" s="15">
        <v>2</v>
      </c>
      <c r="G74" s="9"/>
      <c r="H74" s="9"/>
      <c r="I74" s="9"/>
      <c r="J74" s="9"/>
      <c r="K74" s="114">
        <f>+IF(G74="",(G75/(SUM($G75:$J75)))*$F74,(G74/(SUM($G74:$J74)))*$F74)</f>
        <v>2</v>
      </c>
      <c r="L74" s="114">
        <f t="shared" ref="L74:N74" si="49">+IF(H74="",(H75/(SUM($G75:$J75)))*$F74,(H74/(SUM($G74:$J74)))*$F74)</f>
        <v>0</v>
      </c>
      <c r="M74" s="114">
        <f t="shared" si="49"/>
        <v>0</v>
      </c>
      <c r="N74" s="114">
        <f t="shared" si="49"/>
        <v>0</v>
      </c>
    </row>
    <row r="75" spans="1:18" x14ac:dyDescent="0.25">
      <c r="A75" s="6" t="s">
        <v>2</v>
      </c>
      <c r="B75" s="6" t="s">
        <v>51</v>
      </c>
      <c r="C75" s="6" t="s">
        <v>45</v>
      </c>
      <c r="D75" s="6" t="s">
        <v>46</v>
      </c>
      <c r="E75" s="6">
        <v>2012</v>
      </c>
      <c r="F75" s="25">
        <f>+F78-SUM(F73:F74)</f>
        <v>30</v>
      </c>
      <c r="G75" s="9">
        <v>4</v>
      </c>
      <c r="H75" s="9">
        <v>0</v>
      </c>
      <c r="I75" s="9">
        <v>0</v>
      </c>
      <c r="J75" s="9">
        <v>0</v>
      </c>
      <c r="K75" s="8">
        <f t="shared" ref="K75" si="50">+(G75/(SUM($G75:$J75)))*$F75</f>
        <v>30</v>
      </c>
      <c r="L75" s="8">
        <f t="shared" ref="L75" si="51">+(H75/(SUM($G75:$J75)))*$F75</f>
        <v>0</v>
      </c>
      <c r="M75" s="8">
        <f t="shared" ref="M75" si="52">+(I75/(SUM($G75:$J75)))*$F75</f>
        <v>0</v>
      </c>
      <c r="N75" s="8">
        <f t="shared" ref="N75" si="53">+(J75/(SUM($G75:$J75)))*$F75</f>
        <v>0</v>
      </c>
    </row>
    <row r="76" spans="1:18" x14ac:dyDescent="0.25">
      <c r="A76" s="14" t="s">
        <v>47</v>
      </c>
      <c r="B76" s="6" t="s">
        <v>51</v>
      </c>
      <c r="C76" s="6" t="s">
        <v>43</v>
      </c>
      <c r="D76" s="6" t="s">
        <v>46</v>
      </c>
      <c r="E76" s="6">
        <v>2012</v>
      </c>
      <c r="F76" s="28"/>
      <c r="G76" s="26"/>
      <c r="H76" s="26"/>
      <c r="I76" s="26"/>
      <c r="J76" s="26"/>
      <c r="K76" s="8">
        <f>+IF($F76=0,0,(G76/(SUM($G76:$J76)))*$F76)</f>
        <v>0</v>
      </c>
      <c r="L76" s="8">
        <f>+IF($F76=0,0,(H76/(SUM($G76:$J76)))*$F76)</f>
        <v>0</v>
      </c>
      <c r="M76" s="8">
        <f>+IF($F76=0,0,(I76/(SUM($G76:$J76)))*$F76)</f>
        <v>0</v>
      </c>
      <c r="N76" s="8">
        <f>+IF($F76=0,0,(J76/(SUM($G76:$J76)))*$F76)</f>
        <v>0</v>
      </c>
    </row>
    <row r="77" spans="1:18" x14ac:dyDescent="0.25">
      <c r="A77" s="14" t="s">
        <v>47</v>
      </c>
      <c r="B77" s="6" t="s">
        <v>51</v>
      </c>
      <c r="C77" s="6" t="s">
        <v>45</v>
      </c>
      <c r="D77" s="6" t="s">
        <v>46</v>
      </c>
      <c r="E77" s="6">
        <v>2012</v>
      </c>
      <c r="F77" s="28"/>
      <c r="G77" s="27"/>
      <c r="H77" s="27"/>
      <c r="I77" s="27"/>
      <c r="J77" s="27"/>
      <c r="K77" s="8">
        <f>+IF(G77="",(G75/(SUM($G75:$J75)))*$F77,(G77/(SUM($G77:$J77)))*$F77)</f>
        <v>0</v>
      </c>
      <c r="L77" s="8">
        <f>+IF(H77="",(H75/(SUM($G75:$J75)))*$F77,(H77/(SUM($G77:$J77)))*$F77)</f>
        <v>0</v>
      </c>
      <c r="M77" s="8">
        <f>+IF(I77="",(I75/(SUM($G75:$J75)))*$F77,(I77/(SUM($G77:$J77)))*$F77)</f>
        <v>0</v>
      </c>
      <c r="N77" s="8">
        <f>+IF(J77="",(J75/(SUM($G75:$J75)))*$F77,(J77/(SUM($G77:$J77)))*$F77)</f>
        <v>0</v>
      </c>
    </row>
    <row r="78" spans="1:18" x14ac:dyDescent="0.25">
      <c r="A78" s="6" t="s">
        <v>2</v>
      </c>
      <c r="B78" s="6" t="s">
        <v>51</v>
      </c>
      <c r="C78" s="6" t="s">
        <v>48</v>
      </c>
      <c r="D78" s="6" t="s">
        <v>48</v>
      </c>
      <c r="E78" s="6">
        <v>2012</v>
      </c>
      <c r="F78" s="15">
        <v>32</v>
      </c>
      <c r="G78" s="29"/>
      <c r="H78" s="29"/>
      <c r="I78" s="29"/>
      <c r="J78" s="29"/>
      <c r="K78" s="8">
        <f>+SUM(K73:K75)</f>
        <v>32</v>
      </c>
      <c r="L78" s="8">
        <f>+SUM(L73:L75)</f>
        <v>0</v>
      </c>
      <c r="M78" s="8">
        <f>+SUM(M73:M75)</f>
        <v>0</v>
      </c>
      <c r="N78" s="8">
        <f>+SUM(N73:N75)</f>
        <v>0</v>
      </c>
      <c r="O78" s="12">
        <f>K78/$F78</f>
        <v>1</v>
      </c>
      <c r="P78" s="12">
        <f>L78/$F78</f>
        <v>0</v>
      </c>
      <c r="Q78" s="12">
        <f>M78/$F78</f>
        <v>0</v>
      </c>
      <c r="R78" s="12">
        <f>N78/$F78</f>
        <v>0</v>
      </c>
    </row>
    <row r="79" spans="1:18" x14ac:dyDescent="0.25">
      <c r="A79" s="14" t="s">
        <v>49</v>
      </c>
      <c r="B79" s="6" t="s">
        <v>51</v>
      </c>
      <c r="C79" s="6" t="s">
        <v>48</v>
      </c>
      <c r="D79" s="6" t="s">
        <v>48</v>
      </c>
      <c r="E79" s="6">
        <v>2012</v>
      </c>
      <c r="F79" s="31">
        <f>F78+SUM(F76:F77)</f>
        <v>32</v>
      </c>
      <c r="G79" s="29"/>
      <c r="H79" s="29"/>
      <c r="I79" s="29"/>
      <c r="J79" s="29"/>
      <c r="K79" s="8">
        <f t="shared" ref="K79:L79" si="54">SUM(K73:K77)</f>
        <v>32</v>
      </c>
      <c r="L79" s="8">
        <f t="shared" si="54"/>
        <v>0</v>
      </c>
      <c r="M79" s="8">
        <f>SUM(M73:M77)</f>
        <v>0</v>
      </c>
      <c r="N79" s="8">
        <f>SUM(N73:N77)</f>
        <v>0</v>
      </c>
      <c r="O79" s="12">
        <f>K79/$F79</f>
        <v>1</v>
      </c>
      <c r="P79" s="12">
        <f t="shared" ref="P79" si="55">L79/$F79</f>
        <v>0</v>
      </c>
      <c r="Q79" s="12">
        <f>M79/$F79</f>
        <v>0</v>
      </c>
      <c r="R79" s="12">
        <f>N79/$F79</f>
        <v>0</v>
      </c>
    </row>
    <row r="80" spans="1:18" x14ac:dyDescent="0.25">
      <c r="F80" s="17"/>
      <c r="G80" s="29"/>
      <c r="H80" s="29"/>
      <c r="I80" s="29"/>
      <c r="J80" s="29"/>
      <c r="K80" s="8"/>
      <c r="L80" s="8"/>
      <c r="M80" s="8"/>
      <c r="N80" s="8"/>
      <c r="O80" s="12"/>
      <c r="P80" s="12"/>
      <c r="Q80" s="12"/>
    </row>
    <row r="81" spans="1:18" x14ac:dyDescent="0.25">
      <c r="A81" s="6" t="s">
        <v>2</v>
      </c>
      <c r="B81" s="6" t="s">
        <v>42</v>
      </c>
      <c r="C81" s="6" t="s">
        <v>43</v>
      </c>
      <c r="D81" s="6" t="s">
        <v>44</v>
      </c>
      <c r="E81" s="6">
        <v>2013</v>
      </c>
      <c r="F81" s="13">
        <v>0</v>
      </c>
      <c r="G81" s="24"/>
      <c r="H81" s="24"/>
      <c r="I81" s="24"/>
      <c r="J81" s="24"/>
      <c r="K81" s="8"/>
      <c r="L81" s="8"/>
      <c r="M81" s="8"/>
      <c r="N81" s="8"/>
    </row>
    <row r="82" spans="1:18" x14ac:dyDescent="0.25">
      <c r="A82" s="6" t="s">
        <v>2</v>
      </c>
      <c r="B82" s="6" t="s">
        <v>42</v>
      </c>
      <c r="C82" s="6" t="s">
        <v>45</v>
      </c>
      <c r="D82" s="6" t="s">
        <v>33</v>
      </c>
      <c r="E82" s="6">
        <v>2013</v>
      </c>
      <c r="F82" s="14">
        <v>367</v>
      </c>
      <c r="G82" s="16">
        <v>16</v>
      </c>
      <c r="H82" s="16">
        <v>110</v>
      </c>
      <c r="I82" s="16">
        <v>28</v>
      </c>
      <c r="J82" s="16">
        <v>0</v>
      </c>
      <c r="K82" s="8">
        <f t="shared" ref="K82:K83" si="56">+(G82/(SUM($G82:$J82)))*$F82</f>
        <v>38.129870129870135</v>
      </c>
      <c r="L82" s="8">
        <f t="shared" ref="L82:L83" si="57">+(H82/(SUM($G82:$J82)))*$F82</f>
        <v>262.14285714285717</v>
      </c>
      <c r="M82" s="8">
        <f>+(I82/(SUM($G82:$J82)))*$F82</f>
        <v>66.727272727272734</v>
      </c>
      <c r="N82" s="8">
        <f>+(J82/(SUM($G82:$J82)))*$F82</f>
        <v>0</v>
      </c>
    </row>
    <row r="83" spans="1:18" x14ac:dyDescent="0.25">
      <c r="A83" s="6" t="s">
        <v>2</v>
      </c>
      <c r="B83" s="6" t="s">
        <v>42</v>
      </c>
      <c r="C83" s="6" t="s">
        <v>45</v>
      </c>
      <c r="D83" s="6" t="s">
        <v>46</v>
      </c>
      <c r="E83" s="6">
        <v>2013</v>
      </c>
      <c r="F83" s="25">
        <f>+F86-SUM(F81:F82)</f>
        <v>1771</v>
      </c>
      <c r="G83" s="16">
        <v>16</v>
      </c>
      <c r="H83" s="16">
        <v>107</v>
      </c>
      <c r="I83" s="16">
        <v>43</v>
      </c>
      <c r="J83" s="16">
        <v>1</v>
      </c>
      <c r="K83" s="8">
        <f t="shared" si="56"/>
        <v>169.67664670658684</v>
      </c>
      <c r="L83" s="8">
        <f t="shared" si="57"/>
        <v>1134.7125748502995</v>
      </c>
      <c r="M83" s="8">
        <f t="shared" ref="M83" si="58">+(I83/(SUM($G83:$J83)))*$F83</f>
        <v>456.00598802395206</v>
      </c>
      <c r="N83" s="8">
        <f t="shared" ref="N83" si="59">+(J83/(SUM($G83:$J83)))*$F83</f>
        <v>10.604790419161677</v>
      </c>
    </row>
    <row r="84" spans="1:18" x14ac:dyDescent="0.25">
      <c r="A84" s="14" t="s">
        <v>47</v>
      </c>
      <c r="B84" s="6" t="s">
        <v>42</v>
      </c>
      <c r="C84" s="6" t="s">
        <v>43</v>
      </c>
      <c r="D84" s="6" t="s">
        <v>46</v>
      </c>
      <c r="E84" s="6">
        <v>2013</v>
      </c>
      <c r="F84" s="28"/>
      <c r="G84" s="26"/>
      <c r="H84" s="26"/>
      <c r="I84" s="26"/>
      <c r="J84" s="26"/>
      <c r="K84" s="8">
        <f>+IF($F84=0,0,(G84/(SUM($G84:$J84)))*$F84)</f>
        <v>0</v>
      </c>
      <c r="L84" s="8">
        <f>+IF($F84=0,0,(H84/(SUM($G84:$J84)))*$F84)</f>
        <v>0</v>
      </c>
      <c r="M84" s="8">
        <f>+IF($F84=0,0,(I84/(SUM($G84:$J84)))*$F84)</f>
        <v>0</v>
      </c>
      <c r="N84" s="8">
        <f>+IF($F84=0,0,(J84/(SUM($G84:$J84)))*$F84)</f>
        <v>0</v>
      </c>
    </row>
    <row r="85" spans="1:18" x14ac:dyDescent="0.25">
      <c r="A85" s="14" t="s">
        <v>47</v>
      </c>
      <c r="B85" s="6" t="s">
        <v>42</v>
      </c>
      <c r="C85" s="6" t="s">
        <v>45</v>
      </c>
      <c r="D85" s="6" t="s">
        <v>46</v>
      </c>
      <c r="E85" s="6">
        <v>2013</v>
      </c>
      <c r="F85" s="28"/>
      <c r="G85" s="27"/>
      <c r="H85" s="27"/>
      <c r="I85" s="27"/>
      <c r="J85" s="27"/>
      <c r="K85" s="8">
        <f>+IF(G85="",(G83/(SUM($G83:$J83)))*$F85,(G85/(SUM($G85:$J85)))*$F85)</f>
        <v>0</v>
      </c>
      <c r="L85" s="8">
        <f>+IF(H85="",(H83/(SUM($G83:$J83)))*$F85,(H85/(SUM($G85:$J85)))*$F85)</f>
        <v>0</v>
      </c>
      <c r="M85" s="8">
        <f>+IF(I85="",(I83/(SUM($G83:$J83)))*$F85,(I85/(SUM($G85:$J85)))*$F85)</f>
        <v>0</v>
      </c>
      <c r="N85" s="8">
        <f>+IF(J85="",(J83/(SUM($G83:$J83)))*$F85,(J85/(SUM($G85:$J85)))*$F85)</f>
        <v>0</v>
      </c>
    </row>
    <row r="86" spans="1:18" x14ac:dyDescent="0.25">
      <c r="A86" s="6" t="s">
        <v>2</v>
      </c>
      <c r="B86" s="6" t="s">
        <v>42</v>
      </c>
      <c r="C86" s="6" t="s">
        <v>48</v>
      </c>
      <c r="D86" s="6" t="s">
        <v>48</v>
      </c>
      <c r="E86" s="6">
        <v>2013</v>
      </c>
      <c r="F86" s="13">
        <v>2138</v>
      </c>
      <c r="G86" s="29"/>
      <c r="H86" s="29"/>
      <c r="I86" s="29"/>
      <c r="J86" s="29"/>
      <c r="K86" s="8">
        <f>+SUM(K81:K83)</f>
        <v>207.80651683645698</v>
      </c>
      <c r="L86" s="8">
        <f>+SUM(L81:L83)</f>
        <v>1396.8554319931566</v>
      </c>
      <c r="M86" s="8">
        <f>+SUM(M81:M83)</f>
        <v>522.73326075122475</v>
      </c>
      <c r="N86" s="8">
        <f>+SUM(N81:N83)</f>
        <v>10.604790419161677</v>
      </c>
      <c r="O86" s="12">
        <f>K86/$F86</f>
        <v>9.7196687014245553E-2</v>
      </c>
      <c r="P86" s="12">
        <f>L86/$F86</f>
        <v>0.65334678764881038</v>
      </c>
      <c r="Q86" s="12">
        <f>M86/$F86</f>
        <v>0.24449638014556818</v>
      </c>
      <c r="R86" s="12">
        <f>N86/$F86</f>
        <v>4.9601451913759012E-3</v>
      </c>
    </row>
    <row r="87" spans="1:18" x14ac:dyDescent="0.25">
      <c r="A87" s="14" t="s">
        <v>49</v>
      </c>
      <c r="B87" s="6" t="s">
        <v>42</v>
      </c>
      <c r="C87" s="6" t="s">
        <v>48</v>
      </c>
      <c r="D87" s="6" t="s">
        <v>48</v>
      </c>
      <c r="E87" s="6">
        <v>2013</v>
      </c>
      <c r="F87" s="31">
        <f>F86+SUM(F84:F85)</f>
        <v>2138</v>
      </c>
      <c r="G87" s="29"/>
      <c r="H87" s="29"/>
      <c r="I87" s="29"/>
      <c r="J87" s="29"/>
      <c r="K87" s="8">
        <f t="shared" ref="K87:L87" si="60">SUM(K81:K85)</f>
        <v>207.80651683645698</v>
      </c>
      <c r="L87" s="8">
        <f t="shared" si="60"/>
        <v>1396.8554319931566</v>
      </c>
      <c r="M87" s="8">
        <f>SUM(M81:M85)</f>
        <v>522.73326075122475</v>
      </c>
      <c r="N87" s="8">
        <f>SUM(N81:N85)</f>
        <v>10.604790419161677</v>
      </c>
      <c r="O87" s="12">
        <f>K87/$F87</f>
        <v>9.7196687014245553E-2</v>
      </c>
      <c r="P87" s="12">
        <f t="shared" ref="P87" si="61">L87/$F87</f>
        <v>0.65334678764881038</v>
      </c>
      <c r="Q87" s="12">
        <f>M87/$F87</f>
        <v>0.24449638014556818</v>
      </c>
      <c r="R87" s="12">
        <f>N87/$F87</f>
        <v>4.9601451913759012E-3</v>
      </c>
    </row>
    <row r="88" spans="1:18" x14ac:dyDescent="0.25">
      <c r="F88" s="17"/>
    </row>
    <row r="89" spans="1:18" x14ac:dyDescent="0.25">
      <c r="A89" s="6" t="s">
        <v>2</v>
      </c>
      <c r="B89" s="6" t="s">
        <v>50</v>
      </c>
      <c r="C89" s="6" t="s">
        <v>43</v>
      </c>
      <c r="D89" s="6" t="s">
        <v>44</v>
      </c>
      <c r="E89" s="6">
        <v>2013</v>
      </c>
      <c r="F89" s="13">
        <v>0</v>
      </c>
      <c r="G89" s="24"/>
      <c r="H89" s="24"/>
      <c r="I89" s="24"/>
      <c r="J89" s="24"/>
      <c r="K89" s="8"/>
      <c r="L89" s="8"/>
      <c r="M89" s="8"/>
      <c r="N89" s="8"/>
    </row>
    <row r="90" spans="1:18" x14ac:dyDescent="0.25">
      <c r="A90" s="6" t="s">
        <v>2</v>
      </c>
      <c r="B90" s="6" t="s">
        <v>50</v>
      </c>
      <c r="C90" s="6" t="s">
        <v>45</v>
      </c>
      <c r="D90" s="6" t="s">
        <v>33</v>
      </c>
      <c r="E90" s="6">
        <v>2013</v>
      </c>
      <c r="F90" s="14">
        <v>368</v>
      </c>
      <c r="G90" s="16">
        <v>4</v>
      </c>
      <c r="H90" s="16">
        <v>93</v>
      </c>
      <c r="I90" s="16">
        <v>93</v>
      </c>
      <c r="J90" s="16">
        <v>2</v>
      </c>
      <c r="K90" s="8">
        <f t="shared" ref="K90:K91" si="62">+(G90/(SUM($G90:$J90)))*$F90</f>
        <v>7.6666666666666661</v>
      </c>
      <c r="L90" s="8">
        <f t="shared" ref="L90:L91" si="63">+(H90/(SUM($G90:$J90)))*$F90</f>
        <v>178.25</v>
      </c>
      <c r="M90" s="8">
        <f>+(I90/(SUM($G90:$J90)))*$F90</f>
        <v>178.25</v>
      </c>
      <c r="N90" s="8">
        <f>+(J90/(SUM($G90:$J90)))*$F90</f>
        <v>3.833333333333333</v>
      </c>
    </row>
    <row r="91" spans="1:18" x14ac:dyDescent="0.25">
      <c r="A91" s="6" t="s">
        <v>2</v>
      </c>
      <c r="B91" s="6" t="s">
        <v>50</v>
      </c>
      <c r="C91" s="6" t="s">
        <v>45</v>
      </c>
      <c r="D91" s="6" t="s">
        <v>46</v>
      </c>
      <c r="E91" s="6">
        <v>2013</v>
      </c>
      <c r="F91" s="25">
        <f>+F94-SUM(F89:F90)</f>
        <v>1725</v>
      </c>
      <c r="G91" s="16">
        <v>1</v>
      </c>
      <c r="H91" s="16">
        <v>141</v>
      </c>
      <c r="I91" s="16">
        <v>122</v>
      </c>
      <c r="J91" s="16">
        <v>4</v>
      </c>
      <c r="K91" s="8">
        <f t="shared" si="62"/>
        <v>6.4365671641791042</v>
      </c>
      <c r="L91" s="8">
        <f t="shared" si="63"/>
        <v>907.55597014925377</v>
      </c>
      <c r="M91" s="8">
        <f t="shared" ref="M91" si="64">+(I91/(SUM($G91:$J91)))*$F91</f>
        <v>785.26119402985069</v>
      </c>
      <c r="N91" s="8">
        <f t="shared" ref="N91" si="65">+(J91/(SUM($G91:$J91)))*$F91</f>
        <v>25.746268656716417</v>
      </c>
    </row>
    <row r="92" spans="1:18" x14ac:dyDescent="0.25">
      <c r="A92" s="14" t="s">
        <v>47</v>
      </c>
      <c r="B92" s="6" t="s">
        <v>50</v>
      </c>
      <c r="C92" s="6" t="s">
        <v>43</v>
      </c>
      <c r="D92" s="6" t="s">
        <v>46</v>
      </c>
      <c r="E92" s="6">
        <v>2013</v>
      </c>
      <c r="F92" s="28"/>
      <c r="G92" s="26"/>
      <c r="H92" s="26"/>
      <c r="I92" s="26"/>
      <c r="J92" s="26"/>
      <c r="K92" s="8">
        <f>+IF($F92=0,0,(G92/(SUM($G92:$J92)))*$F92)</f>
        <v>0</v>
      </c>
      <c r="L92" s="8">
        <f>+IF($F92=0,0,(H92/(SUM($G92:$J92)))*$F92)</f>
        <v>0</v>
      </c>
      <c r="M92" s="8">
        <f>+IF($F92=0,0,(I92/(SUM($G92:$J92)))*$F92)</f>
        <v>0</v>
      </c>
      <c r="N92" s="8">
        <f>+IF($F92=0,0,(J92/(SUM($G92:$J92)))*$F92)</f>
        <v>0</v>
      </c>
    </row>
    <row r="93" spans="1:18" x14ac:dyDescent="0.25">
      <c r="A93" s="14" t="s">
        <v>47</v>
      </c>
      <c r="B93" s="6" t="s">
        <v>50</v>
      </c>
      <c r="C93" s="6" t="s">
        <v>45</v>
      </c>
      <c r="D93" s="6" t="s">
        <v>46</v>
      </c>
      <c r="E93" s="6">
        <v>2013</v>
      </c>
      <c r="F93" s="28"/>
      <c r="G93" s="27"/>
      <c r="H93" s="27"/>
      <c r="I93" s="27"/>
      <c r="J93" s="27"/>
      <c r="K93" s="8">
        <f>+IF(G93="",(G91/(SUM($G91:$J91)))*$F93,(G93/(SUM($G93:$J93)))*$F93)</f>
        <v>0</v>
      </c>
      <c r="L93" s="8">
        <f>+IF(H93="",(H91/(SUM($G91:$J91)))*$F93,(H93/(SUM($G93:$J93)))*$F93)</f>
        <v>0</v>
      </c>
      <c r="M93" s="8">
        <f>+IF(I93="",(I91/(SUM($G91:$J91)))*$F93,(I93/(SUM($G93:$J93)))*$F93)</f>
        <v>0</v>
      </c>
      <c r="N93" s="8">
        <f>+IF(J93="",(J91/(SUM($G91:$J91)))*$F93,(J93/(SUM($G93:$J93)))*$F93)</f>
        <v>0</v>
      </c>
    </row>
    <row r="94" spans="1:18" x14ac:dyDescent="0.25">
      <c r="A94" s="6" t="s">
        <v>2</v>
      </c>
      <c r="B94" s="6" t="s">
        <v>50</v>
      </c>
      <c r="C94" s="6" t="s">
        <v>48</v>
      </c>
      <c r="D94" s="6" t="s">
        <v>48</v>
      </c>
      <c r="E94" s="6">
        <v>2013</v>
      </c>
      <c r="F94" s="15">
        <v>2093</v>
      </c>
      <c r="G94" s="29"/>
      <c r="H94" s="29"/>
      <c r="I94" s="29"/>
      <c r="J94" s="29"/>
      <c r="K94" s="8">
        <f>+SUM(K89:K91)</f>
        <v>14.10323383084577</v>
      </c>
      <c r="L94" s="8">
        <f>+SUM(L89:L91)</f>
        <v>1085.8059701492539</v>
      </c>
      <c r="M94" s="8">
        <f>+SUM(M89:M91)</f>
        <v>963.51119402985069</v>
      </c>
      <c r="N94" s="8">
        <f>+SUM(N89:N91)</f>
        <v>29.579601990049749</v>
      </c>
      <c r="O94" s="12">
        <f>K94/$F94</f>
        <v>6.7382865890328577E-3</v>
      </c>
      <c r="P94" s="12">
        <f>L94/$F94</f>
        <v>0.51877972773495173</v>
      </c>
      <c r="Q94" s="12">
        <f>M94/$F94</f>
        <v>0.46034935214039691</v>
      </c>
      <c r="R94" s="12">
        <f>N94/$F94</f>
        <v>1.4132633535618609E-2</v>
      </c>
    </row>
    <row r="95" spans="1:18" x14ac:dyDescent="0.25">
      <c r="A95" s="14" t="s">
        <v>49</v>
      </c>
      <c r="B95" s="6" t="s">
        <v>50</v>
      </c>
      <c r="C95" s="6" t="s">
        <v>48</v>
      </c>
      <c r="D95" s="6" t="s">
        <v>48</v>
      </c>
      <c r="E95" s="6">
        <v>2013</v>
      </c>
      <c r="F95" s="31">
        <f>F94+SUM(F92:F93)</f>
        <v>2093</v>
      </c>
      <c r="G95" s="29"/>
      <c r="H95" s="29"/>
      <c r="I95" s="29"/>
      <c r="J95" s="29"/>
      <c r="K95" s="8">
        <f t="shared" ref="K95:L95" si="66">SUM(K89:K93)</f>
        <v>14.10323383084577</v>
      </c>
      <c r="L95" s="8">
        <f t="shared" si="66"/>
        <v>1085.8059701492539</v>
      </c>
      <c r="M95" s="8">
        <f>SUM(M89:M93)</f>
        <v>963.51119402985069</v>
      </c>
      <c r="N95" s="8">
        <f>SUM(N89:N93)</f>
        <v>29.579601990049749</v>
      </c>
      <c r="O95" s="12">
        <f>K95/$F95</f>
        <v>6.7382865890328577E-3</v>
      </c>
      <c r="P95" s="12">
        <f t="shared" ref="P95" si="67">L95/$F95</f>
        <v>0.51877972773495173</v>
      </c>
      <c r="Q95" s="12">
        <f>M95/$F95</f>
        <v>0.46034935214039691</v>
      </c>
      <c r="R95" s="12">
        <f>N95/$F95</f>
        <v>1.4132633535618609E-2</v>
      </c>
    </row>
    <row r="96" spans="1:18" x14ac:dyDescent="0.25">
      <c r="F96" s="17"/>
      <c r="G96" s="29"/>
      <c r="H96" s="29"/>
      <c r="I96" s="29"/>
      <c r="J96" s="29"/>
    </row>
    <row r="97" spans="1:18" x14ac:dyDescent="0.25">
      <c r="A97" s="6" t="s">
        <v>2</v>
      </c>
      <c r="B97" s="6" t="s">
        <v>51</v>
      </c>
      <c r="C97" s="6" t="s">
        <v>43</v>
      </c>
      <c r="D97" s="6" t="s">
        <v>44</v>
      </c>
      <c r="E97" s="6">
        <v>2013</v>
      </c>
      <c r="F97" s="13">
        <v>0</v>
      </c>
      <c r="G97" s="24">
        <v>0</v>
      </c>
      <c r="H97" s="24">
        <v>0</v>
      </c>
      <c r="I97" s="24">
        <v>0</v>
      </c>
      <c r="J97" s="24">
        <v>0</v>
      </c>
      <c r="K97" s="8"/>
      <c r="L97" s="8"/>
      <c r="M97" s="8"/>
      <c r="N97" s="8"/>
    </row>
    <row r="98" spans="1:18" x14ac:dyDescent="0.25">
      <c r="A98" s="6" t="s">
        <v>2</v>
      </c>
      <c r="B98" s="6" t="s">
        <v>51</v>
      </c>
      <c r="C98" s="6" t="s">
        <v>45</v>
      </c>
      <c r="D98" s="6" t="s">
        <v>33</v>
      </c>
      <c r="E98" s="6">
        <v>2013</v>
      </c>
      <c r="F98" s="14">
        <v>21</v>
      </c>
      <c r="G98" s="16">
        <v>3</v>
      </c>
      <c r="H98" s="16">
        <v>0</v>
      </c>
      <c r="I98" s="16">
        <v>0</v>
      </c>
      <c r="J98" s="16">
        <v>0</v>
      </c>
      <c r="K98" s="8">
        <f t="shared" ref="K98:K99" si="68">+(G98/(SUM($G98:$J98)))*$F98</f>
        <v>21</v>
      </c>
      <c r="L98" s="8">
        <f t="shared" ref="L98:L99" si="69">+(H98/(SUM($G98:$J98)))*$F98</f>
        <v>0</v>
      </c>
      <c r="M98" s="8">
        <f>+(I98/(SUM($G98:$J98)))*$F98</f>
        <v>0</v>
      </c>
      <c r="N98" s="8">
        <f>+(J98/(SUM($G98:$J98)))*$F98</f>
        <v>0</v>
      </c>
    </row>
    <row r="99" spans="1:18" x14ac:dyDescent="0.25">
      <c r="A99" s="6" t="s">
        <v>2</v>
      </c>
      <c r="B99" s="6" t="s">
        <v>51</v>
      </c>
      <c r="C99" s="6" t="s">
        <v>45</v>
      </c>
      <c r="D99" s="6" t="s">
        <v>46</v>
      </c>
      <c r="E99" s="6">
        <v>2013</v>
      </c>
      <c r="F99" s="25">
        <f>+F102-SUM(F97:F98)</f>
        <v>171</v>
      </c>
      <c r="G99" s="16">
        <v>36</v>
      </c>
      <c r="H99" s="16">
        <v>3</v>
      </c>
      <c r="I99" s="16">
        <v>0</v>
      </c>
      <c r="J99" s="16">
        <v>0</v>
      </c>
      <c r="K99" s="8">
        <f t="shared" si="68"/>
        <v>157.84615384615387</v>
      </c>
      <c r="L99" s="8">
        <f t="shared" si="69"/>
        <v>13.153846153846155</v>
      </c>
      <c r="M99" s="8">
        <f t="shared" ref="M99" si="70">+(I99/(SUM($G99:$J99)))*$F99</f>
        <v>0</v>
      </c>
      <c r="N99" s="8">
        <f t="shared" ref="N99" si="71">+(J99/(SUM($G99:$J99)))*$F99</f>
        <v>0</v>
      </c>
    </row>
    <row r="100" spans="1:18" x14ac:dyDescent="0.25">
      <c r="A100" s="14" t="s">
        <v>47</v>
      </c>
      <c r="B100" s="6" t="s">
        <v>51</v>
      </c>
      <c r="C100" s="6" t="s">
        <v>43</v>
      </c>
      <c r="D100" s="6" t="s">
        <v>46</v>
      </c>
      <c r="E100" s="6">
        <v>2013</v>
      </c>
      <c r="F100" s="28"/>
      <c r="G100" s="26"/>
      <c r="H100" s="26"/>
      <c r="I100" s="26"/>
      <c r="J100" s="26"/>
      <c r="K100" s="8">
        <f>+IF($F100=0,0,(G100/(SUM($G100:$J100)))*$F100)</f>
        <v>0</v>
      </c>
      <c r="L100" s="8">
        <f>+IF($F100=0,0,(H100/(SUM($G100:$J100)))*$F100)</f>
        <v>0</v>
      </c>
      <c r="M100" s="8">
        <f>+IF($F100=0,0,(I100/(SUM($G100:$J100)))*$F100)</f>
        <v>0</v>
      </c>
      <c r="N100" s="8">
        <f>+IF($F100=0,0,(J100/(SUM($G100:$J100)))*$F100)</f>
        <v>0</v>
      </c>
    </row>
    <row r="101" spans="1:18" x14ac:dyDescent="0.25">
      <c r="A101" s="14" t="s">
        <v>47</v>
      </c>
      <c r="B101" s="6" t="s">
        <v>51</v>
      </c>
      <c r="C101" s="6" t="s">
        <v>45</v>
      </c>
      <c r="D101" s="6" t="s">
        <v>46</v>
      </c>
      <c r="E101" s="6">
        <v>2013</v>
      </c>
      <c r="F101" s="28"/>
      <c r="G101" s="27"/>
      <c r="H101" s="27"/>
      <c r="I101" s="27"/>
      <c r="J101" s="27"/>
      <c r="K101" s="8">
        <f>+IF(G101="",(G99/(SUM($G99:$J99)))*$F101,(G101/(SUM($G101:$J101)))*$F101)</f>
        <v>0</v>
      </c>
      <c r="L101" s="8">
        <f>+IF(H101="",(H99/(SUM($G99:$J99)))*$F101,(H101/(SUM($G101:$J101)))*$F101)</f>
        <v>0</v>
      </c>
      <c r="M101" s="8">
        <f>+IF(I101="",(I99/(SUM($G99:$J99)))*$F101,(I101/(SUM($G101:$J101)))*$F101)</f>
        <v>0</v>
      </c>
      <c r="N101" s="8">
        <f>+IF(J101="",(J99/(SUM($G99:$J99)))*$F101,(J101/(SUM($G101:$J101)))*$F101)</f>
        <v>0</v>
      </c>
    </row>
    <row r="102" spans="1:18" x14ac:dyDescent="0.25">
      <c r="A102" s="6" t="s">
        <v>2</v>
      </c>
      <c r="B102" s="6" t="s">
        <v>51</v>
      </c>
      <c r="C102" s="6" t="s">
        <v>48</v>
      </c>
      <c r="D102" s="6" t="s">
        <v>48</v>
      </c>
      <c r="E102" s="6">
        <v>2013</v>
      </c>
      <c r="F102" s="15">
        <v>192</v>
      </c>
      <c r="G102" s="29"/>
      <c r="H102" s="29"/>
      <c r="I102" s="29"/>
      <c r="J102" s="29"/>
      <c r="K102" s="8">
        <f>+SUM(K97:K99)</f>
        <v>178.84615384615387</v>
      </c>
      <c r="L102" s="8">
        <f>+SUM(L97:L99)</f>
        <v>13.153846153846155</v>
      </c>
      <c r="M102" s="8">
        <f>+SUM(M97:M99)</f>
        <v>0</v>
      </c>
      <c r="N102" s="8">
        <f>+SUM(N97:N99)</f>
        <v>0</v>
      </c>
      <c r="O102" s="12">
        <f>K102/$F102</f>
        <v>0.93149038461538469</v>
      </c>
      <c r="P102" s="12">
        <f>L102/$F102</f>
        <v>6.8509615384615391E-2</v>
      </c>
      <c r="Q102" s="12">
        <f>M102/$F102</f>
        <v>0</v>
      </c>
      <c r="R102" s="12">
        <f>N102/$F102</f>
        <v>0</v>
      </c>
    </row>
    <row r="103" spans="1:18" x14ac:dyDescent="0.25">
      <c r="A103" s="14" t="s">
        <v>49</v>
      </c>
      <c r="B103" s="6" t="s">
        <v>51</v>
      </c>
      <c r="C103" s="6" t="s">
        <v>48</v>
      </c>
      <c r="D103" s="6" t="s">
        <v>48</v>
      </c>
      <c r="E103" s="6">
        <v>2013</v>
      </c>
      <c r="F103" s="31">
        <f>F102+SUM(F100:F101)</f>
        <v>192</v>
      </c>
      <c r="G103" s="29"/>
      <c r="H103" s="29"/>
      <c r="I103" s="29"/>
      <c r="J103" s="29"/>
      <c r="K103" s="8">
        <f t="shared" ref="K103:L103" si="72">SUM(K97:K101)</f>
        <v>178.84615384615387</v>
      </c>
      <c r="L103" s="8">
        <f t="shared" si="72"/>
        <v>13.153846153846155</v>
      </c>
      <c r="M103" s="8">
        <f>SUM(M97:M101)</f>
        <v>0</v>
      </c>
      <c r="N103" s="8">
        <f>SUM(N97:N101)</f>
        <v>0</v>
      </c>
      <c r="O103" s="12">
        <f>K103/$F103</f>
        <v>0.93149038461538469</v>
      </c>
      <c r="P103" s="12">
        <f t="shared" ref="P103" si="73">L103/$F103</f>
        <v>6.8509615384615391E-2</v>
      </c>
      <c r="Q103" s="12">
        <f>M103/$F103</f>
        <v>0</v>
      </c>
      <c r="R103" s="12">
        <f>N103/$F103</f>
        <v>0</v>
      </c>
    </row>
    <row r="104" spans="1:18" x14ac:dyDescent="0.25">
      <c r="F104" s="17"/>
    </row>
    <row r="105" spans="1:18" x14ac:dyDescent="0.25">
      <c r="A105" s="6" t="s">
        <v>2</v>
      </c>
      <c r="B105" s="6" t="s">
        <v>42</v>
      </c>
      <c r="C105" s="6" t="s">
        <v>43</v>
      </c>
      <c r="D105" s="6" t="s">
        <v>44</v>
      </c>
      <c r="E105" s="6">
        <v>2014</v>
      </c>
      <c r="F105" s="13">
        <v>0</v>
      </c>
      <c r="G105" s="24"/>
      <c r="H105" s="24"/>
      <c r="I105" s="24"/>
      <c r="J105" s="24"/>
      <c r="K105" s="8"/>
      <c r="L105" s="8"/>
      <c r="M105" s="8"/>
      <c r="N105" s="8"/>
    </row>
    <row r="106" spans="1:18" x14ac:dyDescent="0.25">
      <c r="A106" s="6" t="s">
        <v>2</v>
      </c>
      <c r="B106" s="6" t="s">
        <v>42</v>
      </c>
      <c r="C106" s="6" t="s">
        <v>45</v>
      </c>
      <c r="D106" s="6" t="s">
        <v>33</v>
      </c>
      <c r="E106" s="6">
        <v>2014</v>
      </c>
      <c r="F106" s="14">
        <v>824</v>
      </c>
      <c r="G106" s="16">
        <v>1</v>
      </c>
      <c r="H106" s="16">
        <v>49</v>
      </c>
      <c r="I106" s="16">
        <v>25</v>
      </c>
      <c r="J106" s="16">
        <v>1</v>
      </c>
      <c r="K106" s="8">
        <f t="shared" ref="K106:K107" si="74">+(G106/(SUM($G106:$J106)))*$F106</f>
        <v>10.842105263157894</v>
      </c>
      <c r="L106" s="8">
        <f t="shared" ref="L106:L107" si="75">+(H106/(SUM($G106:$J106)))*$F106</f>
        <v>531.26315789473688</v>
      </c>
      <c r="M106" s="8">
        <f>+(I106/(SUM($G106:$J106)))*$F106</f>
        <v>271.0526315789474</v>
      </c>
      <c r="N106" s="8">
        <f>+(J106/(SUM($G106:$J106)))*$F106</f>
        <v>10.842105263157894</v>
      </c>
    </row>
    <row r="107" spans="1:18" x14ac:dyDescent="0.25">
      <c r="A107" s="6" t="s">
        <v>2</v>
      </c>
      <c r="B107" s="6" t="s">
        <v>42</v>
      </c>
      <c r="C107" s="6" t="s">
        <v>45</v>
      </c>
      <c r="D107" s="6" t="s">
        <v>46</v>
      </c>
      <c r="E107" s="6">
        <v>2014</v>
      </c>
      <c r="F107" s="25">
        <f>+F110-SUM(F105:F106)</f>
        <v>6306</v>
      </c>
      <c r="G107" s="16">
        <v>0</v>
      </c>
      <c r="H107" s="16">
        <v>39</v>
      </c>
      <c r="I107" s="16">
        <v>37</v>
      </c>
      <c r="J107" s="16">
        <v>1</v>
      </c>
      <c r="K107" s="8">
        <f t="shared" si="74"/>
        <v>0</v>
      </c>
      <c r="L107" s="8">
        <f t="shared" si="75"/>
        <v>3193.9480519480517</v>
      </c>
      <c r="M107" s="8">
        <f t="shared" ref="M107" si="76">+(I107/(SUM($G107:$J107)))*$F107</f>
        <v>3030.1558441558441</v>
      </c>
      <c r="N107" s="8">
        <f t="shared" ref="N107" si="77">+(J107/(SUM($G107:$J107)))*$F107</f>
        <v>81.896103896103895</v>
      </c>
    </row>
    <row r="108" spans="1:18" x14ac:dyDescent="0.25">
      <c r="A108" s="14" t="s">
        <v>47</v>
      </c>
      <c r="B108" s="6" t="s">
        <v>42</v>
      </c>
      <c r="C108" s="6" t="s">
        <v>43</v>
      </c>
      <c r="D108" s="6" t="s">
        <v>46</v>
      </c>
      <c r="E108" s="6">
        <v>2014</v>
      </c>
      <c r="F108" s="28">
        <v>0</v>
      </c>
      <c r="G108" s="26"/>
      <c r="H108" s="26"/>
      <c r="I108" s="26"/>
      <c r="J108" s="26"/>
      <c r="K108" s="8">
        <f>+IF($F108=0,0,(G108/(SUM($G108:$J108)))*$F108)</f>
        <v>0</v>
      </c>
      <c r="L108" s="8">
        <f>+IF($F108=0,0,(H108/(SUM($G108:$J108)))*$F108)</f>
        <v>0</v>
      </c>
      <c r="M108" s="8">
        <f>+IF($F108=0,0,(I108/(SUM($G108:$J108)))*$F108)</f>
        <v>0</v>
      </c>
      <c r="N108" s="8">
        <f>+IF($F108=0,0,(J108/(SUM($G108:$J108)))*$F108)</f>
        <v>0</v>
      </c>
    </row>
    <row r="109" spans="1:18" x14ac:dyDescent="0.25">
      <c r="A109" s="14" t="s">
        <v>47</v>
      </c>
      <c r="B109" s="6" t="s">
        <v>42</v>
      </c>
      <c r="C109" s="6" t="s">
        <v>45</v>
      </c>
      <c r="D109" s="6" t="s">
        <v>46</v>
      </c>
      <c r="E109" s="6">
        <v>2014</v>
      </c>
      <c r="F109" s="28">
        <v>51</v>
      </c>
      <c r="G109" s="27"/>
      <c r="H109" s="27"/>
      <c r="I109" s="27"/>
      <c r="J109" s="27"/>
      <c r="K109" s="8">
        <f>+IF(G109="",(G107/(SUM($G107:$J107)))*$F109,(G109/(SUM($G109:$J109)))*$F109)</f>
        <v>0</v>
      </c>
      <c r="L109" s="8">
        <f>+IF(H109="",(H107/(SUM($G107:$J107)))*$F109,(H109/(SUM($G109:$J109)))*$F109)</f>
        <v>25.831168831168828</v>
      </c>
      <c r="M109" s="8">
        <f>+IF(I109="",(I107/(SUM($G107:$J107)))*$F109,(I109/(SUM($G109:$J109)))*$F109)</f>
        <v>24.506493506493506</v>
      </c>
      <c r="N109" s="8">
        <f>+IF(J109="",(J107/(SUM($G107:$J107)))*$F109,(J109/(SUM($G109:$J109)))*$F109)</f>
        <v>0.66233766233766234</v>
      </c>
    </row>
    <row r="110" spans="1:18" x14ac:dyDescent="0.25">
      <c r="A110" s="6" t="s">
        <v>2</v>
      </c>
      <c r="B110" s="6" t="s">
        <v>42</v>
      </c>
      <c r="C110" s="6" t="s">
        <v>48</v>
      </c>
      <c r="D110" s="6" t="s">
        <v>48</v>
      </c>
      <c r="E110" s="6">
        <v>2014</v>
      </c>
      <c r="F110" s="13">
        <v>7130</v>
      </c>
      <c r="G110" s="29"/>
      <c r="H110" s="29"/>
      <c r="I110" s="29"/>
      <c r="J110" s="29"/>
      <c r="K110" s="8">
        <f>+SUM(K105:K107)</f>
        <v>10.842105263157894</v>
      </c>
      <c r="L110" s="8">
        <f>+SUM(L105:L107)</f>
        <v>3725.2112098427888</v>
      </c>
      <c r="M110" s="8">
        <f>+SUM(M105:M107)</f>
        <v>3301.2084757347916</v>
      </c>
      <c r="N110" s="8">
        <f>+SUM(N105:N107)</f>
        <v>92.738209159261785</v>
      </c>
      <c r="O110" s="12">
        <f>K110/$F110</f>
        <v>1.5206318742156935E-3</v>
      </c>
      <c r="P110" s="12">
        <f>L110/$F110</f>
        <v>0.52247001540572069</v>
      </c>
      <c r="Q110" s="12">
        <f>M110/$F110</f>
        <v>0.46300259126715171</v>
      </c>
      <c r="R110" s="12">
        <f>N110/$F110</f>
        <v>1.3006761452911891E-2</v>
      </c>
    </row>
    <row r="111" spans="1:18" x14ac:dyDescent="0.25">
      <c r="A111" s="14" t="s">
        <v>49</v>
      </c>
      <c r="B111" s="6" t="s">
        <v>42</v>
      </c>
      <c r="C111" s="6" t="s">
        <v>48</v>
      </c>
      <c r="D111" s="6" t="s">
        <v>48</v>
      </c>
      <c r="E111" s="6">
        <v>2014</v>
      </c>
      <c r="F111" s="31">
        <f>F110+SUM(F108:F109)</f>
        <v>7181</v>
      </c>
      <c r="G111" s="29"/>
      <c r="H111" s="29"/>
      <c r="I111" s="29"/>
      <c r="J111" s="29"/>
      <c r="K111" s="8">
        <f t="shared" ref="K111:L111" si="78">SUM(K105:K109)</f>
        <v>10.842105263157894</v>
      </c>
      <c r="L111" s="8">
        <f t="shared" si="78"/>
        <v>3751.0423786739575</v>
      </c>
      <c r="M111" s="8">
        <f>SUM(M105:M109)</f>
        <v>3325.714969241285</v>
      </c>
      <c r="N111" s="8">
        <f>SUM(N105:N109)</f>
        <v>93.400546821599448</v>
      </c>
      <c r="O111" s="12">
        <f>K111/$F111</f>
        <v>1.5098322327193837E-3</v>
      </c>
      <c r="P111" s="12">
        <f t="shared" ref="P111" si="79">L111/$F111</f>
        <v>0.52235654904246731</v>
      </c>
      <c r="Q111" s="12">
        <f>M111/$F111</f>
        <v>0.46312699752698577</v>
      </c>
      <c r="R111" s="12">
        <f>N111/$F111</f>
        <v>1.3006621197827525E-2</v>
      </c>
    </row>
    <row r="112" spans="1:18" x14ac:dyDescent="0.25">
      <c r="F112" s="17"/>
    </row>
    <row r="113" spans="1:18" x14ac:dyDescent="0.25">
      <c r="A113" s="6" t="s">
        <v>2</v>
      </c>
      <c r="B113" s="6" t="s">
        <v>50</v>
      </c>
      <c r="C113" s="6" t="s">
        <v>43</v>
      </c>
      <c r="D113" s="6" t="s">
        <v>44</v>
      </c>
      <c r="E113" s="6">
        <v>2014</v>
      </c>
      <c r="F113" s="13">
        <v>0</v>
      </c>
      <c r="G113" s="24"/>
      <c r="H113" s="24"/>
      <c r="I113" s="24"/>
      <c r="J113" s="24"/>
      <c r="K113" s="8"/>
      <c r="L113" s="8"/>
      <c r="M113" s="8"/>
      <c r="N113" s="8"/>
    </row>
    <row r="114" spans="1:18" x14ac:dyDescent="0.25">
      <c r="A114" s="6" t="s">
        <v>2</v>
      </c>
      <c r="B114" s="6" t="s">
        <v>50</v>
      </c>
      <c r="C114" s="6" t="s">
        <v>45</v>
      </c>
      <c r="D114" s="6" t="s">
        <v>33</v>
      </c>
      <c r="E114" s="6">
        <v>2014</v>
      </c>
      <c r="F114" s="14">
        <v>793</v>
      </c>
      <c r="G114" s="16">
        <v>0</v>
      </c>
      <c r="H114" s="16">
        <v>51</v>
      </c>
      <c r="I114" s="16">
        <v>79</v>
      </c>
      <c r="J114" s="16">
        <v>0</v>
      </c>
      <c r="K114" s="8">
        <f t="shared" ref="K114:K115" si="80">+(G114/(SUM($G114:$J114)))*$F114</f>
        <v>0</v>
      </c>
      <c r="L114" s="8">
        <f t="shared" ref="L114:L115" si="81">+(H114/(SUM($G114:$J114)))*$F114</f>
        <v>311.10000000000002</v>
      </c>
      <c r="M114" s="8">
        <f>+(I114/(SUM($G114:$J114)))*$F114</f>
        <v>481.9</v>
      </c>
      <c r="N114" s="8">
        <f>+(J114/(SUM($G114:$J114)))*$F114</f>
        <v>0</v>
      </c>
    </row>
    <row r="115" spans="1:18" x14ac:dyDescent="0.25">
      <c r="A115" s="6" t="s">
        <v>2</v>
      </c>
      <c r="B115" s="6" t="s">
        <v>50</v>
      </c>
      <c r="C115" s="6" t="s">
        <v>45</v>
      </c>
      <c r="D115" s="6" t="s">
        <v>46</v>
      </c>
      <c r="E115" s="6">
        <v>2014</v>
      </c>
      <c r="F115" s="25">
        <f>+F118-SUM(F113:F114)</f>
        <v>5323</v>
      </c>
      <c r="G115" s="16">
        <v>0</v>
      </c>
      <c r="H115" s="16">
        <v>48</v>
      </c>
      <c r="I115" s="16">
        <v>98</v>
      </c>
      <c r="J115" s="16">
        <v>1</v>
      </c>
      <c r="K115" s="8">
        <f t="shared" si="80"/>
        <v>0</v>
      </c>
      <c r="L115" s="8">
        <f t="shared" si="81"/>
        <v>1738.1224489795918</v>
      </c>
      <c r="M115" s="8">
        <f t="shared" ref="M115" si="82">+(I115/(SUM($G115:$J115)))*$F115</f>
        <v>3548.6666666666665</v>
      </c>
      <c r="N115" s="8">
        <f t="shared" ref="N115" si="83">+(J115/(SUM($G115:$J115)))*$F115</f>
        <v>36.210884353741498</v>
      </c>
    </row>
    <row r="116" spans="1:18" x14ac:dyDescent="0.25">
      <c r="A116" s="14" t="s">
        <v>47</v>
      </c>
      <c r="B116" s="6" t="s">
        <v>50</v>
      </c>
      <c r="C116" s="6" t="s">
        <v>43</v>
      </c>
      <c r="D116" s="6" t="s">
        <v>46</v>
      </c>
      <c r="E116" s="6">
        <v>2014</v>
      </c>
      <c r="F116" s="28">
        <v>0</v>
      </c>
      <c r="G116" s="26"/>
      <c r="H116" s="26"/>
      <c r="I116" s="26"/>
      <c r="J116" s="26"/>
      <c r="K116" s="8">
        <f>+IF($F116=0,0,(G116/(SUM($G116:$J116)))*$F116)</f>
        <v>0</v>
      </c>
      <c r="L116" s="8">
        <f>+IF($F116=0,0,(H116/(SUM($G116:$J116)))*$F116)</f>
        <v>0</v>
      </c>
      <c r="M116" s="8">
        <f>+IF($F116=0,0,(I116/(SUM($G116:$J116)))*$F116)</f>
        <v>0</v>
      </c>
      <c r="N116" s="8">
        <f>+IF($F116=0,0,(J116/(SUM($G116:$J116)))*$F116)</f>
        <v>0</v>
      </c>
    </row>
    <row r="117" spans="1:18" x14ac:dyDescent="0.25">
      <c r="A117" s="14" t="s">
        <v>47</v>
      </c>
      <c r="B117" s="6" t="s">
        <v>50</v>
      </c>
      <c r="C117" s="6" t="s">
        <v>45</v>
      </c>
      <c r="D117" s="6" t="s">
        <v>46</v>
      </c>
      <c r="E117" s="6">
        <v>2014</v>
      </c>
      <c r="F117" s="28">
        <v>49</v>
      </c>
      <c r="G117" s="27"/>
      <c r="H117" s="27"/>
      <c r="I117" s="27"/>
      <c r="J117" s="27"/>
      <c r="K117" s="8">
        <f>+IF(G117="",(G115/(SUM($G115:$J115)))*$F117,(G117/(SUM($G117:$J117)))*$F117)</f>
        <v>0</v>
      </c>
      <c r="L117" s="8">
        <f>+IF(H117="",(H115/(SUM($G115:$J115)))*$F117,(H117/(SUM($G117:$J117)))*$F117)</f>
        <v>15.999999999999998</v>
      </c>
      <c r="M117" s="8">
        <f>+IF(I117="",(I115/(SUM($G115:$J115)))*$F117,(I117/(SUM($G117:$J117)))*$F117)</f>
        <v>32.666666666666664</v>
      </c>
      <c r="N117" s="8">
        <f>+IF(J117="",(J115/(SUM($G115:$J115)))*$F117,(J117/(SUM($G117:$J117)))*$F117)</f>
        <v>0.33333333333333331</v>
      </c>
    </row>
    <row r="118" spans="1:18" x14ac:dyDescent="0.25">
      <c r="A118" s="6" t="s">
        <v>2</v>
      </c>
      <c r="B118" s="6" t="s">
        <v>50</v>
      </c>
      <c r="C118" s="6" t="s">
        <v>48</v>
      </c>
      <c r="D118" s="6" t="s">
        <v>48</v>
      </c>
      <c r="E118" s="6">
        <v>2014</v>
      </c>
      <c r="F118" s="15">
        <v>6116</v>
      </c>
      <c r="G118" s="29"/>
      <c r="H118" s="29"/>
      <c r="I118" s="29"/>
      <c r="J118" s="29"/>
      <c r="K118" s="8">
        <f>+SUM(K113:K115)</f>
        <v>0</v>
      </c>
      <c r="L118" s="8">
        <f>+SUM(L113:L115)</f>
        <v>2049.2224489795917</v>
      </c>
      <c r="M118" s="8">
        <f>+SUM(M113:M115)</f>
        <v>4030.5666666666666</v>
      </c>
      <c r="N118" s="8">
        <f>+SUM(N113:N115)</f>
        <v>36.210884353741498</v>
      </c>
      <c r="O118" s="12">
        <f>K118/$F118</f>
        <v>0</v>
      </c>
      <c r="P118" s="12">
        <f>L118/$F118</f>
        <v>0.33505926242308565</v>
      </c>
      <c r="Q118" s="12">
        <f>M118/$F118</f>
        <v>0.6590200566819272</v>
      </c>
      <c r="R118" s="12">
        <f>N118/$F118</f>
        <v>5.9206808949871645E-3</v>
      </c>
    </row>
    <row r="119" spans="1:18" x14ac:dyDescent="0.25">
      <c r="A119" s="14" t="s">
        <v>49</v>
      </c>
      <c r="B119" s="6" t="s">
        <v>50</v>
      </c>
      <c r="C119" s="6" t="s">
        <v>48</v>
      </c>
      <c r="D119" s="6" t="s">
        <v>48</v>
      </c>
      <c r="E119" s="6">
        <v>2014</v>
      </c>
      <c r="F119" s="31">
        <f>F118+SUM(F116:F117)</f>
        <v>6165</v>
      </c>
      <c r="G119" s="29"/>
      <c r="H119" s="29"/>
      <c r="I119" s="29"/>
      <c r="J119" s="29"/>
      <c r="K119" s="8">
        <f t="shared" ref="K119:L119" si="84">SUM(K113:K117)</f>
        <v>0</v>
      </c>
      <c r="L119" s="8">
        <f t="shared" si="84"/>
        <v>2065.2224489795917</v>
      </c>
      <c r="M119" s="8">
        <f>SUM(M113:M117)</f>
        <v>4063.2333333333331</v>
      </c>
      <c r="N119" s="8">
        <f>SUM(N113:N117)</f>
        <v>36.544217687074834</v>
      </c>
      <c r="O119" s="12">
        <f>K119/$F119</f>
        <v>0</v>
      </c>
      <c r="P119" s="12">
        <f t="shared" ref="P119" si="85">L119/$F119</f>
        <v>0.33499147590909839</v>
      </c>
      <c r="Q119" s="12">
        <f>M119/$F119</f>
        <v>0.65908083265747497</v>
      </c>
      <c r="R119" s="12">
        <f>N119/$F119</f>
        <v>5.9276914334265747E-3</v>
      </c>
    </row>
    <row r="120" spans="1:18" x14ac:dyDescent="0.25">
      <c r="F120" s="17"/>
      <c r="G120" s="29"/>
      <c r="H120" s="29"/>
      <c r="I120" s="29"/>
      <c r="J120" s="29"/>
    </row>
    <row r="121" spans="1:18" x14ac:dyDescent="0.25">
      <c r="A121" s="6" t="s">
        <v>2</v>
      </c>
      <c r="B121" s="6" t="s">
        <v>51</v>
      </c>
      <c r="C121" s="6" t="s">
        <v>43</v>
      </c>
      <c r="D121" s="6" t="s">
        <v>44</v>
      </c>
      <c r="E121" s="6">
        <v>2014</v>
      </c>
      <c r="F121" s="13">
        <v>0</v>
      </c>
      <c r="G121" s="24"/>
      <c r="H121" s="24"/>
      <c r="I121" s="24"/>
      <c r="J121" s="24"/>
      <c r="K121" s="8"/>
      <c r="L121" s="8"/>
      <c r="M121" s="8"/>
      <c r="N121" s="8"/>
    </row>
    <row r="122" spans="1:18" x14ac:dyDescent="0.25">
      <c r="A122" s="6" t="s">
        <v>2</v>
      </c>
      <c r="B122" s="6" t="s">
        <v>51</v>
      </c>
      <c r="C122" s="6" t="s">
        <v>45</v>
      </c>
      <c r="D122" s="6" t="s">
        <v>33</v>
      </c>
      <c r="E122" s="6">
        <v>2014</v>
      </c>
      <c r="F122" s="14">
        <v>2</v>
      </c>
      <c r="G122" s="16"/>
      <c r="H122" s="16"/>
      <c r="I122" s="16"/>
      <c r="J122" s="16"/>
      <c r="K122" s="114">
        <f>+IF(G122="",(G123/(SUM($G123:$J123)))*$F122,(G122/(SUM($G122:$J122)))*$F122)</f>
        <v>2</v>
      </c>
      <c r="L122" s="114">
        <f t="shared" ref="L122:N122" si="86">+IF(H122="",(H123/(SUM($G123:$J123)))*$F122,(H122/(SUM($G122:$J122)))*$F122)</f>
        <v>0</v>
      </c>
      <c r="M122" s="114">
        <f t="shared" si="86"/>
        <v>0</v>
      </c>
      <c r="N122" s="114">
        <f t="shared" si="86"/>
        <v>0</v>
      </c>
    </row>
    <row r="123" spans="1:18" x14ac:dyDescent="0.25">
      <c r="A123" s="6" t="s">
        <v>2</v>
      </c>
      <c r="B123" s="6" t="s">
        <v>51</v>
      </c>
      <c r="C123" s="6" t="s">
        <v>45</v>
      </c>
      <c r="D123" s="6" t="s">
        <v>46</v>
      </c>
      <c r="E123" s="6">
        <v>2014</v>
      </c>
      <c r="F123" s="25">
        <f>+F126-SUM(F121:F122)</f>
        <v>18</v>
      </c>
      <c r="G123" s="16">
        <v>1</v>
      </c>
      <c r="H123" s="16">
        <v>0</v>
      </c>
      <c r="I123" s="16">
        <v>0</v>
      </c>
      <c r="J123" s="16">
        <v>0</v>
      </c>
      <c r="K123" s="8">
        <f t="shared" ref="K123" si="87">+(G123/(SUM($G123:$J123)))*$F123</f>
        <v>18</v>
      </c>
      <c r="L123" s="8">
        <f t="shared" ref="L123" si="88">+(H123/(SUM($G123:$J123)))*$F123</f>
        <v>0</v>
      </c>
      <c r="M123" s="8">
        <f t="shared" ref="M123" si="89">+(I123/(SUM($G123:$J123)))*$F123</f>
        <v>0</v>
      </c>
      <c r="N123" s="8">
        <f t="shared" ref="N123" si="90">+(J123/(SUM($G123:$J123)))*$F123</f>
        <v>0</v>
      </c>
    </row>
    <row r="124" spans="1:18" x14ac:dyDescent="0.25">
      <c r="A124" s="14" t="s">
        <v>47</v>
      </c>
      <c r="B124" s="6" t="s">
        <v>51</v>
      </c>
      <c r="C124" s="6" t="s">
        <v>43</v>
      </c>
      <c r="D124" s="6" t="s">
        <v>46</v>
      </c>
      <c r="E124" s="6">
        <v>2014</v>
      </c>
      <c r="F124" s="28"/>
      <c r="G124" s="26"/>
      <c r="H124" s="26"/>
      <c r="I124" s="26"/>
      <c r="J124" s="26"/>
      <c r="K124" s="8">
        <f>+IF($F124=0,0,(G124/(SUM($G124:$J124)))*$F124)</f>
        <v>0</v>
      </c>
      <c r="L124" s="8">
        <f>+IF($F124=0,0,(H124/(SUM($G124:$J124)))*$F124)</f>
        <v>0</v>
      </c>
      <c r="M124" s="8">
        <f>+IF($F124=0,0,(I124/(SUM($G124:$J124)))*$F124)</f>
        <v>0</v>
      </c>
      <c r="N124" s="8">
        <f>+IF($F124=0,0,(J124/(SUM($G124:$J124)))*$F124)</f>
        <v>0</v>
      </c>
    </row>
    <row r="125" spans="1:18" x14ac:dyDescent="0.25">
      <c r="A125" s="14" t="s">
        <v>47</v>
      </c>
      <c r="B125" s="6" t="s">
        <v>51</v>
      </c>
      <c r="C125" s="6" t="s">
        <v>45</v>
      </c>
      <c r="D125" s="6" t="s">
        <v>46</v>
      </c>
      <c r="E125" s="6">
        <v>2014</v>
      </c>
      <c r="F125" s="28"/>
      <c r="G125" s="27"/>
      <c r="H125" s="27"/>
      <c r="I125" s="27"/>
      <c r="J125" s="27"/>
      <c r="K125" s="8">
        <f>+IF(G125="",(G123/(SUM($G123:$J123)))*$F125,(G125/(SUM($G125:$J125)))*$F125)</f>
        <v>0</v>
      </c>
      <c r="L125" s="8">
        <f>+IF(H125="",(H123/(SUM($G123:$J123)))*$F125,(H125/(SUM($G125:$J125)))*$F125)</f>
        <v>0</v>
      </c>
      <c r="M125" s="8">
        <f>+IF(I125="",(I123/(SUM($G123:$J123)))*$F125,(I125/(SUM($G125:$J125)))*$F125)</f>
        <v>0</v>
      </c>
      <c r="N125" s="8">
        <f>+IF(J125="",(J123/(SUM($G123:$J123)))*$F125,(J125/(SUM($G125:$J125)))*$F125)</f>
        <v>0</v>
      </c>
    </row>
    <row r="126" spans="1:18" x14ac:dyDescent="0.25">
      <c r="A126" s="6" t="s">
        <v>2</v>
      </c>
      <c r="B126" s="6" t="s">
        <v>51</v>
      </c>
      <c r="C126" s="6" t="s">
        <v>48</v>
      </c>
      <c r="D126" s="6" t="s">
        <v>48</v>
      </c>
      <c r="E126" s="6">
        <v>2014</v>
      </c>
      <c r="F126" s="15">
        <v>20</v>
      </c>
      <c r="G126" s="29"/>
      <c r="H126" s="29"/>
      <c r="I126" s="29"/>
      <c r="J126" s="29"/>
      <c r="K126" s="8">
        <f>+SUM(K121:K123)</f>
        <v>20</v>
      </c>
      <c r="L126" s="8">
        <f>+SUM(L121:L123)</f>
        <v>0</v>
      </c>
      <c r="M126" s="8">
        <f>+SUM(M121:M123)</f>
        <v>0</v>
      </c>
      <c r="N126" s="8">
        <f>+SUM(N121:N123)</f>
        <v>0</v>
      </c>
      <c r="O126" s="12">
        <f>K126/$F126</f>
        <v>1</v>
      </c>
      <c r="P126" s="12">
        <f>L126/$F126</f>
        <v>0</v>
      </c>
      <c r="Q126" s="12">
        <f>M126/$F126</f>
        <v>0</v>
      </c>
      <c r="R126" s="12">
        <f>N126/$F126</f>
        <v>0</v>
      </c>
    </row>
    <row r="127" spans="1:18" x14ac:dyDescent="0.25">
      <c r="A127" s="14" t="s">
        <v>49</v>
      </c>
      <c r="B127" s="6" t="s">
        <v>51</v>
      </c>
      <c r="C127" s="6" t="s">
        <v>48</v>
      </c>
      <c r="D127" s="6" t="s">
        <v>48</v>
      </c>
      <c r="E127" s="6">
        <v>2014</v>
      </c>
      <c r="F127" s="31">
        <f>F126+SUM(F124:F125)</f>
        <v>20</v>
      </c>
      <c r="K127" s="8">
        <f t="shared" ref="K127:L127" si="91">SUM(K121:K125)</f>
        <v>20</v>
      </c>
      <c r="L127" s="8">
        <f t="shared" si="91"/>
        <v>0</v>
      </c>
      <c r="M127" s="8">
        <f>SUM(M121:M125)</f>
        <v>0</v>
      </c>
      <c r="N127" s="8">
        <f>SUM(N121:N125)</f>
        <v>0</v>
      </c>
      <c r="O127" s="12">
        <f>K127/$F127</f>
        <v>1</v>
      </c>
      <c r="P127" s="12">
        <f t="shared" ref="P127" si="92">L127/$F127</f>
        <v>0</v>
      </c>
      <c r="Q127" s="12">
        <f>M127/$F127</f>
        <v>0</v>
      </c>
      <c r="R127" s="12">
        <f>N127/$F127</f>
        <v>0</v>
      </c>
    </row>
    <row r="129" spans="1:18" x14ac:dyDescent="0.25">
      <c r="A129" s="6" t="s">
        <v>52</v>
      </c>
      <c r="B129" s="34"/>
    </row>
    <row r="130" spans="1:18" x14ac:dyDescent="0.25">
      <c r="A130" s="6" t="s">
        <v>2</v>
      </c>
      <c r="B130" s="6" t="s">
        <v>42</v>
      </c>
      <c r="C130" s="6" t="s">
        <v>43</v>
      </c>
      <c r="D130" s="6" t="s">
        <v>44</v>
      </c>
      <c r="E130" s="6">
        <v>2015</v>
      </c>
      <c r="F130" s="13">
        <v>0</v>
      </c>
      <c r="G130" s="24"/>
      <c r="H130" s="24"/>
      <c r="I130" s="24"/>
      <c r="J130" s="24"/>
      <c r="K130" s="8"/>
      <c r="L130" s="8"/>
      <c r="M130" s="8"/>
      <c r="N130" s="8"/>
    </row>
    <row r="131" spans="1:18" x14ac:dyDescent="0.25">
      <c r="A131" s="6" t="s">
        <v>2</v>
      </c>
      <c r="B131" s="6" t="s">
        <v>42</v>
      </c>
      <c r="C131" s="6" t="s">
        <v>45</v>
      </c>
      <c r="D131" s="6" t="s">
        <v>33</v>
      </c>
      <c r="E131" s="6">
        <v>2015</v>
      </c>
      <c r="F131" s="14">
        <v>583</v>
      </c>
      <c r="G131" s="16">
        <v>1</v>
      </c>
      <c r="H131" s="16">
        <v>42</v>
      </c>
      <c r="I131" s="16">
        <v>50</v>
      </c>
      <c r="J131" s="16">
        <v>2</v>
      </c>
      <c r="K131" s="8">
        <f t="shared" ref="K131:K132" si="93">+(G131/(SUM($G131:$J131)))*$F131</f>
        <v>6.1368421052631579</v>
      </c>
      <c r="L131" s="8">
        <f t="shared" ref="L131:L132" si="94">+(H131/(SUM($G131:$J131)))*$F131</f>
        <v>257.74736842105261</v>
      </c>
      <c r="M131" s="8">
        <f>+(I131/(SUM($G131:$J131)))*$F131</f>
        <v>306.84210526315786</v>
      </c>
      <c r="N131" s="8">
        <f>+(J131/(SUM($G131:$J131)))*$F131</f>
        <v>12.273684210526316</v>
      </c>
    </row>
    <row r="132" spans="1:18" x14ac:dyDescent="0.25">
      <c r="A132" s="6" t="s">
        <v>2</v>
      </c>
      <c r="B132" s="6" t="s">
        <v>42</v>
      </c>
      <c r="C132" s="6" t="s">
        <v>45</v>
      </c>
      <c r="D132" s="6" t="s">
        <v>46</v>
      </c>
      <c r="E132" s="6">
        <v>2015</v>
      </c>
      <c r="F132" s="25">
        <f>+F135-SUM(F130:F131)</f>
        <v>4276</v>
      </c>
      <c r="G132" s="16">
        <v>0</v>
      </c>
      <c r="H132" s="16">
        <v>34</v>
      </c>
      <c r="I132" s="16">
        <v>63</v>
      </c>
      <c r="J132" s="16">
        <v>1</v>
      </c>
      <c r="K132" s="8">
        <f t="shared" si="93"/>
        <v>0</v>
      </c>
      <c r="L132" s="8">
        <f t="shared" si="94"/>
        <v>1483.5102040816325</v>
      </c>
      <c r="M132" s="8">
        <f t="shared" ref="M132" si="95">+(I132/(SUM($G132:$J132)))*$F132</f>
        <v>2748.8571428571431</v>
      </c>
      <c r="N132" s="8">
        <f t="shared" ref="N132" si="96">+(J132/(SUM($G132:$J132)))*$F132</f>
        <v>43.632653061224488</v>
      </c>
    </row>
    <row r="133" spans="1:18" x14ac:dyDescent="0.25">
      <c r="A133" s="14" t="s">
        <v>47</v>
      </c>
      <c r="B133" s="6" t="s">
        <v>42</v>
      </c>
      <c r="C133" s="6" t="s">
        <v>43</v>
      </c>
      <c r="D133" s="6" t="s">
        <v>46</v>
      </c>
      <c r="E133" s="6">
        <v>2015</v>
      </c>
      <c r="F133" s="28">
        <v>0</v>
      </c>
      <c r="G133" s="26"/>
      <c r="H133" s="26"/>
      <c r="I133" s="26"/>
      <c r="J133" s="26"/>
      <c r="K133" s="8">
        <f>+IF($F133=0,0,(G133/(SUM($G133:$J133)))*$F133)</f>
        <v>0</v>
      </c>
      <c r="L133" s="8">
        <f>+IF($F133=0,0,(H133/(SUM($G133:$J133)))*$F133)</f>
        <v>0</v>
      </c>
      <c r="M133" s="8">
        <f>+IF($F133=0,0,(I133/(SUM($G133:$J133)))*$F133)</f>
        <v>0</v>
      </c>
      <c r="N133" s="8">
        <f>+IF($F133=0,0,(J133/(SUM($G133:$J133)))*$F133)</f>
        <v>0</v>
      </c>
    </row>
    <row r="134" spans="1:18" x14ac:dyDescent="0.25">
      <c r="A134" s="14" t="s">
        <v>47</v>
      </c>
      <c r="B134" s="6" t="s">
        <v>42</v>
      </c>
      <c r="C134" s="6" t="s">
        <v>45</v>
      </c>
      <c r="D134" s="6" t="s">
        <v>46</v>
      </c>
      <c r="E134" s="6">
        <v>2015</v>
      </c>
      <c r="F134" s="28">
        <v>32</v>
      </c>
      <c r="G134" s="27"/>
      <c r="H134" s="27"/>
      <c r="I134" s="27"/>
      <c r="J134" s="27"/>
      <c r="K134" s="8">
        <f>+IF(G134="",(G132/(SUM($G132:$J132)))*$F134,(G134/(SUM($G134:$J134)))*$F134)</f>
        <v>0</v>
      </c>
      <c r="L134" s="8">
        <f>+IF(H134="",(H132/(SUM($G132:$J132)))*$F134,(H134/(SUM($G134:$J134)))*$F134)</f>
        <v>11.102040816326531</v>
      </c>
      <c r="M134" s="8">
        <f>+IF(I134="",(I132/(SUM($G132:$J132)))*$F134,(I134/(SUM($G134:$J134)))*$F134)</f>
        <v>20.571428571428573</v>
      </c>
      <c r="N134" s="8">
        <f>+IF(J134="",(J132/(SUM($G132:$J132)))*$F134,(J134/(SUM($G134:$J134)))*$F134)</f>
        <v>0.32653061224489793</v>
      </c>
    </row>
    <row r="135" spans="1:18" x14ac:dyDescent="0.25">
      <c r="A135" s="6" t="s">
        <v>2</v>
      </c>
      <c r="B135" s="6" t="s">
        <v>42</v>
      </c>
      <c r="C135" s="6" t="s">
        <v>48</v>
      </c>
      <c r="D135" s="6" t="s">
        <v>48</v>
      </c>
      <c r="E135" s="6">
        <v>2015</v>
      </c>
      <c r="F135" s="13">
        <v>4859</v>
      </c>
      <c r="G135" s="29"/>
      <c r="H135" s="29"/>
      <c r="I135" s="29"/>
      <c r="J135" s="29"/>
      <c r="K135" s="8">
        <f>+SUM(K130:K132)</f>
        <v>6.1368421052631579</v>
      </c>
      <c r="L135" s="8">
        <f>+SUM(L130:L132)</f>
        <v>1741.2575725026852</v>
      </c>
      <c r="M135" s="8">
        <f>+SUM(M130:M132)</f>
        <v>3055.699248120301</v>
      </c>
      <c r="N135" s="8">
        <f>+SUM(N130:N132)</f>
        <v>55.9063372717508</v>
      </c>
      <c r="O135" s="12">
        <f>K135/$F135</f>
        <v>1.2629845863887956E-3</v>
      </c>
      <c r="P135" s="12">
        <f>L135/$F135</f>
        <v>0.3583571871789844</v>
      </c>
      <c r="Q135" s="12">
        <f>M135/$F135</f>
        <v>0.62887409922212412</v>
      </c>
      <c r="R135" s="12">
        <f>N135/$F135</f>
        <v>1.1505729012502738E-2</v>
      </c>
    </row>
    <row r="136" spans="1:18" x14ac:dyDescent="0.25">
      <c r="A136" s="14" t="s">
        <v>49</v>
      </c>
      <c r="B136" s="6" t="s">
        <v>42</v>
      </c>
      <c r="C136" s="6" t="s">
        <v>48</v>
      </c>
      <c r="D136" s="6" t="s">
        <v>48</v>
      </c>
      <c r="E136" s="6">
        <v>2015</v>
      </c>
      <c r="F136" s="31">
        <f>F135+SUM(F133:F134)</f>
        <v>4891</v>
      </c>
      <c r="G136" s="29"/>
      <c r="H136" s="29"/>
      <c r="I136" s="29"/>
      <c r="J136" s="29"/>
      <c r="K136" s="8">
        <f t="shared" ref="K136:L136" si="97">SUM(K130:K134)</f>
        <v>6.1368421052631579</v>
      </c>
      <c r="L136" s="8">
        <f t="shared" si="97"/>
        <v>1752.3596133190117</v>
      </c>
      <c r="M136" s="8">
        <f>SUM(M130:M134)</f>
        <v>3076.2706766917295</v>
      </c>
      <c r="N136" s="8">
        <f>SUM(N130:N134)</f>
        <v>56.232867883995695</v>
      </c>
      <c r="O136" s="12">
        <f>K136/$F136</f>
        <v>1.2547213464042441E-3</v>
      </c>
      <c r="P136" s="12">
        <f t="shared" ref="P136" si="98">L136/$F136</f>
        <v>0.35828248074402202</v>
      </c>
      <c r="Q136" s="12">
        <f>M136/$F136</f>
        <v>0.62896558509338163</v>
      </c>
      <c r="R136" s="12">
        <f>N136/$F136</f>
        <v>1.1497212816192127E-2</v>
      </c>
    </row>
    <row r="137" spans="1:18" x14ac:dyDescent="0.25">
      <c r="F137" s="17"/>
    </row>
    <row r="138" spans="1:18" x14ac:dyDescent="0.25">
      <c r="A138" s="6" t="s">
        <v>2</v>
      </c>
      <c r="B138" s="6" t="s">
        <v>50</v>
      </c>
      <c r="C138" s="6" t="s">
        <v>43</v>
      </c>
      <c r="D138" s="6" t="s">
        <v>44</v>
      </c>
      <c r="E138" s="6">
        <v>2015</v>
      </c>
      <c r="F138" s="13">
        <v>0</v>
      </c>
      <c r="G138" s="24"/>
      <c r="H138" s="24"/>
      <c r="I138" s="24"/>
      <c r="J138" s="24"/>
      <c r="K138" s="8"/>
      <c r="L138" s="8"/>
      <c r="M138" s="8"/>
      <c r="N138" s="8"/>
    </row>
    <row r="139" spans="1:18" x14ac:dyDescent="0.25">
      <c r="A139" s="6" t="s">
        <v>2</v>
      </c>
      <c r="B139" s="6" t="s">
        <v>50</v>
      </c>
      <c r="C139" s="6" t="s">
        <v>45</v>
      </c>
      <c r="D139" s="6" t="s">
        <v>33</v>
      </c>
      <c r="E139" s="6">
        <v>2015</v>
      </c>
      <c r="F139" s="14">
        <v>817</v>
      </c>
      <c r="G139" s="16">
        <v>0</v>
      </c>
      <c r="H139" s="16">
        <v>64</v>
      </c>
      <c r="I139" s="16">
        <v>152</v>
      </c>
      <c r="J139" s="16">
        <v>1</v>
      </c>
      <c r="K139" s="8">
        <f t="shared" ref="K139:K140" si="99">+(G139/(SUM($G139:$J139)))*$F139</f>
        <v>0</v>
      </c>
      <c r="L139" s="8">
        <f t="shared" ref="L139:L140" si="100">+(H139/(SUM($G139:$J139)))*$F139</f>
        <v>240.95852534562212</v>
      </c>
      <c r="M139" s="8">
        <f>+(I139/(SUM($G139:$J139)))*$F139</f>
        <v>572.27649769585253</v>
      </c>
      <c r="N139" s="8">
        <f>+(J139/(SUM($G139:$J139)))*$F139</f>
        <v>3.7649769585253456</v>
      </c>
    </row>
    <row r="140" spans="1:18" x14ac:dyDescent="0.25">
      <c r="A140" s="6" t="s">
        <v>2</v>
      </c>
      <c r="B140" s="6" t="s">
        <v>50</v>
      </c>
      <c r="C140" s="6" t="s">
        <v>45</v>
      </c>
      <c r="D140" s="6" t="s">
        <v>46</v>
      </c>
      <c r="E140" s="6">
        <v>2015</v>
      </c>
      <c r="F140" s="25">
        <f>+F143-SUM(F138:F139)</f>
        <v>5245</v>
      </c>
      <c r="G140" s="16">
        <v>0</v>
      </c>
      <c r="H140" s="16">
        <v>36</v>
      </c>
      <c r="I140" s="16">
        <v>103</v>
      </c>
      <c r="J140" s="16">
        <v>1</v>
      </c>
      <c r="K140" s="8">
        <f t="shared" si="99"/>
        <v>0</v>
      </c>
      <c r="L140" s="8">
        <f t="shared" si="100"/>
        <v>1348.7142857142856</v>
      </c>
      <c r="M140" s="8">
        <f t="shared" ref="M140" si="101">+(I140/(SUM($G140:$J140)))*$F140</f>
        <v>3858.8214285714289</v>
      </c>
      <c r="N140" s="8">
        <f t="shared" ref="N140" si="102">+(J140/(SUM($G140:$J140)))*$F140</f>
        <v>37.464285714285715</v>
      </c>
    </row>
    <row r="141" spans="1:18" x14ac:dyDescent="0.25">
      <c r="A141" s="14" t="s">
        <v>47</v>
      </c>
      <c r="B141" s="6" t="s">
        <v>50</v>
      </c>
      <c r="C141" s="6" t="s">
        <v>43</v>
      </c>
      <c r="D141" s="6" t="s">
        <v>46</v>
      </c>
      <c r="E141" s="6">
        <v>2015</v>
      </c>
      <c r="F141" s="28">
        <v>0</v>
      </c>
      <c r="G141" s="26"/>
      <c r="H141" s="26"/>
      <c r="I141" s="26"/>
      <c r="J141" s="26"/>
      <c r="K141" s="8">
        <f>+IF($F141=0,0,(G141/(SUM($G141:$J141)))*$F141)</f>
        <v>0</v>
      </c>
      <c r="L141" s="8">
        <f>+IF($F141=0,0,(H141/(SUM($G141:$J141)))*$F141)</f>
        <v>0</v>
      </c>
      <c r="M141" s="8">
        <f>+IF($F141=0,0,(I141/(SUM($G141:$J141)))*$F141)</f>
        <v>0</v>
      </c>
      <c r="N141" s="8">
        <f>+IF($F141=0,0,(J141/(SUM($G141:$J141)))*$F141)</f>
        <v>0</v>
      </c>
    </row>
    <row r="142" spans="1:18" x14ac:dyDescent="0.25">
      <c r="A142" s="14" t="s">
        <v>47</v>
      </c>
      <c r="B142" s="6" t="s">
        <v>50</v>
      </c>
      <c r="C142" s="6" t="s">
        <v>45</v>
      </c>
      <c r="D142" s="6" t="s">
        <v>46</v>
      </c>
      <c r="E142" s="6">
        <v>2015</v>
      </c>
      <c r="F142" s="28">
        <v>32</v>
      </c>
      <c r="G142" s="27"/>
      <c r="H142" s="27"/>
      <c r="I142" s="27"/>
      <c r="J142" s="27"/>
      <c r="K142" s="8">
        <f>+IF(G142="",(G140/(SUM($G140:$J140)))*$F142,(G142/(SUM($G142:$J142)))*$F142)</f>
        <v>0</v>
      </c>
      <c r="L142" s="8">
        <f>+IF(H142="",(H140/(SUM($G140:$J140)))*$F142,(H142/(SUM($G142:$J142)))*$F142)</f>
        <v>8.2285714285714278</v>
      </c>
      <c r="M142" s="8">
        <f>+IF(I142="",(I140/(SUM($G140:$J140)))*$F142,(I142/(SUM($G142:$J142)))*$F142)</f>
        <v>23.542857142857144</v>
      </c>
      <c r="N142" s="8">
        <f>+IF(J142="",(J140/(SUM($G140:$J140)))*$F142,(J142/(SUM($G142:$J142)))*$F142)</f>
        <v>0.22857142857142856</v>
      </c>
    </row>
    <row r="143" spans="1:18" x14ac:dyDescent="0.25">
      <c r="A143" s="6" t="s">
        <v>2</v>
      </c>
      <c r="B143" s="6" t="s">
        <v>50</v>
      </c>
      <c r="C143" s="6" t="s">
        <v>48</v>
      </c>
      <c r="D143" s="6" t="s">
        <v>48</v>
      </c>
      <c r="E143" s="6">
        <v>2015</v>
      </c>
      <c r="F143" s="15">
        <v>6062</v>
      </c>
      <c r="G143" s="29"/>
      <c r="H143" s="29"/>
      <c r="I143" s="29"/>
      <c r="J143" s="29"/>
      <c r="K143" s="8">
        <f>+SUM(K138:K140)</f>
        <v>0</v>
      </c>
      <c r="L143" s="8">
        <f>+SUM(L138:L140)</f>
        <v>1589.6728110599076</v>
      </c>
      <c r="M143" s="8">
        <f>+SUM(M138:M140)</f>
        <v>4431.0979262672818</v>
      </c>
      <c r="N143" s="8">
        <f>+SUM(N138:N140)</f>
        <v>41.22926267281106</v>
      </c>
      <c r="O143" s="12">
        <f>K143/$F143</f>
        <v>0</v>
      </c>
      <c r="P143" s="12">
        <f>L143/$F143</f>
        <v>0.26223569961397353</v>
      </c>
      <c r="Q143" s="12">
        <f>M143/$F143</f>
        <v>0.73096303633574422</v>
      </c>
      <c r="R143" s="12">
        <f>N143/$F143</f>
        <v>6.8012640502822597E-3</v>
      </c>
    </row>
    <row r="144" spans="1:18" x14ac:dyDescent="0.25">
      <c r="A144" s="14" t="s">
        <v>49</v>
      </c>
      <c r="B144" s="6" t="s">
        <v>50</v>
      </c>
      <c r="C144" s="6" t="s">
        <v>48</v>
      </c>
      <c r="D144" s="6" t="s">
        <v>48</v>
      </c>
      <c r="E144" s="6">
        <v>2015</v>
      </c>
      <c r="F144" s="30">
        <f>F143+SUM(F141:F142)</f>
        <v>6094</v>
      </c>
      <c r="G144" s="29"/>
      <c r="H144" s="29"/>
      <c r="I144" s="29"/>
      <c r="J144" s="29"/>
      <c r="K144" s="8">
        <f t="shared" ref="K144:L144" si="103">SUM(K138:K142)</f>
        <v>0</v>
      </c>
      <c r="L144" s="8">
        <f t="shared" si="103"/>
        <v>1597.9013824884792</v>
      </c>
      <c r="M144" s="8">
        <f>SUM(M138:M142)</f>
        <v>4454.6407834101392</v>
      </c>
      <c r="N144" s="8">
        <f>SUM(N138:N142)</f>
        <v>41.457834101382488</v>
      </c>
      <c r="O144" s="12">
        <f>K144/$F144</f>
        <v>0</v>
      </c>
      <c r="P144" s="12">
        <f t="shared" ref="P144" si="104">L144/$F144</f>
        <v>0.26220895675885775</v>
      </c>
      <c r="Q144" s="12">
        <f>M144/$F144</f>
        <v>0.7309879854627731</v>
      </c>
      <c r="R144" s="12">
        <f>N144/$F144</f>
        <v>6.8030577783692956E-3</v>
      </c>
    </row>
    <row r="145" spans="1:18" x14ac:dyDescent="0.25">
      <c r="F145" s="17"/>
      <c r="G145" s="29"/>
      <c r="H145" s="29"/>
      <c r="I145" s="29"/>
      <c r="J145" s="29"/>
    </row>
    <row r="146" spans="1:18" x14ac:dyDescent="0.25">
      <c r="A146" s="6" t="s">
        <v>2</v>
      </c>
      <c r="B146" s="6" t="s">
        <v>51</v>
      </c>
      <c r="C146" s="6" t="s">
        <v>43</v>
      </c>
      <c r="D146" s="6" t="s">
        <v>44</v>
      </c>
      <c r="E146" s="6">
        <v>2015</v>
      </c>
      <c r="F146" s="13">
        <v>0</v>
      </c>
      <c r="G146" s="24"/>
      <c r="H146" s="24"/>
      <c r="I146" s="24"/>
      <c r="J146" s="24"/>
      <c r="K146" s="8"/>
      <c r="L146" s="8"/>
      <c r="M146" s="8"/>
      <c r="N146" s="8"/>
    </row>
    <row r="147" spans="1:18" x14ac:dyDescent="0.25">
      <c r="A147" s="6" t="s">
        <v>2</v>
      </c>
      <c r="B147" s="6" t="s">
        <v>51</v>
      </c>
      <c r="C147" s="6" t="s">
        <v>45</v>
      </c>
      <c r="D147" s="6" t="s">
        <v>33</v>
      </c>
      <c r="E147" s="6">
        <v>2015</v>
      </c>
      <c r="F147" s="14">
        <v>2</v>
      </c>
      <c r="G147" s="16"/>
      <c r="H147" s="16"/>
      <c r="I147" s="16"/>
      <c r="J147" s="16"/>
      <c r="K147" s="114">
        <f>+IF(G147="",(G148/(SUM($G148:$J148)))*$F147,(G147/(SUM($G147:$J147)))*$F147)</f>
        <v>2</v>
      </c>
      <c r="L147" s="114">
        <f t="shared" ref="L147:N147" si="105">+IF(H147="",(H148/(SUM($G148:$J148)))*$F147,(H147/(SUM($G147:$J147)))*$F147)</f>
        <v>0</v>
      </c>
      <c r="M147" s="114">
        <f t="shared" si="105"/>
        <v>0</v>
      </c>
      <c r="N147" s="114">
        <f t="shared" si="105"/>
        <v>0</v>
      </c>
    </row>
    <row r="148" spans="1:18" x14ac:dyDescent="0.25">
      <c r="A148" s="6" t="s">
        <v>2</v>
      </c>
      <c r="B148" s="6" t="s">
        <v>51</v>
      </c>
      <c r="C148" s="6" t="s">
        <v>45</v>
      </c>
      <c r="D148" s="6" t="s">
        <v>46</v>
      </c>
      <c r="E148" s="6">
        <v>2015</v>
      </c>
      <c r="F148" s="25">
        <f>+F151-SUM(F146:F147)</f>
        <v>11</v>
      </c>
      <c r="G148" s="16">
        <v>1</v>
      </c>
      <c r="H148" s="16">
        <v>0</v>
      </c>
      <c r="I148" s="16">
        <v>0</v>
      </c>
      <c r="J148" s="16">
        <v>0</v>
      </c>
      <c r="K148" s="8">
        <f t="shared" ref="K148" si="106">+(G148/(SUM($G148:$J148)))*$F148</f>
        <v>11</v>
      </c>
      <c r="L148" s="8">
        <f t="shared" ref="L148" si="107">+(H148/(SUM($G148:$J148)))*$F148</f>
        <v>0</v>
      </c>
      <c r="M148" s="8">
        <f t="shared" ref="M148" si="108">+(I148/(SUM($G148:$J148)))*$F148</f>
        <v>0</v>
      </c>
      <c r="N148" s="8">
        <f t="shared" ref="N148" si="109">+(J148/(SUM($G148:$J148)))*$F148</f>
        <v>0</v>
      </c>
    </row>
    <row r="149" spans="1:18" x14ac:dyDescent="0.25">
      <c r="A149" s="14" t="s">
        <v>47</v>
      </c>
      <c r="B149" s="6" t="s">
        <v>51</v>
      </c>
      <c r="C149" s="6" t="s">
        <v>43</v>
      </c>
      <c r="D149" s="6" t="s">
        <v>46</v>
      </c>
      <c r="E149" s="6">
        <v>2015</v>
      </c>
      <c r="F149" s="28"/>
      <c r="G149" s="26"/>
      <c r="H149" s="26"/>
      <c r="I149" s="26"/>
      <c r="J149" s="26"/>
      <c r="K149" s="8">
        <f>+IF($F149=0,0,(G149/(SUM($G149:$J149)))*$F149)</f>
        <v>0</v>
      </c>
      <c r="L149" s="8">
        <f>+IF($F149=0,0,(H149/(SUM($G149:$J149)))*$F149)</f>
        <v>0</v>
      </c>
      <c r="M149" s="8">
        <f>+IF($F149=0,0,(I149/(SUM($G149:$J149)))*$F149)</f>
        <v>0</v>
      </c>
      <c r="N149" s="8">
        <f>+IF($F149=0,0,(J149/(SUM($G149:$J149)))*$F149)</f>
        <v>0</v>
      </c>
    </row>
    <row r="150" spans="1:18" x14ac:dyDescent="0.25">
      <c r="A150" s="14" t="s">
        <v>47</v>
      </c>
      <c r="B150" s="6" t="s">
        <v>51</v>
      </c>
      <c r="C150" s="6" t="s">
        <v>45</v>
      </c>
      <c r="D150" s="6" t="s">
        <v>46</v>
      </c>
      <c r="E150" s="6">
        <v>2015</v>
      </c>
      <c r="F150" s="28"/>
      <c r="G150" s="27"/>
      <c r="H150" s="27"/>
      <c r="I150" s="27"/>
      <c r="J150" s="27"/>
      <c r="K150" s="8">
        <f>+IF(G150="",(G148/(SUM($G148:$J148)))*$F150,(G150/(SUM($G150:$J150)))*$F150)</f>
        <v>0</v>
      </c>
      <c r="L150" s="8">
        <f>+IF(H150="",(H148/(SUM($G148:$J148)))*$F150,(H150/(SUM($G150:$J150)))*$F150)</f>
        <v>0</v>
      </c>
      <c r="M150" s="8">
        <f>+IF(I150="",(I148/(SUM($G148:$J148)))*$F150,(I150/(SUM($G150:$J150)))*$F150)</f>
        <v>0</v>
      </c>
      <c r="N150" s="8">
        <f>+IF(J150="",(J148/(SUM($G148:$J148)))*$F150,(J150/(SUM($G150:$J150)))*$F150)</f>
        <v>0</v>
      </c>
    </row>
    <row r="151" spans="1:18" x14ac:dyDescent="0.25">
      <c r="A151" s="6" t="s">
        <v>2</v>
      </c>
      <c r="B151" s="6" t="s">
        <v>51</v>
      </c>
      <c r="C151" s="6" t="s">
        <v>48</v>
      </c>
      <c r="D151" s="6" t="s">
        <v>48</v>
      </c>
      <c r="E151" s="6">
        <v>2015</v>
      </c>
      <c r="F151" s="15">
        <v>13</v>
      </c>
      <c r="G151" s="29"/>
      <c r="H151" s="29"/>
      <c r="I151" s="29"/>
      <c r="J151" s="29"/>
      <c r="K151" s="8">
        <f>+SUM(K146:K148)</f>
        <v>13</v>
      </c>
      <c r="L151" s="8">
        <f>+SUM(L146:L148)</f>
        <v>0</v>
      </c>
      <c r="M151" s="8">
        <f>+SUM(M146:M148)</f>
        <v>0</v>
      </c>
      <c r="N151" s="8">
        <f>+SUM(N146:N148)</f>
        <v>0</v>
      </c>
      <c r="O151" s="12">
        <f>K151/$F151</f>
        <v>1</v>
      </c>
      <c r="P151" s="12">
        <f>L151/$F151</f>
        <v>0</v>
      </c>
      <c r="Q151" s="12">
        <f>M151/$F151</f>
        <v>0</v>
      </c>
      <c r="R151" s="12">
        <f>N151/$F151</f>
        <v>0</v>
      </c>
    </row>
    <row r="152" spans="1:18" x14ac:dyDescent="0.25">
      <c r="A152" s="14" t="s">
        <v>49</v>
      </c>
      <c r="B152" s="6" t="s">
        <v>51</v>
      </c>
      <c r="C152" s="6" t="s">
        <v>48</v>
      </c>
      <c r="D152" s="6" t="s">
        <v>48</v>
      </c>
      <c r="E152" s="6">
        <v>2015</v>
      </c>
      <c r="F152" s="31">
        <f>F151+SUM(F149:F150)</f>
        <v>13</v>
      </c>
      <c r="K152" s="8">
        <f t="shared" ref="K152:L152" si="110">SUM(K146:K150)</f>
        <v>13</v>
      </c>
      <c r="L152" s="8">
        <f t="shared" si="110"/>
        <v>0</v>
      </c>
      <c r="M152" s="8">
        <f>SUM(M146:M150)</f>
        <v>0</v>
      </c>
      <c r="N152" s="8">
        <f>SUM(N146:N150)</f>
        <v>0</v>
      </c>
      <c r="O152" s="12">
        <f>K152/$F152</f>
        <v>1</v>
      </c>
      <c r="P152" s="12">
        <f t="shared" ref="P152" si="111">L152/$F152</f>
        <v>0</v>
      </c>
      <c r="Q152" s="12">
        <f>M152/$F152</f>
        <v>0</v>
      </c>
      <c r="R152" s="12">
        <f>N152/$F152</f>
        <v>0</v>
      </c>
    </row>
    <row r="154" spans="1:18" x14ac:dyDescent="0.25">
      <c r="A154" s="6" t="s">
        <v>53</v>
      </c>
      <c r="B154" s="35"/>
    </row>
    <row r="155" spans="1:18" x14ac:dyDescent="0.25">
      <c r="A155" s="6" t="s">
        <v>2</v>
      </c>
      <c r="B155" s="6" t="s">
        <v>42</v>
      </c>
      <c r="C155" s="6" t="s">
        <v>43</v>
      </c>
      <c r="D155" s="6" t="s">
        <v>44</v>
      </c>
      <c r="E155" s="6">
        <v>2016</v>
      </c>
      <c r="F155" s="13">
        <v>0</v>
      </c>
      <c r="G155" s="24"/>
      <c r="H155" s="24"/>
      <c r="I155" s="24"/>
      <c r="J155" s="24"/>
      <c r="K155" s="8"/>
      <c r="L155" s="8"/>
      <c r="M155" s="8"/>
      <c r="N155" s="8"/>
    </row>
    <row r="156" spans="1:18" x14ac:dyDescent="0.25">
      <c r="A156" s="6" t="s">
        <v>2</v>
      </c>
      <c r="B156" s="6" t="s">
        <v>42</v>
      </c>
      <c r="C156" s="6" t="s">
        <v>45</v>
      </c>
      <c r="D156" s="6" t="s">
        <v>33</v>
      </c>
      <c r="E156" s="6">
        <v>2016</v>
      </c>
      <c r="F156" s="14">
        <v>284</v>
      </c>
      <c r="G156" s="16">
        <v>0</v>
      </c>
      <c r="H156" s="16">
        <v>4</v>
      </c>
      <c r="I156" s="16">
        <v>6</v>
      </c>
      <c r="J156" s="16">
        <v>2</v>
      </c>
      <c r="K156" s="8">
        <f t="shared" ref="K156:K157" si="112">+(G156/(SUM($G156:$J156)))*$F156</f>
        <v>0</v>
      </c>
      <c r="L156" s="8">
        <f t="shared" ref="L156:L157" si="113">+(H156/(SUM($G156:$J156)))*$F156</f>
        <v>94.666666666666657</v>
      </c>
      <c r="M156" s="8">
        <f>+(I156/(SUM($G156:$J156)))*$F156</f>
        <v>142</v>
      </c>
      <c r="N156" s="8">
        <f>+(J156/(SUM($G156:$J156)))*$F156</f>
        <v>47.333333333333329</v>
      </c>
    </row>
    <row r="157" spans="1:18" x14ac:dyDescent="0.25">
      <c r="A157" s="6" t="s">
        <v>2</v>
      </c>
      <c r="B157" s="6" t="s">
        <v>42</v>
      </c>
      <c r="C157" s="6" t="s">
        <v>45</v>
      </c>
      <c r="D157" s="6" t="s">
        <v>46</v>
      </c>
      <c r="E157" s="6">
        <v>2016</v>
      </c>
      <c r="F157" s="25">
        <f>+F160-SUM(F155:F156)</f>
        <v>1908</v>
      </c>
      <c r="G157" s="16">
        <v>0</v>
      </c>
      <c r="H157" s="16">
        <v>17</v>
      </c>
      <c r="I157" s="16">
        <v>25</v>
      </c>
      <c r="J157" s="16">
        <v>3</v>
      </c>
      <c r="K157" s="8">
        <f t="shared" si="112"/>
        <v>0</v>
      </c>
      <c r="L157" s="8">
        <f t="shared" si="113"/>
        <v>720.8</v>
      </c>
      <c r="M157" s="8">
        <f t="shared" ref="M157" si="114">+(I157/(SUM($G157:$J157)))*$F157</f>
        <v>1060</v>
      </c>
      <c r="N157" s="8">
        <f t="shared" ref="N157" si="115">+(J157/(SUM($G157:$J157)))*$F157</f>
        <v>127.2</v>
      </c>
    </row>
    <row r="158" spans="1:18" x14ac:dyDescent="0.25">
      <c r="A158" s="14" t="s">
        <v>47</v>
      </c>
      <c r="B158" s="6" t="s">
        <v>42</v>
      </c>
      <c r="C158" s="6" t="s">
        <v>43</v>
      </c>
      <c r="D158" s="6" t="s">
        <v>46</v>
      </c>
      <c r="E158" s="6">
        <v>2016</v>
      </c>
      <c r="F158" s="28">
        <v>0</v>
      </c>
      <c r="G158" s="26"/>
      <c r="H158" s="26"/>
      <c r="I158" s="26"/>
      <c r="J158" s="26"/>
      <c r="K158" s="8">
        <f>+IF($F158=0,0,(G158/(SUM($G158:$J158)))*$F158)</f>
        <v>0</v>
      </c>
      <c r="L158" s="8">
        <f>+IF($F158=0,0,(H158/(SUM($G158:$J158)))*$F158)</f>
        <v>0</v>
      </c>
      <c r="M158" s="8">
        <f>+IF($F158=0,0,(I158/(SUM($G158:$J158)))*$F158)</f>
        <v>0</v>
      </c>
      <c r="N158" s="8">
        <f>+IF($F158=0,0,(J158/(SUM($G158:$J158)))*$F158)</f>
        <v>0</v>
      </c>
    </row>
    <row r="159" spans="1:18" x14ac:dyDescent="0.25">
      <c r="A159" s="14" t="s">
        <v>47</v>
      </c>
      <c r="B159" s="6" t="s">
        <v>42</v>
      </c>
      <c r="C159" s="6" t="s">
        <v>45</v>
      </c>
      <c r="D159" s="6" t="s">
        <v>46</v>
      </c>
      <c r="E159" s="6">
        <v>2016</v>
      </c>
      <c r="F159" s="28">
        <v>25</v>
      </c>
      <c r="G159" s="27"/>
      <c r="H159" s="27"/>
      <c r="I159" s="27"/>
      <c r="J159" s="27"/>
      <c r="K159" s="8">
        <f>+IF(G159="",(G157/(SUM($G157:$J157)))*$F159,(G159/(SUM($G159:$J159)))*$F159)</f>
        <v>0</v>
      </c>
      <c r="L159" s="8">
        <f>+IF(H159="",(H157/(SUM($G157:$J157)))*$F159,(H159/(SUM($G159:$J159)))*$F159)</f>
        <v>9.4444444444444446</v>
      </c>
      <c r="M159" s="8">
        <f>+IF(I159="",(I157/(SUM($G157:$J157)))*$F159,(I159/(SUM($G159:$J159)))*$F159)</f>
        <v>13.888888888888889</v>
      </c>
      <c r="N159" s="8">
        <f>+IF(J159="",(J157/(SUM($G157:$J157)))*$F159,(J159/(SUM($G159:$J159)))*$F159)</f>
        <v>1.6666666666666667</v>
      </c>
    </row>
    <row r="160" spans="1:18" x14ac:dyDescent="0.25">
      <c r="A160" s="6" t="s">
        <v>2</v>
      </c>
      <c r="B160" s="6" t="s">
        <v>42</v>
      </c>
      <c r="C160" s="6" t="s">
        <v>48</v>
      </c>
      <c r="D160" s="6" t="s">
        <v>48</v>
      </c>
      <c r="E160" s="6">
        <v>2016</v>
      </c>
      <c r="F160" s="13">
        <v>2192</v>
      </c>
      <c r="G160" s="29"/>
      <c r="H160" s="29"/>
      <c r="I160" s="29"/>
      <c r="J160" s="29"/>
      <c r="K160" s="8">
        <f>+SUM(K155:K157)</f>
        <v>0</v>
      </c>
      <c r="L160" s="8">
        <f>+SUM(L155:L157)</f>
        <v>815.46666666666658</v>
      </c>
      <c r="M160" s="8">
        <f>+SUM(M155:M157)</f>
        <v>1202</v>
      </c>
      <c r="N160" s="8">
        <f>+SUM(N155:N157)</f>
        <v>174.53333333333333</v>
      </c>
      <c r="O160" s="12">
        <f>K160/$F160</f>
        <v>0</v>
      </c>
      <c r="P160" s="12">
        <f>L160/$F160</f>
        <v>0.37201946472019459</v>
      </c>
      <c r="Q160" s="12">
        <f>M160/$F160</f>
        <v>0.54835766423357668</v>
      </c>
      <c r="R160" s="12">
        <f>N160/$F160</f>
        <v>7.9622871046228713E-2</v>
      </c>
    </row>
    <row r="161" spans="1:18" x14ac:dyDescent="0.25">
      <c r="A161" s="14" t="s">
        <v>49</v>
      </c>
      <c r="B161" s="6" t="s">
        <v>42</v>
      </c>
      <c r="C161" s="6" t="s">
        <v>48</v>
      </c>
      <c r="D161" s="6" t="s">
        <v>48</v>
      </c>
      <c r="E161" s="6">
        <v>2016</v>
      </c>
      <c r="F161" s="31">
        <f>F160+SUM(F158:F159)</f>
        <v>2217</v>
      </c>
      <c r="G161" s="29"/>
      <c r="H161" s="29"/>
      <c r="I161" s="29"/>
      <c r="J161" s="29"/>
      <c r="K161" s="8">
        <f t="shared" ref="K161:L161" si="116">SUM(K155:K159)</f>
        <v>0</v>
      </c>
      <c r="L161" s="8">
        <f t="shared" si="116"/>
        <v>824.91111111111104</v>
      </c>
      <c r="M161" s="8">
        <f>SUM(M155:M159)</f>
        <v>1215.8888888888889</v>
      </c>
      <c r="N161" s="8">
        <f>SUM(N155:N159)</f>
        <v>176.2</v>
      </c>
      <c r="O161" s="12">
        <f>K161/$F161</f>
        <v>0</v>
      </c>
      <c r="P161" s="12">
        <f t="shared" ref="P161" si="117">L161/$F161</f>
        <v>0.37208439833608981</v>
      </c>
      <c r="Q161" s="12">
        <f>M161/$F161</f>
        <v>0.54843883125344561</v>
      </c>
      <c r="R161" s="12">
        <f>N161/$F161</f>
        <v>7.9476770410464581E-2</v>
      </c>
    </row>
    <row r="162" spans="1:18" x14ac:dyDescent="0.25">
      <c r="F162" s="17"/>
    </row>
    <row r="163" spans="1:18" x14ac:dyDescent="0.25">
      <c r="A163" s="6" t="s">
        <v>2</v>
      </c>
      <c r="B163" s="6" t="s">
        <v>50</v>
      </c>
      <c r="C163" s="6" t="s">
        <v>43</v>
      </c>
      <c r="D163" s="6" t="s">
        <v>44</v>
      </c>
      <c r="E163" s="6">
        <v>2016</v>
      </c>
      <c r="F163" s="13">
        <v>0</v>
      </c>
      <c r="G163" s="24"/>
      <c r="H163" s="24"/>
      <c r="I163" s="24"/>
      <c r="J163" s="24"/>
      <c r="K163" s="8"/>
      <c r="L163" s="8"/>
      <c r="M163" s="8"/>
      <c r="N163" s="8"/>
    </row>
    <row r="164" spans="1:18" x14ac:dyDescent="0.25">
      <c r="A164" s="6" t="s">
        <v>2</v>
      </c>
      <c r="B164" s="6" t="s">
        <v>50</v>
      </c>
      <c r="C164" s="6" t="s">
        <v>45</v>
      </c>
      <c r="D164" s="6" t="s">
        <v>33</v>
      </c>
      <c r="E164" s="6">
        <v>2016</v>
      </c>
      <c r="F164" s="14">
        <v>244</v>
      </c>
      <c r="G164" s="16">
        <v>0</v>
      </c>
      <c r="H164" s="16">
        <v>11</v>
      </c>
      <c r="I164" s="16">
        <v>18</v>
      </c>
      <c r="J164" s="16">
        <v>3</v>
      </c>
      <c r="K164" s="8">
        <f t="shared" ref="K164:K165" si="118">+(G164/(SUM($G164:$J164)))*$F164</f>
        <v>0</v>
      </c>
      <c r="L164" s="8">
        <f t="shared" ref="L164:L165" si="119">+(H164/(SUM($G164:$J164)))*$F164</f>
        <v>83.875</v>
      </c>
      <c r="M164" s="8">
        <f>+(I164/(SUM($G164:$J164)))*$F164</f>
        <v>137.25</v>
      </c>
      <c r="N164" s="8">
        <f>+(J164/(SUM($G164:$J164)))*$F164</f>
        <v>22.875</v>
      </c>
    </row>
    <row r="165" spans="1:18" x14ac:dyDescent="0.25">
      <c r="A165" s="6" t="s">
        <v>2</v>
      </c>
      <c r="B165" s="6" t="s">
        <v>50</v>
      </c>
      <c r="C165" s="6" t="s">
        <v>45</v>
      </c>
      <c r="D165" s="6" t="s">
        <v>46</v>
      </c>
      <c r="E165" s="6">
        <v>2016</v>
      </c>
      <c r="F165" s="25">
        <f>+F168-SUM(F163:F164)</f>
        <v>1687</v>
      </c>
      <c r="G165" s="16">
        <v>0</v>
      </c>
      <c r="H165" s="16">
        <v>25</v>
      </c>
      <c r="I165" s="16">
        <v>92</v>
      </c>
      <c r="J165" s="16">
        <v>8</v>
      </c>
      <c r="K165" s="8">
        <f t="shared" si="118"/>
        <v>0</v>
      </c>
      <c r="L165" s="8">
        <f t="shared" si="119"/>
        <v>337.40000000000003</v>
      </c>
      <c r="M165" s="8">
        <f t="shared" ref="M165" si="120">+(I165/(SUM($G165:$J165)))*$F165</f>
        <v>1241.6320000000001</v>
      </c>
      <c r="N165" s="8">
        <f t="shared" ref="N165" si="121">+(J165/(SUM($G165:$J165)))*$F165</f>
        <v>107.968</v>
      </c>
    </row>
    <row r="166" spans="1:18" x14ac:dyDescent="0.25">
      <c r="A166" s="14" t="s">
        <v>47</v>
      </c>
      <c r="B166" s="6" t="s">
        <v>50</v>
      </c>
      <c r="C166" s="6" t="s">
        <v>43</v>
      </c>
      <c r="D166" s="6" t="s">
        <v>46</v>
      </c>
      <c r="E166" s="6">
        <v>2016</v>
      </c>
      <c r="F166" s="28">
        <v>0</v>
      </c>
      <c r="G166" s="26"/>
      <c r="H166" s="26"/>
      <c r="I166" s="26"/>
      <c r="J166" s="26"/>
      <c r="K166" s="8">
        <f>+IF($F166=0,0,(G166/(SUM($G166:$J166)))*$F166)</f>
        <v>0</v>
      </c>
      <c r="L166" s="8">
        <f>+IF($F166=0,0,(H166/(SUM($G166:$J166)))*$F166)</f>
        <v>0</v>
      </c>
      <c r="M166" s="8">
        <f>+IF($F166=0,0,(I166/(SUM($G166:$J166)))*$F166)</f>
        <v>0</v>
      </c>
      <c r="N166" s="8">
        <f>+IF($F166=0,0,(J166/(SUM($G166:$J166)))*$F166)</f>
        <v>0</v>
      </c>
    </row>
    <row r="167" spans="1:18" x14ac:dyDescent="0.25">
      <c r="A167" s="14" t="s">
        <v>47</v>
      </c>
      <c r="B167" s="6" t="s">
        <v>50</v>
      </c>
      <c r="C167" s="6" t="s">
        <v>45</v>
      </c>
      <c r="D167" s="6" t="s">
        <v>46</v>
      </c>
      <c r="E167" s="6">
        <v>2016</v>
      </c>
      <c r="F167" s="28">
        <v>26</v>
      </c>
      <c r="G167" s="27"/>
      <c r="H167" s="27"/>
      <c r="I167" s="27"/>
      <c r="J167" s="27"/>
      <c r="K167" s="8">
        <f>+IF(G167="",(G165/(SUM($G165:$J165)))*$F167,(G167/(SUM($G167:$J167)))*$F167)</f>
        <v>0</v>
      </c>
      <c r="L167" s="8">
        <f>+IF(H167="",(H165/(SUM($G165:$J165)))*$F167,(H167/(SUM($G167:$J167)))*$F167)</f>
        <v>5.2</v>
      </c>
      <c r="M167" s="8">
        <f>+IF(I167="",(I165/(SUM($G165:$J165)))*$F167,(I167/(SUM($G167:$J167)))*$F167)</f>
        <v>19.135999999999999</v>
      </c>
      <c r="N167" s="8">
        <f>+IF(J167="",(J165/(SUM($G165:$J165)))*$F167,(J167/(SUM($G167:$J167)))*$F167)</f>
        <v>1.6640000000000001</v>
      </c>
    </row>
    <row r="168" spans="1:18" x14ac:dyDescent="0.25">
      <c r="A168" s="6" t="s">
        <v>2</v>
      </c>
      <c r="B168" s="6" t="s">
        <v>50</v>
      </c>
      <c r="C168" s="6" t="s">
        <v>48</v>
      </c>
      <c r="D168" s="6" t="s">
        <v>48</v>
      </c>
      <c r="E168" s="6">
        <v>2016</v>
      </c>
      <c r="F168" s="15">
        <v>1931</v>
      </c>
      <c r="G168" s="29"/>
      <c r="H168" s="29"/>
      <c r="I168" s="29"/>
      <c r="J168" s="29"/>
      <c r="K168" s="8">
        <f>+SUM(K163:K165)</f>
        <v>0</v>
      </c>
      <c r="L168" s="8">
        <f>+SUM(L163:L165)</f>
        <v>421.27500000000003</v>
      </c>
      <c r="M168" s="8">
        <f>+SUM(M163:M165)</f>
        <v>1378.8820000000001</v>
      </c>
      <c r="N168" s="8">
        <f>+SUM(N163:N165)</f>
        <v>130.84300000000002</v>
      </c>
      <c r="O168" s="12">
        <f>K168/$F168</f>
        <v>0</v>
      </c>
      <c r="P168" s="12">
        <f>L168/$F168</f>
        <v>0.2181641636457794</v>
      </c>
      <c r="Q168" s="12">
        <f>M168/$F168</f>
        <v>0.71407664422578976</v>
      </c>
      <c r="R168" s="12">
        <f>N168/$F168</f>
        <v>6.7759192128430873E-2</v>
      </c>
    </row>
    <row r="169" spans="1:18" x14ac:dyDescent="0.25">
      <c r="A169" s="14" t="s">
        <v>49</v>
      </c>
      <c r="B169" s="6" t="s">
        <v>50</v>
      </c>
      <c r="C169" s="6" t="s">
        <v>48</v>
      </c>
      <c r="D169" s="6" t="s">
        <v>48</v>
      </c>
      <c r="E169" s="6">
        <v>2016</v>
      </c>
      <c r="F169" s="30">
        <f>F168+SUM(F166:F167)</f>
        <v>1957</v>
      </c>
      <c r="G169" s="29"/>
      <c r="H169" s="29"/>
      <c r="I169" s="29"/>
      <c r="J169" s="29"/>
      <c r="K169" s="8">
        <f t="shared" ref="K169:L169" si="122">SUM(K163:K167)</f>
        <v>0</v>
      </c>
      <c r="L169" s="8">
        <f t="shared" si="122"/>
        <v>426.47500000000002</v>
      </c>
      <c r="M169" s="8">
        <f>SUM(M163:M167)</f>
        <v>1398.018</v>
      </c>
      <c r="N169" s="8">
        <f>SUM(N163:N167)</f>
        <v>132.50700000000001</v>
      </c>
      <c r="O169" s="12">
        <f>K169/$F169</f>
        <v>0</v>
      </c>
      <c r="P169" s="12">
        <f t="shared" ref="P169" si="123">L169/$F169</f>
        <v>0.21792284108329077</v>
      </c>
      <c r="Q169" s="12">
        <f>M169/$F169</f>
        <v>0.71436791006642819</v>
      </c>
      <c r="R169" s="12">
        <f>N169/$F169</f>
        <v>6.770924885028104E-2</v>
      </c>
    </row>
    <row r="170" spans="1:18" x14ac:dyDescent="0.25">
      <c r="F170" s="17"/>
      <c r="G170" s="29"/>
      <c r="H170" s="29"/>
      <c r="I170" s="29"/>
      <c r="J170" s="29"/>
    </row>
    <row r="171" spans="1:18" x14ac:dyDescent="0.25">
      <c r="A171" s="6" t="s">
        <v>2</v>
      </c>
      <c r="B171" s="6" t="s">
        <v>51</v>
      </c>
      <c r="C171" s="6" t="s">
        <v>43</v>
      </c>
      <c r="D171" s="6" t="s">
        <v>44</v>
      </c>
      <c r="E171" s="6">
        <v>2016</v>
      </c>
      <c r="F171" s="13">
        <v>0</v>
      </c>
      <c r="G171" s="24"/>
      <c r="H171" s="24"/>
      <c r="I171" s="24"/>
      <c r="J171" s="24"/>
      <c r="K171" s="8"/>
      <c r="L171" s="8"/>
      <c r="M171" s="8"/>
      <c r="N171" s="8"/>
    </row>
    <row r="172" spans="1:18" x14ac:dyDescent="0.25">
      <c r="A172" s="6" t="s">
        <v>2</v>
      </c>
      <c r="B172" s="6" t="s">
        <v>51</v>
      </c>
      <c r="C172" s="6" t="s">
        <v>45</v>
      </c>
      <c r="D172" s="6" t="s">
        <v>33</v>
      </c>
      <c r="E172" s="6">
        <v>2016</v>
      </c>
      <c r="F172" s="14">
        <v>4</v>
      </c>
      <c r="G172" s="16"/>
      <c r="H172" s="16"/>
      <c r="I172" s="16"/>
      <c r="J172" s="16"/>
      <c r="K172" s="114">
        <f>+IF(G172="",(G173/(SUM($G173:$J173)))*$F172,(G172/(SUM($G172:$J172)))*$F172)</f>
        <v>4</v>
      </c>
      <c r="L172" s="114">
        <f t="shared" ref="L172:N172" si="124">+IF(H172="",(H173/(SUM($G173:$J173)))*$F172,(H172/(SUM($G172:$J172)))*$F172)</f>
        <v>0</v>
      </c>
      <c r="M172" s="114">
        <f t="shared" si="124"/>
        <v>0</v>
      </c>
      <c r="N172" s="114">
        <f t="shared" si="124"/>
        <v>0</v>
      </c>
    </row>
    <row r="173" spans="1:18" x14ac:dyDescent="0.25">
      <c r="A173" s="6" t="s">
        <v>2</v>
      </c>
      <c r="B173" s="6" t="s">
        <v>51</v>
      </c>
      <c r="C173" s="6" t="s">
        <v>45</v>
      </c>
      <c r="D173" s="6" t="s">
        <v>46</v>
      </c>
      <c r="E173" s="6">
        <v>2016</v>
      </c>
      <c r="F173" s="25">
        <f>+F176-SUM(F171:F172)</f>
        <v>105</v>
      </c>
      <c r="G173" s="16">
        <v>1</v>
      </c>
      <c r="H173" s="16">
        <v>0</v>
      </c>
      <c r="I173" s="16">
        <v>0</v>
      </c>
      <c r="J173" s="16">
        <v>0</v>
      </c>
      <c r="K173" s="8">
        <f t="shared" ref="K173" si="125">+(G173/(SUM($G173:$J173)))*$F173</f>
        <v>105</v>
      </c>
      <c r="L173" s="8">
        <f t="shared" ref="L173" si="126">+(H173/(SUM($G173:$J173)))*$F173</f>
        <v>0</v>
      </c>
      <c r="M173" s="8">
        <f t="shared" ref="M173" si="127">+(I173/(SUM($G173:$J173)))*$F173</f>
        <v>0</v>
      </c>
      <c r="N173" s="8">
        <f t="shared" ref="N173" si="128">+(J173/(SUM($G173:$J173)))*$F173</f>
        <v>0</v>
      </c>
    </row>
    <row r="174" spans="1:18" x14ac:dyDescent="0.25">
      <c r="A174" s="14" t="s">
        <v>47</v>
      </c>
      <c r="B174" s="6" t="s">
        <v>51</v>
      </c>
      <c r="C174" s="6" t="s">
        <v>43</v>
      </c>
      <c r="D174" s="6" t="s">
        <v>46</v>
      </c>
      <c r="E174" s="6">
        <v>2016</v>
      </c>
      <c r="F174" s="28"/>
      <c r="G174" s="26"/>
      <c r="H174" s="26"/>
      <c r="I174" s="26"/>
      <c r="J174" s="26"/>
      <c r="K174" s="8">
        <f>+IF($F174=0,0,(G174/(SUM($G174:$J174)))*$F174)</f>
        <v>0</v>
      </c>
      <c r="L174" s="8">
        <f>+IF($F174=0,0,(H174/(SUM($G174:$J174)))*$F174)</f>
        <v>0</v>
      </c>
      <c r="M174" s="8">
        <f>+IF($F174=0,0,(I174/(SUM($G174:$J174)))*$F174)</f>
        <v>0</v>
      </c>
      <c r="N174" s="8">
        <f>+IF($F174=0,0,(J174/(SUM($G174:$J174)))*$F174)</f>
        <v>0</v>
      </c>
    </row>
    <row r="175" spans="1:18" x14ac:dyDescent="0.25">
      <c r="A175" s="14" t="s">
        <v>47</v>
      </c>
      <c r="B175" s="6" t="s">
        <v>51</v>
      </c>
      <c r="C175" s="6" t="s">
        <v>45</v>
      </c>
      <c r="D175" s="6" t="s">
        <v>46</v>
      </c>
      <c r="E175" s="6">
        <v>2016</v>
      </c>
      <c r="F175" s="28"/>
      <c r="G175" s="27"/>
      <c r="H175" s="27"/>
      <c r="I175" s="27"/>
      <c r="J175" s="27"/>
      <c r="K175" s="8">
        <f>+IF(G175="",(G173/(SUM($G173:$J173)))*$F175,(G175/(SUM($G175:$J175)))*$F175)</f>
        <v>0</v>
      </c>
      <c r="L175" s="8">
        <f>+IF(H175="",(H173/(SUM($G173:$J173)))*$F175,(H175/(SUM($G175:$J175)))*$F175)</f>
        <v>0</v>
      </c>
      <c r="M175" s="8">
        <f>+IF(I175="",(I173/(SUM($G173:$J173)))*$F175,(I175/(SUM($G175:$J175)))*$F175)</f>
        <v>0</v>
      </c>
      <c r="N175" s="8">
        <f>+IF(J175="",(J173/(SUM($G173:$J173)))*$F175,(J175/(SUM($G175:$J175)))*$F175)</f>
        <v>0</v>
      </c>
    </row>
    <row r="176" spans="1:18" x14ac:dyDescent="0.25">
      <c r="A176" s="6" t="s">
        <v>2</v>
      </c>
      <c r="B176" s="6" t="s">
        <v>51</v>
      </c>
      <c r="C176" s="6" t="s">
        <v>48</v>
      </c>
      <c r="D176" s="6" t="s">
        <v>48</v>
      </c>
      <c r="E176" s="6">
        <v>2016</v>
      </c>
      <c r="F176" s="15">
        <v>109</v>
      </c>
      <c r="G176" s="29"/>
      <c r="H176" s="29"/>
      <c r="I176" s="29"/>
      <c r="J176" s="29"/>
      <c r="K176" s="8">
        <f>+SUM(K171:K173)</f>
        <v>109</v>
      </c>
      <c r="L176" s="8">
        <f>+SUM(L171:L173)</f>
        <v>0</v>
      </c>
      <c r="M176" s="8">
        <f>+SUM(M171:M173)</f>
        <v>0</v>
      </c>
      <c r="N176" s="8">
        <f>+SUM(N171:N173)</f>
        <v>0</v>
      </c>
      <c r="O176" s="12">
        <f>K176/$F176</f>
        <v>1</v>
      </c>
      <c r="P176" s="12">
        <f>L176/$F176</f>
        <v>0</v>
      </c>
      <c r="Q176" s="12">
        <f>M176/$F176</f>
        <v>0</v>
      </c>
      <c r="R176" s="12">
        <f>N176/$F176</f>
        <v>0</v>
      </c>
    </row>
    <row r="177" spans="1:18" x14ac:dyDescent="0.25">
      <c r="A177" s="14" t="s">
        <v>49</v>
      </c>
      <c r="B177" s="6" t="s">
        <v>51</v>
      </c>
      <c r="C177" s="6" t="s">
        <v>48</v>
      </c>
      <c r="D177" s="6" t="s">
        <v>48</v>
      </c>
      <c r="E177" s="6">
        <v>2016</v>
      </c>
      <c r="F177" s="31">
        <f>F176+SUM(F174:F175)</f>
        <v>109</v>
      </c>
      <c r="K177" s="8">
        <f t="shared" ref="K177:L177" si="129">SUM(K171:K175)</f>
        <v>109</v>
      </c>
      <c r="L177" s="8">
        <f t="shared" si="129"/>
        <v>0</v>
      </c>
      <c r="M177" s="8">
        <f>SUM(M171:M175)</f>
        <v>0</v>
      </c>
      <c r="N177" s="8">
        <f>SUM(N171:N175)</f>
        <v>0</v>
      </c>
      <c r="O177" s="12">
        <f>K177/$F177</f>
        <v>1</v>
      </c>
      <c r="P177" s="12">
        <f t="shared" ref="P177" si="130">L177/$F177</f>
        <v>0</v>
      </c>
      <c r="Q177" s="12">
        <f>M177/$F177</f>
        <v>0</v>
      </c>
      <c r="R177" s="12">
        <f>N177/$F177</f>
        <v>0</v>
      </c>
    </row>
    <row r="179" spans="1:18" x14ac:dyDescent="0.25">
      <c r="A179" s="6" t="s">
        <v>54</v>
      </c>
      <c r="B179" s="35"/>
      <c r="G179" s="115" t="s">
        <v>3125</v>
      </c>
      <c r="H179" s="115"/>
      <c r="I179" s="115"/>
      <c r="J179" s="115"/>
    </row>
    <row r="180" spans="1:18" x14ac:dyDescent="0.25">
      <c r="A180" s="6" t="s">
        <v>2</v>
      </c>
      <c r="B180" s="6" t="s">
        <v>42</v>
      </c>
      <c r="C180" s="6" t="s">
        <v>43</v>
      </c>
      <c r="D180" s="6" t="s">
        <v>44</v>
      </c>
      <c r="E180" s="6">
        <v>2017</v>
      </c>
      <c r="F180" s="13">
        <v>2</v>
      </c>
      <c r="G180" s="24">
        <v>1</v>
      </c>
      <c r="H180" s="24">
        <v>0</v>
      </c>
      <c r="I180" s="24">
        <v>0</v>
      </c>
      <c r="J180" s="24">
        <v>0</v>
      </c>
      <c r="K180" s="114">
        <f>+IF(G180="",(G182/(SUM($G182:$J182)))*$F180,(G180/(SUM($G180:$J180)))*$F180)</f>
        <v>2</v>
      </c>
      <c r="L180" s="114">
        <f>+IF(H180="",(H182/(SUM($G182:$J182)))*$F180,(H180/(SUM($G180:$J180)))*$F180)</f>
        <v>0</v>
      </c>
      <c r="M180" s="114">
        <f t="shared" ref="M180" si="131">+IF(I180="",(I182/(SUM($G182:$J182)))*$F180,(I180/(SUM($G180:$J180)))*$F180)</f>
        <v>0</v>
      </c>
      <c r="N180" s="114">
        <f t="shared" ref="N180" si="132">+IF(J180="",(J182/(SUM($G182:$J182)))*$F180,(J180/(SUM($G180:$J180)))*$F180)</f>
        <v>0</v>
      </c>
    </row>
    <row r="181" spans="1:18" x14ac:dyDescent="0.25">
      <c r="A181" s="6" t="s">
        <v>2</v>
      </c>
      <c r="B181" s="6" t="s">
        <v>42</v>
      </c>
      <c r="C181" s="6" t="s">
        <v>45</v>
      </c>
      <c r="D181" s="6" t="s">
        <v>33</v>
      </c>
      <c r="E181" s="6">
        <v>2017</v>
      </c>
      <c r="F181" s="14">
        <v>278</v>
      </c>
      <c r="G181" s="16">
        <v>0</v>
      </c>
      <c r="H181" s="16">
        <v>49</v>
      </c>
      <c r="I181" s="16">
        <v>25</v>
      </c>
      <c r="J181" s="16">
        <v>1</v>
      </c>
      <c r="K181" s="8">
        <f t="shared" ref="K181:K182" si="133">+(G181/(SUM($G181:$J181)))*$F181</f>
        <v>0</v>
      </c>
      <c r="L181" s="8">
        <f t="shared" ref="L181:L182" si="134">+(H181/(SUM($G181:$J181)))*$F181</f>
        <v>181.62666666666667</v>
      </c>
      <c r="M181" s="8">
        <f>+(I181/(SUM($G181:$J181)))*$F181</f>
        <v>92.666666666666657</v>
      </c>
      <c r="N181" s="8">
        <f>+(J181/(SUM($G181:$J181)))*$F181</f>
        <v>3.706666666666667</v>
      </c>
    </row>
    <row r="182" spans="1:18" x14ac:dyDescent="0.25">
      <c r="A182" s="6" t="s">
        <v>2</v>
      </c>
      <c r="B182" s="6" t="s">
        <v>42</v>
      </c>
      <c r="C182" s="6" t="s">
        <v>45</v>
      </c>
      <c r="D182" s="6" t="s">
        <v>46</v>
      </c>
      <c r="E182" s="6">
        <v>2017</v>
      </c>
      <c r="F182" s="25">
        <f>+F185-SUM(F180:F181)</f>
        <v>1788</v>
      </c>
      <c r="G182" s="16">
        <v>0</v>
      </c>
      <c r="H182" s="16">
        <v>97</v>
      </c>
      <c r="I182" s="16">
        <v>75</v>
      </c>
      <c r="J182" s="16">
        <v>11</v>
      </c>
      <c r="K182" s="8">
        <f t="shared" si="133"/>
        <v>0</v>
      </c>
      <c r="L182" s="8">
        <f t="shared" si="134"/>
        <v>947.73770491803282</v>
      </c>
      <c r="M182" s="8">
        <f t="shared" ref="M182" si="135">+(I182/(SUM($G182:$J182)))*$F182</f>
        <v>732.78688524590166</v>
      </c>
      <c r="N182" s="8">
        <f t="shared" ref="N182" si="136">+(J182/(SUM($G182:$J182)))*$F182</f>
        <v>107.47540983606557</v>
      </c>
    </row>
    <row r="183" spans="1:18" x14ac:dyDescent="0.25">
      <c r="A183" s="14" t="s">
        <v>47</v>
      </c>
      <c r="B183" s="6" t="s">
        <v>42</v>
      </c>
      <c r="C183" s="6" t="s">
        <v>43</v>
      </c>
      <c r="D183" s="6" t="s">
        <v>46</v>
      </c>
      <c r="E183" s="6">
        <v>2017</v>
      </c>
      <c r="F183" s="28">
        <v>1</v>
      </c>
      <c r="G183" s="26">
        <v>1</v>
      </c>
      <c r="H183" s="26"/>
      <c r="I183" s="26"/>
      <c r="J183" s="26"/>
      <c r="K183" s="8">
        <f>+IF($F183=0,0,(G183/(SUM($G183:$J183)))*$F183)</f>
        <v>1</v>
      </c>
      <c r="L183" s="8">
        <f>+IF($F183=0,0,(H183/(SUM($G183:$J183)))*$F183)</f>
        <v>0</v>
      </c>
      <c r="M183" s="8">
        <f>+IF($F183=0,0,(I183/(SUM($G183:$J183)))*$F183)</f>
        <v>0</v>
      </c>
      <c r="N183" s="8">
        <f>+IF($F183=0,0,(J183/(SUM($G183:$J183)))*$F183)</f>
        <v>0</v>
      </c>
    </row>
    <row r="184" spans="1:18" x14ac:dyDescent="0.25">
      <c r="A184" s="14" t="s">
        <v>47</v>
      </c>
      <c r="B184" s="6" t="s">
        <v>42</v>
      </c>
      <c r="C184" s="6" t="s">
        <v>45</v>
      </c>
      <c r="D184" s="6" t="s">
        <v>46</v>
      </c>
      <c r="E184" s="6">
        <v>2017</v>
      </c>
      <c r="F184" s="28">
        <v>44</v>
      </c>
      <c r="G184" s="27"/>
      <c r="H184" s="27"/>
      <c r="I184" s="27"/>
      <c r="J184" s="27"/>
      <c r="K184" s="8">
        <f>+IF(G184="",(G182/(SUM($G182:$J182)))*$F184,(G184/(SUM($G184:$J184)))*$F184)</f>
        <v>0</v>
      </c>
      <c r="L184" s="8">
        <f>+IF(H184="",(H182/(SUM($G182:$J182)))*$F184,(H184/(SUM($G184:$J184)))*$F184)</f>
        <v>23.3224043715847</v>
      </c>
      <c r="M184" s="8">
        <f>+IF(I184="",(I182/(SUM($G182:$J182)))*$F184,(I184/(SUM($G184:$J184)))*$F184)</f>
        <v>18.032786885245901</v>
      </c>
      <c r="N184" s="8">
        <f>+IF(J184="",(J182/(SUM($G182:$J182)))*$F184,(J184/(SUM($G184:$J184)))*$F184)</f>
        <v>2.6448087431693987</v>
      </c>
    </row>
    <row r="185" spans="1:18" x14ac:dyDescent="0.25">
      <c r="A185" s="6" t="s">
        <v>2</v>
      </c>
      <c r="B185" s="6" t="s">
        <v>42</v>
      </c>
      <c r="C185" s="6" t="s">
        <v>48</v>
      </c>
      <c r="D185" s="6" t="s">
        <v>48</v>
      </c>
      <c r="E185" s="6">
        <v>2017</v>
      </c>
      <c r="F185" s="13">
        <v>2068</v>
      </c>
      <c r="G185" s="29"/>
      <c r="H185" s="29"/>
      <c r="I185" s="29"/>
      <c r="J185" s="29"/>
      <c r="K185" s="8">
        <f>+SUM(K180:K182)</f>
        <v>2</v>
      </c>
      <c r="L185" s="8">
        <f>+SUM(L180:L182)</f>
        <v>1129.3643715846995</v>
      </c>
      <c r="M185" s="8">
        <f>+SUM(M180:M182)</f>
        <v>825.45355191256829</v>
      </c>
      <c r="N185" s="8">
        <f>+SUM(N180:N182)</f>
        <v>111.18207650273223</v>
      </c>
      <c r="O185" s="12">
        <f>K185/$F185</f>
        <v>9.6711798839458415E-4</v>
      </c>
      <c r="P185" s="12">
        <f>L185/$F185</f>
        <v>0.54611429960575408</v>
      </c>
      <c r="Q185" s="12">
        <f>M185/$F185</f>
        <v>0.39915548931942374</v>
      </c>
      <c r="R185" s="12">
        <f>N185/$F185</f>
        <v>5.3763093086427578E-2</v>
      </c>
    </row>
    <row r="186" spans="1:18" x14ac:dyDescent="0.25">
      <c r="A186" s="14" t="s">
        <v>49</v>
      </c>
      <c r="B186" s="6" t="s">
        <v>42</v>
      </c>
      <c r="C186" s="6" t="s">
        <v>48</v>
      </c>
      <c r="D186" s="6" t="s">
        <v>48</v>
      </c>
      <c r="E186" s="6">
        <v>2017</v>
      </c>
      <c r="F186" s="31">
        <f>F185+SUM(F183:F184)</f>
        <v>2113</v>
      </c>
      <c r="G186" s="29"/>
      <c r="H186" s="29"/>
      <c r="I186" s="29"/>
      <c r="J186" s="29"/>
      <c r="K186" s="8">
        <f t="shared" ref="K186:L186" si="137">SUM(K180:K184)</f>
        <v>3</v>
      </c>
      <c r="L186" s="8">
        <f t="shared" si="137"/>
        <v>1152.6867759562842</v>
      </c>
      <c r="M186" s="8">
        <f>SUM(M180:M184)</f>
        <v>843.48633879781414</v>
      </c>
      <c r="N186" s="8">
        <f>SUM(N180:N184)</f>
        <v>113.82688524590162</v>
      </c>
      <c r="O186" s="12">
        <f>K186/$F186</f>
        <v>1.419782300047326E-3</v>
      </c>
      <c r="P186" s="12">
        <f t="shared" ref="P186" si="138">L186/$F186</f>
        <v>0.54552142733378339</v>
      </c>
      <c r="Q186" s="12">
        <f>M186/$F186</f>
        <v>0.39918899138561958</v>
      </c>
      <c r="R186" s="12">
        <f>N186/$F186</f>
        <v>5.3869798980549749E-2</v>
      </c>
    </row>
    <row r="187" spans="1:18" x14ac:dyDescent="0.25">
      <c r="F187" s="17"/>
    </row>
    <row r="188" spans="1:18" x14ac:dyDescent="0.25">
      <c r="A188" s="6" t="s">
        <v>2</v>
      </c>
      <c r="B188" s="6" t="s">
        <v>50</v>
      </c>
      <c r="C188" s="6" t="s">
        <v>43</v>
      </c>
      <c r="D188" s="6" t="s">
        <v>44</v>
      </c>
      <c r="E188" s="6">
        <v>2017</v>
      </c>
      <c r="F188" s="13">
        <v>5</v>
      </c>
      <c r="G188" s="24">
        <v>3</v>
      </c>
      <c r="H188" s="24">
        <v>0</v>
      </c>
      <c r="I188" s="24">
        <v>0</v>
      </c>
      <c r="J188" s="24">
        <v>0</v>
      </c>
      <c r="K188" s="114">
        <f>+IF(G188="",(G190/(SUM($G190:$J190)))*$F188,(G188/(SUM($G188:$J188)))*$F188)</f>
        <v>5</v>
      </c>
      <c r="L188" s="114">
        <f>+IF(H188="",(H190/(SUM($G190:$J190)))*$F188,(H188/(SUM($G188:$J188)))*$F188)</f>
        <v>0</v>
      </c>
      <c r="M188" s="114">
        <f t="shared" ref="M188" si="139">+IF(I188="",(I190/(SUM($G190:$J190)))*$F188,(I188/(SUM($G188:$J188)))*$F188)</f>
        <v>0</v>
      </c>
      <c r="N188" s="114">
        <f>+IF(J188="",(J190/(SUM($G190:$J190)))*$F188,(J188/(SUM($G188:$J188)))*$F188)</f>
        <v>0</v>
      </c>
    </row>
    <row r="189" spans="1:18" x14ac:dyDescent="0.25">
      <c r="A189" s="6" t="s">
        <v>2</v>
      </c>
      <c r="B189" s="6" t="s">
        <v>50</v>
      </c>
      <c r="C189" s="6" t="s">
        <v>45</v>
      </c>
      <c r="D189" s="6" t="s">
        <v>33</v>
      </c>
      <c r="E189" s="6">
        <v>2017</v>
      </c>
      <c r="F189" s="15">
        <v>193</v>
      </c>
      <c r="G189" s="16">
        <v>0</v>
      </c>
      <c r="H189" s="16">
        <v>30</v>
      </c>
      <c r="I189" s="16">
        <v>47</v>
      </c>
      <c r="J189" s="16">
        <v>5</v>
      </c>
      <c r="K189" s="8">
        <f>+(G189/(SUM($G189:$J189)))*$F189</f>
        <v>0</v>
      </c>
      <c r="L189" s="8">
        <f t="shared" ref="L189:L190" si="140">+(H189/(SUM($G189:$J189)))*$F189</f>
        <v>70.609756097560975</v>
      </c>
      <c r="M189" s="8">
        <f>+(I189/(SUM($G189:$J189)))*$F189</f>
        <v>110.62195121951218</v>
      </c>
      <c r="N189" s="8">
        <f>+(J189/(SUM($G189:$J189)))*$F189</f>
        <v>11.768292682926829</v>
      </c>
    </row>
    <row r="190" spans="1:18" x14ac:dyDescent="0.25">
      <c r="A190" s="6" t="s">
        <v>2</v>
      </c>
      <c r="B190" s="6" t="s">
        <v>50</v>
      </c>
      <c r="C190" s="6" t="s">
        <v>45</v>
      </c>
      <c r="D190" s="6" t="s">
        <v>46</v>
      </c>
      <c r="E190" s="6">
        <v>2017</v>
      </c>
      <c r="F190" s="25">
        <f>+F193-SUM(F188:F189)</f>
        <v>1326</v>
      </c>
      <c r="G190" s="16">
        <v>0</v>
      </c>
      <c r="H190" s="16">
        <v>45</v>
      </c>
      <c r="I190" s="16">
        <v>144</v>
      </c>
      <c r="J190" s="16">
        <v>11</v>
      </c>
      <c r="K190" s="8">
        <f>+(G190/(SUM($G190:$J190)))*$F190</f>
        <v>0</v>
      </c>
      <c r="L190" s="8">
        <f t="shared" si="140"/>
        <v>298.35000000000002</v>
      </c>
      <c r="M190" s="8">
        <f t="shared" ref="M190" si="141">+(I190/(SUM($G190:$J190)))*$F190</f>
        <v>954.71999999999991</v>
      </c>
      <c r="N190" s="8">
        <f t="shared" ref="N190" si="142">+(J190/(SUM($G190:$J190)))*$F190</f>
        <v>72.930000000000007</v>
      </c>
    </row>
    <row r="191" spans="1:18" x14ac:dyDescent="0.25">
      <c r="A191" s="14" t="s">
        <v>47</v>
      </c>
      <c r="B191" s="6" t="s">
        <v>50</v>
      </c>
      <c r="C191" s="6" t="s">
        <v>43</v>
      </c>
      <c r="D191" s="6" t="s">
        <v>46</v>
      </c>
      <c r="E191" s="6">
        <v>2017</v>
      </c>
      <c r="F191" s="28">
        <v>0</v>
      </c>
      <c r="G191" s="26"/>
      <c r="H191" s="26"/>
      <c r="I191" s="26"/>
      <c r="J191" s="26"/>
      <c r="K191" s="8">
        <f>+IF($F191=0,0,(G191/(SUM($G191:$J191)))*$F191)</f>
        <v>0</v>
      </c>
      <c r="L191" s="8">
        <f>+IF($F191=0,0,(H191/(SUM($G191:$J191)))*$F191)</f>
        <v>0</v>
      </c>
      <c r="M191" s="8">
        <f>+IF($F191=0,0,(I191/(SUM($G191:$J191)))*$F191)</f>
        <v>0</v>
      </c>
      <c r="N191" s="8">
        <f>+IF($F191=0,0,(J191/(SUM($G191:$J191)))*$F191)</f>
        <v>0</v>
      </c>
    </row>
    <row r="192" spans="1:18" x14ac:dyDescent="0.25">
      <c r="A192" s="14" t="s">
        <v>47</v>
      </c>
      <c r="B192" s="6" t="s">
        <v>50</v>
      </c>
      <c r="C192" s="6" t="s">
        <v>45</v>
      </c>
      <c r="D192" s="6" t="s">
        <v>46</v>
      </c>
      <c r="E192" s="6">
        <v>2017</v>
      </c>
      <c r="F192" s="28">
        <v>44</v>
      </c>
      <c r="G192" s="27"/>
      <c r="H192" s="27"/>
      <c r="I192" s="27"/>
      <c r="J192" s="27"/>
      <c r="K192" s="8">
        <f>+IF(G192="",(G190/(SUM($G190:$J190)))*$F192,(G192/(SUM($G192:$J192)))*$F192)</f>
        <v>0</v>
      </c>
      <c r="L192" s="8">
        <f>+IF(H192="",(H190/(SUM($G190:$J190)))*$F192,(H192/(SUM($G192:$J192)))*$F192)</f>
        <v>9.9</v>
      </c>
      <c r="M192" s="8">
        <f>+IF(I192="",(I190/(SUM($G190:$J190)))*$F192,(I192/(SUM($G192:$J192)))*$F192)</f>
        <v>31.68</v>
      </c>
      <c r="N192" s="8">
        <f>+IF(J192="",(J190/(SUM($G190:$J190)))*$F192,(J192/(SUM($G192:$J192)))*$F192)</f>
        <v>2.42</v>
      </c>
    </row>
    <row r="193" spans="1:18" x14ac:dyDescent="0.25">
      <c r="A193" s="6" t="s">
        <v>2</v>
      </c>
      <c r="B193" s="6" t="s">
        <v>50</v>
      </c>
      <c r="C193" s="6" t="s">
        <v>48</v>
      </c>
      <c r="D193" s="6" t="s">
        <v>48</v>
      </c>
      <c r="E193" s="6">
        <v>2017</v>
      </c>
      <c r="F193" s="15">
        <v>1524</v>
      </c>
      <c r="G193" s="29"/>
      <c r="H193" s="29"/>
      <c r="I193" s="29"/>
      <c r="J193" s="29"/>
      <c r="K193" s="8">
        <f>+SUM(K188:K190)</f>
        <v>5</v>
      </c>
      <c r="L193" s="8">
        <f>+SUM(L188:L190)</f>
        <v>368.95975609756101</v>
      </c>
      <c r="M193" s="8">
        <f>+SUM(M188:M190)</f>
        <v>1065.3419512195121</v>
      </c>
      <c r="N193" s="8">
        <f>+SUM(N188:N190)</f>
        <v>84.698292682926834</v>
      </c>
      <c r="O193" s="12">
        <f>K193/$F193</f>
        <v>3.2808398950131233E-3</v>
      </c>
      <c r="P193" s="12">
        <f>L193/$F193</f>
        <v>0.24209957749183794</v>
      </c>
      <c r="Q193" s="12">
        <f>M193/$F193</f>
        <v>0.69904327507842001</v>
      </c>
      <c r="R193" s="12">
        <f>N193/$F193</f>
        <v>5.5576307534728892E-2</v>
      </c>
    </row>
    <row r="194" spans="1:18" x14ac:dyDescent="0.25">
      <c r="A194" s="14" t="s">
        <v>49</v>
      </c>
      <c r="B194" s="6" t="s">
        <v>50</v>
      </c>
      <c r="C194" s="6" t="s">
        <v>48</v>
      </c>
      <c r="D194" s="6" t="s">
        <v>48</v>
      </c>
      <c r="E194" s="6">
        <v>2017</v>
      </c>
      <c r="F194" s="30">
        <f>F193+SUM(F191:F192)</f>
        <v>1568</v>
      </c>
      <c r="G194" s="29"/>
      <c r="H194" s="29"/>
      <c r="I194" s="29"/>
      <c r="J194" s="29"/>
      <c r="K194" s="8">
        <f t="shared" ref="K194:L194" si="143">SUM(K188:K192)</f>
        <v>5</v>
      </c>
      <c r="L194" s="8">
        <f t="shared" si="143"/>
        <v>378.85975609756099</v>
      </c>
      <c r="M194" s="8">
        <f>SUM(M188:M192)</f>
        <v>1097.0219512195122</v>
      </c>
      <c r="N194" s="8">
        <f>SUM(N188:N192)</f>
        <v>87.118292682926835</v>
      </c>
      <c r="O194" s="12">
        <f>K194/$F194</f>
        <v>3.1887755102040817E-3</v>
      </c>
      <c r="P194" s="12">
        <f t="shared" ref="P194" si="144">L194/$F194</f>
        <v>0.24161974240915879</v>
      </c>
      <c r="Q194" s="12">
        <f>M194/$F194</f>
        <v>0.69963134644101543</v>
      </c>
      <c r="R194" s="12">
        <f>N194/$F194</f>
        <v>5.5560135639621706E-2</v>
      </c>
    </row>
    <row r="195" spans="1:18" x14ac:dyDescent="0.25">
      <c r="F195" s="17"/>
      <c r="G195" s="29"/>
      <c r="H195" s="29"/>
      <c r="I195" s="29"/>
      <c r="J195" s="29"/>
    </row>
    <row r="196" spans="1:18" x14ac:dyDescent="0.25">
      <c r="A196" s="6" t="s">
        <v>2</v>
      </c>
      <c r="B196" s="6" t="s">
        <v>51</v>
      </c>
      <c r="C196" s="6" t="s">
        <v>43</v>
      </c>
      <c r="D196" s="6" t="s">
        <v>44</v>
      </c>
      <c r="E196" s="6">
        <v>2017</v>
      </c>
      <c r="F196" s="13">
        <v>0</v>
      </c>
      <c r="G196" s="24"/>
      <c r="H196" s="24"/>
      <c r="I196" s="24"/>
      <c r="J196" s="24"/>
      <c r="K196" s="8"/>
      <c r="L196" s="8"/>
      <c r="M196" s="8"/>
      <c r="N196" s="8"/>
    </row>
    <row r="197" spans="1:18" x14ac:dyDescent="0.25">
      <c r="A197" s="6" t="s">
        <v>2</v>
      </c>
      <c r="B197" s="6" t="s">
        <v>51</v>
      </c>
      <c r="C197" s="6" t="s">
        <v>45</v>
      </c>
      <c r="D197" s="6" t="s">
        <v>33</v>
      </c>
      <c r="E197" s="6">
        <v>2017</v>
      </c>
      <c r="F197" s="14">
        <v>0</v>
      </c>
      <c r="G197" s="16"/>
      <c r="H197" s="16"/>
      <c r="I197" s="16"/>
      <c r="J197" s="16"/>
      <c r="K197" s="8"/>
      <c r="L197" s="8"/>
      <c r="M197" s="8"/>
      <c r="N197" s="8"/>
    </row>
    <row r="198" spans="1:18" x14ac:dyDescent="0.25">
      <c r="A198" s="6" t="s">
        <v>2</v>
      </c>
      <c r="B198" s="6" t="s">
        <v>51</v>
      </c>
      <c r="C198" s="6" t="s">
        <v>45</v>
      </c>
      <c r="D198" s="6" t="s">
        <v>46</v>
      </c>
      <c r="E198" s="6">
        <v>2017</v>
      </c>
      <c r="F198" s="25">
        <f>+F201-SUM(F196:F197)</f>
        <v>17</v>
      </c>
      <c r="G198" s="16">
        <v>1</v>
      </c>
      <c r="H198" s="16">
        <v>1</v>
      </c>
      <c r="I198" s="16">
        <v>0</v>
      </c>
      <c r="J198" s="16">
        <v>0</v>
      </c>
      <c r="K198" s="8">
        <f t="shared" ref="K198" si="145">+(G198/(SUM($G198:$J198)))*$F198</f>
        <v>8.5</v>
      </c>
      <c r="L198" s="8">
        <f t="shared" ref="L198" si="146">+(H198/(SUM($G198:$J198)))*$F198</f>
        <v>8.5</v>
      </c>
      <c r="M198" s="8">
        <f t="shared" ref="M198" si="147">+(I198/(SUM($G198:$J198)))*$F198</f>
        <v>0</v>
      </c>
      <c r="N198" s="8">
        <f t="shared" ref="N198" si="148">+(J198/(SUM($G198:$J198)))*$F198</f>
        <v>0</v>
      </c>
    </row>
    <row r="199" spans="1:18" x14ac:dyDescent="0.25">
      <c r="A199" s="14" t="s">
        <v>47</v>
      </c>
      <c r="B199" s="6" t="s">
        <v>51</v>
      </c>
      <c r="C199" s="6" t="s">
        <v>43</v>
      </c>
      <c r="D199" s="6" t="s">
        <v>46</v>
      </c>
      <c r="E199" s="6">
        <v>2017</v>
      </c>
      <c r="F199" s="28"/>
      <c r="G199" s="26"/>
      <c r="H199" s="26"/>
      <c r="I199" s="26"/>
      <c r="J199" s="26"/>
      <c r="K199" s="8">
        <f>+IF($F199=0,0,(G199/(SUM($G199:$J199)))*$F199)</f>
        <v>0</v>
      </c>
      <c r="L199" s="8">
        <f>+IF($F199=0,0,(H199/(SUM($G199:$J199)))*$F199)</f>
        <v>0</v>
      </c>
      <c r="M199" s="8">
        <f>+IF($F199=0,0,(I199/(SUM($G199:$J199)))*$F199)</f>
        <v>0</v>
      </c>
      <c r="N199" s="8">
        <f>+IF($F199=0,0,(J199/(SUM($G199:$J199)))*$F199)</f>
        <v>0</v>
      </c>
    </row>
    <row r="200" spans="1:18" x14ac:dyDescent="0.25">
      <c r="A200" s="14" t="s">
        <v>47</v>
      </c>
      <c r="B200" s="6" t="s">
        <v>51</v>
      </c>
      <c r="C200" s="6" t="s">
        <v>45</v>
      </c>
      <c r="D200" s="6" t="s">
        <v>46</v>
      </c>
      <c r="E200" s="6">
        <v>2017</v>
      </c>
      <c r="F200" s="28"/>
      <c r="G200" s="27"/>
      <c r="H200" s="27"/>
      <c r="I200" s="27"/>
      <c r="J200" s="27"/>
      <c r="K200" s="8">
        <f>+IF(G200="",(G198/(SUM($G198:$J198)))*$F200,(G200/(SUM($G200:$J200)))*$F200)</f>
        <v>0</v>
      </c>
      <c r="L200" s="8">
        <f>+IF(H200="",(H198/(SUM($G198:$J198)))*$F200,(H200/(SUM($G200:$J200)))*$F200)</f>
        <v>0</v>
      </c>
      <c r="M200" s="8">
        <f>+IF(I200="",(I198/(SUM($G198:$J198)))*$F200,(I200/(SUM($G200:$J200)))*$F200)</f>
        <v>0</v>
      </c>
      <c r="N200" s="8">
        <f>+IF(J200="",(J198/(SUM($G198:$J198)))*$F200,(J200/(SUM($G200:$J200)))*$F200)</f>
        <v>0</v>
      </c>
    </row>
    <row r="201" spans="1:18" x14ac:dyDescent="0.25">
      <c r="A201" s="6" t="s">
        <v>2</v>
      </c>
      <c r="B201" s="6" t="s">
        <v>51</v>
      </c>
      <c r="C201" s="6" t="s">
        <v>48</v>
      </c>
      <c r="D201" s="6" t="s">
        <v>48</v>
      </c>
      <c r="E201" s="6">
        <v>2017</v>
      </c>
      <c r="F201" s="15">
        <v>17</v>
      </c>
      <c r="G201" s="29"/>
      <c r="H201" s="29"/>
      <c r="I201" s="29"/>
      <c r="J201" s="29"/>
      <c r="K201" s="8">
        <f>+SUM(K196:K198)</f>
        <v>8.5</v>
      </c>
      <c r="L201" s="8">
        <f>+SUM(L196:L198)</f>
        <v>8.5</v>
      </c>
      <c r="M201" s="8">
        <f>+SUM(M196:M198)</f>
        <v>0</v>
      </c>
      <c r="N201" s="8">
        <f>+SUM(N196:N198)</f>
        <v>0</v>
      </c>
      <c r="O201" s="12">
        <f>K201/$F201</f>
        <v>0.5</v>
      </c>
      <c r="P201" s="12">
        <f>L201/$F201</f>
        <v>0.5</v>
      </c>
      <c r="Q201" s="12">
        <f>M201/$F201</f>
        <v>0</v>
      </c>
      <c r="R201" s="12">
        <f>N201/$F201</f>
        <v>0</v>
      </c>
    </row>
    <row r="202" spans="1:18" x14ac:dyDescent="0.25">
      <c r="A202" s="14" t="s">
        <v>49</v>
      </c>
      <c r="B202" s="6" t="s">
        <v>51</v>
      </c>
      <c r="C202" s="6" t="s">
        <v>48</v>
      </c>
      <c r="D202" s="6" t="s">
        <v>48</v>
      </c>
      <c r="E202" s="6">
        <v>2017</v>
      </c>
      <c r="F202" s="31">
        <f>F201+SUM(F199:F200)</f>
        <v>17</v>
      </c>
      <c r="K202" s="8">
        <f t="shared" ref="K202:L202" si="149">SUM(K196:K200)</f>
        <v>8.5</v>
      </c>
      <c r="L202" s="8">
        <f t="shared" si="149"/>
        <v>8.5</v>
      </c>
      <c r="M202" s="8">
        <f>SUM(M196:M200)</f>
        <v>0</v>
      </c>
      <c r="N202" s="8">
        <f>SUM(N196:N200)</f>
        <v>0</v>
      </c>
      <c r="O202" s="12">
        <f>K202/$F202</f>
        <v>0.5</v>
      </c>
      <c r="P202" s="12">
        <f t="shared" ref="P202" si="150">L202/$F202</f>
        <v>0.5</v>
      </c>
      <c r="Q202" s="12">
        <f>M202/$F202</f>
        <v>0</v>
      </c>
      <c r="R202" s="12">
        <f>N202/$F202</f>
        <v>0</v>
      </c>
    </row>
    <row r="204" spans="1:18" x14ac:dyDescent="0.25">
      <c r="A204" s="6" t="s">
        <v>88</v>
      </c>
      <c r="B204" s="35"/>
      <c r="G204" s="32" t="s">
        <v>3124</v>
      </c>
      <c r="H204" s="32"/>
      <c r="I204" s="32"/>
      <c r="J204" s="32"/>
      <c r="K204" s="32"/>
    </row>
    <row r="205" spans="1:18" x14ac:dyDescent="0.25">
      <c r="A205" s="6" t="s">
        <v>2</v>
      </c>
      <c r="B205" s="6" t="s">
        <v>42</v>
      </c>
      <c r="C205" s="6" t="s">
        <v>43</v>
      </c>
      <c r="D205" s="6" t="s">
        <v>44</v>
      </c>
      <c r="E205" s="6">
        <v>2018</v>
      </c>
      <c r="F205" s="13">
        <v>27</v>
      </c>
      <c r="G205" s="24">
        <v>0</v>
      </c>
      <c r="H205" s="24">
        <v>6</v>
      </c>
      <c r="I205" s="24">
        <v>0</v>
      </c>
      <c r="J205" s="24">
        <v>0</v>
      </c>
      <c r="K205" s="8">
        <f>+(G205/(SUM($G205:$J205)))*$F205</f>
        <v>0</v>
      </c>
      <c r="L205" s="8">
        <f>+(H205/(SUM($G205:$J205)))*$F205</f>
        <v>27</v>
      </c>
      <c r="M205" s="8">
        <f>+(I205/(SUM($G205:$J205)))*$F205</f>
        <v>0</v>
      </c>
      <c r="N205" s="8">
        <f>+(J205/(SUM($G205:$J205)))*$F205</f>
        <v>0</v>
      </c>
    </row>
    <row r="206" spans="1:18" x14ac:dyDescent="0.25">
      <c r="A206" s="6" t="s">
        <v>2</v>
      </c>
      <c r="B206" s="6" t="s">
        <v>42</v>
      </c>
      <c r="C206" s="6" t="s">
        <v>45</v>
      </c>
      <c r="D206" s="6" t="s">
        <v>33</v>
      </c>
      <c r="E206" s="6">
        <v>2018</v>
      </c>
      <c r="F206" s="14">
        <v>176</v>
      </c>
      <c r="G206" s="16">
        <v>0</v>
      </c>
      <c r="H206" s="16">
        <v>37</v>
      </c>
      <c r="I206" s="16">
        <v>8</v>
      </c>
      <c r="J206" s="16">
        <v>1</v>
      </c>
      <c r="K206" s="8">
        <f t="shared" ref="K206" si="151">+(G206/(SUM($G206:$J206)))*$F206</f>
        <v>0</v>
      </c>
      <c r="L206" s="8">
        <f t="shared" ref="L206" si="152">+(H206/(SUM($G206:$J206)))*$F206</f>
        <v>141.56521739130434</v>
      </c>
      <c r="M206" s="8">
        <f>+(I206/(SUM($G206:$J206)))*$F206</f>
        <v>30.608695652173914</v>
      </c>
      <c r="N206" s="8">
        <f>+(J206/(SUM($G206:$J206)))*$F206</f>
        <v>3.8260869565217392</v>
      </c>
    </row>
    <row r="207" spans="1:18" x14ac:dyDescent="0.25">
      <c r="A207" s="6" t="s">
        <v>2</v>
      </c>
      <c r="B207" s="6" t="s">
        <v>42</v>
      </c>
      <c r="C207" s="6" t="s">
        <v>45</v>
      </c>
      <c r="D207" s="6" t="s">
        <v>46</v>
      </c>
      <c r="E207" s="6">
        <v>2018</v>
      </c>
      <c r="F207" s="25">
        <f>+F210-SUM(F205:F206)</f>
        <v>801</v>
      </c>
      <c r="G207" s="16">
        <v>0</v>
      </c>
      <c r="H207" s="16">
        <v>98</v>
      </c>
      <c r="I207" s="16">
        <v>69</v>
      </c>
      <c r="J207" s="16">
        <v>1</v>
      </c>
      <c r="K207" s="8">
        <f>+(G207/(SUM($G207:$J207)))*$F207</f>
        <v>0</v>
      </c>
      <c r="L207" s="8">
        <f>+(H207/(SUM($G207:$J207)))*$F207</f>
        <v>467.25000000000006</v>
      </c>
      <c r="M207" s="8">
        <f>+(I207/(SUM($G207:$J207)))*$F207</f>
        <v>328.98214285714283</v>
      </c>
      <c r="N207" s="8">
        <f>+(J207/(SUM($G207:$J207)))*$F207</f>
        <v>4.7678571428571423</v>
      </c>
    </row>
    <row r="208" spans="1:18" x14ac:dyDescent="0.25">
      <c r="A208" s="14" t="s">
        <v>47</v>
      </c>
      <c r="B208" s="6" t="s">
        <v>42</v>
      </c>
      <c r="C208" s="6" t="s">
        <v>43</v>
      </c>
      <c r="D208" s="6" t="s">
        <v>46</v>
      </c>
      <c r="E208" s="6">
        <v>2018</v>
      </c>
      <c r="F208" s="28">
        <v>7</v>
      </c>
      <c r="G208" s="26"/>
      <c r="H208" s="26">
        <v>7</v>
      </c>
      <c r="I208" s="26"/>
      <c r="J208" s="26"/>
      <c r="K208" s="8">
        <f>+IF($F208=0,0,(G208/(SUM($G208:$J208)))*$F208)</f>
        <v>0</v>
      </c>
      <c r="L208" s="8">
        <f>+IF($F208=0,0,(H208/(SUM($G208:$J208)))*$F208)</f>
        <v>7</v>
      </c>
      <c r="M208" s="8">
        <f>+IF($F208=0,0,(I208/(SUM($G208:$J208)))*$F208)</f>
        <v>0</v>
      </c>
      <c r="N208" s="8">
        <f>+IF($F208=0,0,(J208/(SUM($G208:$J208)))*$F208)</f>
        <v>0</v>
      </c>
    </row>
    <row r="209" spans="1:18" x14ac:dyDescent="0.25">
      <c r="A209" s="14" t="s">
        <v>47</v>
      </c>
      <c r="B209" s="6" t="s">
        <v>42</v>
      </c>
      <c r="C209" s="6" t="s">
        <v>45</v>
      </c>
      <c r="D209" s="6" t="s">
        <v>46</v>
      </c>
      <c r="E209" s="6">
        <v>2018</v>
      </c>
      <c r="F209" s="28">
        <f>36-F208</f>
        <v>29</v>
      </c>
      <c r="G209" s="27"/>
      <c r="H209" s="27"/>
      <c r="I209" s="27"/>
      <c r="J209" s="27"/>
      <c r="K209" s="8">
        <f>+IF(G209="",(G207/(SUM($G207:$J207)))*$F209,(G209/(SUM($G209:$J209)))*$F209)</f>
        <v>0</v>
      </c>
      <c r="L209" s="8">
        <f>+IF(H209="",(H207/(SUM($G207:$J207)))*$F209,(H209/(SUM($G209:$J209)))*$F209)</f>
        <v>16.916666666666668</v>
      </c>
      <c r="M209" s="8">
        <f>+IF(I209="",(I207/(SUM($G207:$J207)))*$F209,(I209/(SUM($G209:$J209)))*$F209)</f>
        <v>11.910714285714285</v>
      </c>
      <c r="N209" s="8">
        <f>+IF(J209="",(J207/(SUM($G207:$J207)))*$F209,(J209/(SUM($G209:$J209)))*$F209)</f>
        <v>0.17261904761904762</v>
      </c>
    </row>
    <row r="210" spans="1:18" x14ac:dyDescent="0.25">
      <c r="A210" s="6" t="s">
        <v>2</v>
      </c>
      <c r="B210" s="6" t="s">
        <v>42</v>
      </c>
      <c r="C210" s="6" t="s">
        <v>48</v>
      </c>
      <c r="D210" s="6" t="s">
        <v>48</v>
      </c>
      <c r="E210" s="6">
        <v>2018</v>
      </c>
      <c r="F210" s="13">
        <v>1004</v>
      </c>
      <c r="G210" s="29"/>
      <c r="H210" s="29"/>
      <c r="I210" s="29"/>
      <c r="J210" s="29"/>
      <c r="K210" s="8">
        <f>+SUM(K205:K207)</f>
        <v>0</v>
      </c>
      <c r="L210" s="8">
        <f>+SUM(L205:L207)</f>
        <v>635.81521739130437</v>
      </c>
      <c r="M210" s="8">
        <f>+SUM(M205:M207)</f>
        <v>359.59083850931677</v>
      </c>
      <c r="N210" s="8">
        <f>+SUM(N205:N207)</f>
        <v>8.5939440993788807</v>
      </c>
      <c r="O210" s="12">
        <f>K210/$F210</f>
        <v>0</v>
      </c>
      <c r="P210" s="12">
        <f>L210/$F210</f>
        <v>0.6332820890351637</v>
      </c>
      <c r="Q210" s="12">
        <f>M210/$F210</f>
        <v>0.35815820568657047</v>
      </c>
      <c r="R210" s="12">
        <f>N210/$F210</f>
        <v>8.5597052782658174E-3</v>
      </c>
    </row>
    <row r="211" spans="1:18" x14ac:dyDescent="0.25">
      <c r="A211" s="14" t="s">
        <v>49</v>
      </c>
      <c r="B211" s="6" t="s">
        <v>42</v>
      </c>
      <c r="C211" s="6" t="s">
        <v>48</v>
      </c>
      <c r="D211" s="6" t="s">
        <v>48</v>
      </c>
      <c r="E211" s="6">
        <v>2018</v>
      </c>
      <c r="F211" s="31">
        <f>F210+SUM(F208:F209)</f>
        <v>1040</v>
      </c>
      <c r="G211" s="29"/>
      <c r="H211" s="29"/>
      <c r="I211" s="29"/>
      <c r="J211" s="29"/>
      <c r="K211" s="8">
        <f t="shared" ref="K211:L211" si="153">SUM(K205:K209)</f>
        <v>0</v>
      </c>
      <c r="L211" s="8">
        <f t="shared" si="153"/>
        <v>659.731884057971</v>
      </c>
      <c r="M211" s="8">
        <f>SUM(M205:M209)</f>
        <v>371.50155279503105</v>
      </c>
      <c r="N211" s="8">
        <f>SUM(N205:N209)</f>
        <v>8.7665631469979282</v>
      </c>
      <c r="O211" s="12">
        <f>K211/$F211</f>
        <v>0</v>
      </c>
      <c r="P211" s="12">
        <f t="shared" ref="P211" si="154">L211/$F211</f>
        <v>0.63435758082497207</v>
      </c>
      <c r="Q211" s="12">
        <f>M211/$F211</f>
        <v>0.35721303153368372</v>
      </c>
      <c r="R211" s="12">
        <f>N211/$F211</f>
        <v>8.4293876413441618E-3</v>
      </c>
    </row>
    <row r="212" spans="1:18" x14ac:dyDescent="0.25">
      <c r="F212" s="17"/>
    </row>
    <row r="213" spans="1:18" x14ac:dyDescent="0.25">
      <c r="A213" s="6" t="s">
        <v>2</v>
      </c>
      <c r="B213" s="6" t="s">
        <v>50</v>
      </c>
      <c r="C213" s="6" t="s">
        <v>43</v>
      </c>
      <c r="D213" s="6" t="s">
        <v>44</v>
      </c>
      <c r="E213" s="6">
        <v>2018</v>
      </c>
      <c r="F213" s="13">
        <v>36</v>
      </c>
      <c r="G213" s="24">
        <v>0</v>
      </c>
      <c r="H213" s="24">
        <v>13</v>
      </c>
      <c r="I213" s="24">
        <v>0</v>
      </c>
      <c r="J213" s="24">
        <v>0</v>
      </c>
      <c r="K213" s="8">
        <f>+(G213/(SUM($G213:$J213)))*$F213</f>
        <v>0</v>
      </c>
      <c r="L213" s="8">
        <f>+(H213/(SUM($G213:$J213)))*$F213</f>
        <v>36</v>
      </c>
      <c r="M213" s="8">
        <f>+(I213/(SUM($G213:$J213)))*$F213</f>
        <v>0</v>
      </c>
      <c r="N213" s="8">
        <f>+(J213/(SUM($G213:$J213)))*$F213</f>
        <v>0</v>
      </c>
    </row>
    <row r="214" spans="1:18" x14ac:dyDescent="0.25">
      <c r="A214" s="6" t="s">
        <v>2</v>
      </c>
      <c r="B214" s="6" t="s">
        <v>50</v>
      </c>
      <c r="C214" s="6" t="s">
        <v>45</v>
      </c>
      <c r="D214" s="6" t="s">
        <v>33</v>
      </c>
      <c r="E214" s="6">
        <v>2018</v>
      </c>
      <c r="F214" s="15">
        <v>244</v>
      </c>
      <c r="G214" s="16">
        <v>0</v>
      </c>
      <c r="H214" s="16">
        <v>43</v>
      </c>
      <c r="I214" s="16">
        <v>59</v>
      </c>
      <c r="J214" s="16">
        <v>4</v>
      </c>
      <c r="K214" s="8">
        <f>+(G214/(SUM($G214:$J214)))*$F214</f>
        <v>0</v>
      </c>
      <c r="L214" s="8">
        <f t="shared" ref="L214" si="155">+(H214/(SUM($G214:$J214)))*$F214</f>
        <v>98.981132075471706</v>
      </c>
      <c r="M214" s="8">
        <f>+(I214/(SUM($G214:$J214)))*$F214</f>
        <v>135.81132075471697</v>
      </c>
      <c r="N214" s="8">
        <f>+(J214/(SUM($G214:$J214)))*$F214</f>
        <v>9.2075471698113205</v>
      </c>
    </row>
    <row r="215" spans="1:18" x14ac:dyDescent="0.25">
      <c r="A215" s="6" t="s">
        <v>2</v>
      </c>
      <c r="B215" s="6" t="s">
        <v>50</v>
      </c>
      <c r="C215" s="6" t="s">
        <v>45</v>
      </c>
      <c r="D215" s="6" t="s">
        <v>46</v>
      </c>
      <c r="E215" s="6">
        <v>2018</v>
      </c>
      <c r="F215" s="25">
        <f>+F218-SUM(F213:F214)</f>
        <v>924</v>
      </c>
      <c r="G215" s="16"/>
      <c r="H215" s="16">
        <v>78</v>
      </c>
      <c r="I215" s="16">
        <v>110</v>
      </c>
      <c r="J215" s="16">
        <v>5</v>
      </c>
      <c r="K215" s="8">
        <f>+(G215/(SUM($G215:$J215)))*$F215</f>
        <v>0</v>
      </c>
      <c r="L215" s="8">
        <f>+(H215/(SUM($G215:$J215)))*$F215</f>
        <v>373.43005181347149</v>
      </c>
      <c r="M215" s="8">
        <f>+(I215/(SUM($G215:$J215)))*$F215</f>
        <v>526.63212435233163</v>
      </c>
      <c r="N215" s="8">
        <f>+(J215/(SUM($G215:$J215)))*$F215</f>
        <v>23.937823834196891</v>
      </c>
    </row>
    <row r="216" spans="1:18" x14ac:dyDescent="0.25">
      <c r="A216" s="14" t="s">
        <v>47</v>
      </c>
      <c r="B216" s="6" t="s">
        <v>50</v>
      </c>
      <c r="C216" s="6" t="s">
        <v>43</v>
      </c>
      <c r="D216" s="6" t="s">
        <v>46</v>
      </c>
      <c r="E216" s="6">
        <v>2018</v>
      </c>
      <c r="F216" s="28">
        <v>8</v>
      </c>
      <c r="G216" s="26"/>
      <c r="H216" s="26">
        <v>8</v>
      </c>
      <c r="I216" s="26"/>
      <c r="J216" s="26"/>
      <c r="K216" s="8">
        <f>+IF($F216=0,0,(G216/(SUM($G216:$J216)))*$F216)</f>
        <v>0</v>
      </c>
      <c r="L216" s="8">
        <f>+IF($F216=0,0,(H216/(SUM($G216:$J216)))*$F216)</f>
        <v>8</v>
      </c>
      <c r="M216" s="8">
        <f>+IF($F216=0,0,(I216/(SUM($G216:$J216)))*$F216)</f>
        <v>0</v>
      </c>
      <c r="N216" s="8">
        <f>+IF($F216=0,0,(J216/(SUM($G216:$J216)))*$F216)</f>
        <v>0</v>
      </c>
    </row>
    <row r="217" spans="1:18" x14ac:dyDescent="0.25">
      <c r="A217" s="14" t="s">
        <v>47</v>
      </c>
      <c r="B217" s="6" t="s">
        <v>50</v>
      </c>
      <c r="C217" s="6" t="s">
        <v>45</v>
      </c>
      <c r="D217" s="6" t="s">
        <v>46</v>
      </c>
      <c r="E217" s="6">
        <v>2018</v>
      </c>
      <c r="F217" s="28">
        <f>36-F216</f>
        <v>28</v>
      </c>
      <c r="G217" s="27"/>
      <c r="H217" s="27"/>
      <c r="I217" s="27"/>
      <c r="J217" s="27"/>
      <c r="K217" s="8">
        <f>+IF(G217="",(G215/(SUM($G215:$J215)))*$F217,(G217/(SUM($G217:$J217)))*$F217)</f>
        <v>0</v>
      </c>
      <c r="L217" s="8">
        <f>+IF(H217="",(H215/(SUM($G215:$J215)))*$F217,(H217/(SUM($G217:$J217)))*$F217)</f>
        <v>11.316062176165802</v>
      </c>
      <c r="M217" s="8">
        <f>+IF(I217="",(I215/(SUM($G215:$J215)))*$F217,(I217/(SUM($G217:$J217)))*$F217)</f>
        <v>15.958549222797927</v>
      </c>
      <c r="N217" s="8">
        <f>+IF(J217="",(J215/(SUM($G215:$J215)))*$F217,(J217/(SUM($G217:$J217)))*$F217)</f>
        <v>0.72538860103626934</v>
      </c>
    </row>
    <row r="218" spans="1:18" x14ac:dyDescent="0.25">
      <c r="A218" s="6" t="s">
        <v>2</v>
      </c>
      <c r="B218" s="6" t="s">
        <v>50</v>
      </c>
      <c r="C218" s="6" t="s">
        <v>48</v>
      </c>
      <c r="D218" s="6" t="s">
        <v>48</v>
      </c>
      <c r="E218" s="6">
        <v>2018</v>
      </c>
      <c r="F218" s="15">
        <v>1204</v>
      </c>
      <c r="G218" s="29"/>
      <c r="H218" s="29"/>
      <c r="I218" s="29"/>
      <c r="J218" s="29"/>
      <c r="K218" s="8">
        <f>+SUM(K213:K215)</f>
        <v>0</v>
      </c>
      <c r="L218" s="8">
        <f>+SUM(L213:L215)</f>
        <v>508.41118388894319</v>
      </c>
      <c r="M218" s="8">
        <f>+SUM(M213:M215)</f>
        <v>662.44344510704855</v>
      </c>
      <c r="N218" s="8">
        <f>+SUM(N213:N215)</f>
        <v>33.145371004008211</v>
      </c>
      <c r="O218" s="12">
        <f>K218/$F218</f>
        <v>0</v>
      </c>
      <c r="P218" s="12">
        <f>L218/$F218</f>
        <v>0.42226842515692958</v>
      </c>
      <c r="Q218" s="12">
        <f>M218/$F218</f>
        <v>0.55020219693276462</v>
      </c>
      <c r="R218" s="12">
        <f>N218/$F218</f>
        <v>2.7529377910305824E-2</v>
      </c>
    </row>
    <row r="219" spans="1:18" x14ac:dyDescent="0.25">
      <c r="A219" s="14" t="s">
        <v>49</v>
      </c>
      <c r="B219" s="6" t="s">
        <v>50</v>
      </c>
      <c r="C219" s="6" t="s">
        <v>48</v>
      </c>
      <c r="D219" s="6" t="s">
        <v>48</v>
      </c>
      <c r="E219" s="6">
        <v>2018</v>
      </c>
      <c r="F219" s="30">
        <f>F218+SUM(F216:F217)</f>
        <v>1240</v>
      </c>
      <c r="G219" s="29"/>
      <c r="H219" s="29"/>
      <c r="I219" s="29"/>
      <c r="J219" s="29"/>
      <c r="K219" s="8">
        <f t="shared" ref="K219:L219" si="156">SUM(K213:K217)</f>
        <v>0</v>
      </c>
      <c r="L219" s="8">
        <f t="shared" si="156"/>
        <v>527.72724606510906</v>
      </c>
      <c r="M219" s="8">
        <f>SUM(M213:M217)</f>
        <v>678.4019943298465</v>
      </c>
      <c r="N219" s="8">
        <f>SUM(N213:N217)</f>
        <v>33.870759605044483</v>
      </c>
      <c r="O219" s="12">
        <f>K219/$F219</f>
        <v>0</v>
      </c>
      <c r="P219" s="12">
        <f t="shared" ref="P219" si="157">L219/$F219</f>
        <v>0.42558648876218474</v>
      </c>
      <c r="Q219" s="12">
        <f>M219/$F219</f>
        <v>0.54709838252406973</v>
      </c>
      <c r="R219" s="12">
        <f>N219/$F219</f>
        <v>2.731512871374555E-2</v>
      </c>
    </row>
    <row r="220" spans="1:18" x14ac:dyDescent="0.25">
      <c r="F220" s="17"/>
      <c r="G220" s="29"/>
      <c r="H220" s="29"/>
      <c r="I220" s="29"/>
      <c r="J220" s="29"/>
    </row>
    <row r="221" spans="1:18" x14ac:dyDescent="0.25">
      <c r="A221" s="6" t="s">
        <v>2</v>
      </c>
      <c r="B221" s="6" t="s">
        <v>51</v>
      </c>
      <c r="C221" s="6" t="s">
        <v>43</v>
      </c>
      <c r="D221" s="6" t="s">
        <v>44</v>
      </c>
      <c r="E221" s="6">
        <v>2018</v>
      </c>
      <c r="F221" s="13">
        <v>0</v>
      </c>
      <c r="G221" s="24">
        <v>0</v>
      </c>
      <c r="H221" s="24">
        <v>0</v>
      </c>
      <c r="I221" s="24">
        <v>0</v>
      </c>
      <c r="J221" s="24">
        <v>0</v>
      </c>
      <c r="K221" s="8"/>
      <c r="L221" s="8"/>
      <c r="M221" s="8"/>
      <c r="N221" s="8"/>
    </row>
    <row r="222" spans="1:18" x14ac:dyDescent="0.25">
      <c r="A222" s="6" t="s">
        <v>2</v>
      </c>
      <c r="B222" s="6" t="s">
        <v>51</v>
      </c>
      <c r="C222" s="6" t="s">
        <v>45</v>
      </c>
      <c r="D222" s="6" t="s">
        <v>33</v>
      </c>
      <c r="E222" s="6">
        <v>2018</v>
      </c>
      <c r="F222" s="14">
        <v>5</v>
      </c>
      <c r="G222" s="16"/>
      <c r="H222" s="16"/>
      <c r="I222" s="16"/>
      <c r="J222" s="16"/>
      <c r="K222" s="8">
        <f>+IF(G222="",(G223/(SUM($G223:$J223)))*$F222,(G222/(SUM($G222:$J222)))*$F222)</f>
        <v>0</v>
      </c>
      <c r="L222" s="8">
        <f>+IF(H222="",(H223/(SUM($G223:$J223)))*$F222,(H222/(SUM($G222:$J222)))*$F222)</f>
        <v>5</v>
      </c>
      <c r="M222" s="8">
        <f t="shared" ref="M222:N222" si="158">+IF(I222="",(I223/(SUM($G223:$J223)))*$F222,(I222/(SUM($G222:$J222)))*$F222)</f>
        <v>0</v>
      </c>
      <c r="N222" s="8">
        <f t="shared" si="158"/>
        <v>0</v>
      </c>
    </row>
    <row r="223" spans="1:18" x14ac:dyDescent="0.25">
      <c r="A223" s="6" t="s">
        <v>2</v>
      </c>
      <c r="B223" s="6" t="s">
        <v>51</v>
      </c>
      <c r="C223" s="6" t="s">
        <v>45</v>
      </c>
      <c r="D223" s="6" t="s">
        <v>46</v>
      </c>
      <c r="E223" s="6">
        <v>2018</v>
      </c>
      <c r="F223" s="25">
        <f>+F226-SUM(F221:F222)</f>
        <v>11</v>
      </c>
      <c r="G223" s="16">
        <v>0</v>
      </c>
      <c r="H223" s="16">
        <v>1</v>
      </c>
      <c r="I223" s="16">
        <v>0</v>
      </c>
      <c r="J223" s="16">
        <v>0</v>
      </c>
      <c r="K223" s="8">
        <f t="shared" ref="K223" si="159">+(G223/(SUM($G223:$J223)))*$F223</f>
        <v>0</v>
      </c>
      <c r="L223" s="8">
        <f t="shared" ref="L223" si="160">+(H223/(SUM($G223:$J223)))*$F223</f>
        <v>11</v>
      </c>
      <c r="M223" s="8">
        <f t="shared" ref="M223" si="161">+(I223/(SUM($G223:$J223)))*$F223</f>
        <v>0</v>
      </c>
      <c r="N223" s="8">
        <f t="shared" ref="N223" si="162">+(J223/(SUM($G223:$J223)))*$F223</f>
        <v>0</v>
      </c>
    </row>
    <row r="224" spans="1:18" x14ac:dyDescent="0.25">
      <c r="A224" s="14" t="s">
        <v>47</v>
      </c>
      <c r="B224" s="6" t="s">
        <v>51</v>
      </c>
      <c r="C224" s="6" t="s">
        <v>43</v>
      </c>
      <c r="D224" s="6" t="s">
        <v>46</v>
      </c>
      <c r="E224" s="6">
        <v>2018</v>
      </c>
      <c r="F224" s="28"/>
      <c r="G224" s="26"/>
      <c r="H224" s="26"/>
      <c r="I224" s="26"/>
      <c r="J224" s="26"/>
      <c r="K224" s="8">
        <f>+IF($F224=0,0,(G224/(SUM($G224:$J224)))*$F224)</f>
        <v>0</v>
      </c>
      <c r="L224" s="8">
        <f>+IF($F224=0,0,(H224/(SUM($G224:$J224)))*$F224)</f>
        <v>0</v>
      </c>
      <c r="M224" s="8">
        <f>+IF($F224=0,0,(I224/(SUM($G224:$J224)))*$F224)</f>
        <v>0</v>
      </c>
      <c r="N224" s="8">
        <f>+IF($F224=0,0,(J224/(SUM($G224:$J224)))*$F224)</f>
        <v>0</v>
      </c>
    </row>
    <row r="225" spans="1:18" x14ac:dyDescent="0.25">
      <c r="A225" s="14" t="s">
        <v>47</v>
      </c>
      <c r="B225" s="6" t="s">
        <v>51</v>
      </c>
      <c r="C225" s="6" t="s">
        <v>45</v>
      </c>
      <c r="D225" s="6" t="s">
        <v>46</v>
      </c>
      <c r="E225" s="6">
        <v>2018</v>
      </c>
      <c r="F225" s="28"/>
      <c r="G225" s="27"/>
      <c r="H225" s="27"/>
      <c r="I225" s="27"/>
      <c r="J225" s="27"/>
      <c r="K225" s="8">
        <f>+IF(G225="",(G223/(SUM($G223:$J223)))*$F225,(G225/(SUM($G225:$J225)))*$F225)</f>
        <v>0</v>
      </c>
      <c r="L225" s="8">
        <f>+IF(H225="",(H223/(SUM($G223:$J223)))*$F225,(H225/(SUM($G225:$J225)))*$F225)</f>
        <v>0</v>
      </c>
      <c r="M225" s="8">
        <f>+IF(I225="",(I223/(SUM($G223:$J223)))*$F225,(I225/(SUM($G225:$J225)))*$F225)</f>
        <v>0</v>
      </c>
      <c r="N225" s="8">
        <f>+IF(J225="",(J223/(SUM($G223:$J223)))*$F225,(J225/(SUM($G225:$J225)))*$F225)</f>
        <v>0</v>
      </c>
    </row>
    <row r="226" spans="1:18" x14ac:dyDescent="0.25">
      <c r="A226" s="6" t="s">
        <v>2</v>
      </c>
      <c r="B226" s="6" t="s">
        <v>51</v>
      </c>
      <c r="C226" s="6" t="s">
        <v>48</v>
      </c>
      <c r="D226" s="6" t="s">
        <v>48</v>
      </c>
      <c r="E226" s="6">
        <v>2018</v>
      </c>
      <c r="F226" s="15">
        <v>16</v>
      </c>
      <c r="G226" s="29"/>
      <c r="H226" s="29"/>
      <c r="I226" s="29"/>
      <c r="J226" s="29"/>
      <c r="K226" s="8">
        <f>+SUM(K221:K223)</f>
        <v>0</v>
      </c>
      <c r="L226" s="8">
        <f>+SUM(L221:L223)</f>
        <v>16</v>
      </c>
      <c r="M226" s="8">
        <f>+SUM(M221:M223)</f>
        <v>0</v>
      </c>
      <c r="N226" s="8">
        <f>+SUM(N221:N223)</f>
        <v>0</v>
      </c>
      <c r="O226" s="12">
        <f>K226/$F226</f>
        <v>0</v>
      </c>
      <c r="P226" s="12">
        <f>L226/$F226</f>
        <v>1</v>
      </c>
      <c r="Q226" s="12">
        <f>M226/$F226</f>
        <v>0</v>
      </c>
      <c r="R226" s="12">
        <f>N226/$F226</f>
        <v>0</v>
      </c>
    </row>
    <row r="227" spans="1:18" x14ac:dyDescent="0.25">
      <c r="A227" s="14" t="s">
        <v>49</v>
      </c>
      <c r="B227" s="6" t="s">
        <v>51</v>
      </c>
      <c r="C227" s="6" t="s">
        <v>48</v>
      </c>
      <c r="D227" s="6" t="s">
        <v>48</v>
      </c>
      <c r="E227" s="6">
        <v>2018</v>
      </c>
      <c r="F227" s="31">
        <f>F226+SUM(F224:F225)</f>
        <v>16</v>
      </c>
      <c r="K227" s="8">
        <f t="shared" ref="K227:L227" si="163">SUM(K221:K225)</f>
        <v>0</v>
      </c>
      <c r="L227" s="8">
        <f t="shared" si="163"/>
        <v>16</v>
      </c>
      <c r="M227" s="8">
        <f>SUM(M221:M225)</f>
        <v>0</v>
      </c>
      <c r="N227" s="8">
        <f>SUM(N221:N225)</f>
        <v>0</v>
      </c>
      <c r="O227" s="12">
        <f>K227/$F227</f>
        <v>0</v>
      </c>
      <c r="P227" s="12">
        <f t="shared" ref="P227" si="164">L227/$F227</f>
        <v>1</v>
      </c>
      <c r="Q227" s="12">
        <f>M227/$F227</f>
        <v>0</v>
      </c>
      <c r="R227" s="12">
        <f>N227/$F227</f>
        <v>0</v>
      </c>
    </row>
    <row r="229" spans="1:18" x14ac:dyDescent="0.25">
      <c r="A229" s="6" t="s">
        <v>141</v>
      </c>
      <c r="B229" s="35"/>
      <c r="G229" s="115" t="s">
        <v>3123</v>
      </c>
      <c r="H229" s="115"/>
      <c r="I229" s="115"/>
      <c r="J229" s="115"/>
    </row>
    <row r="230" spans="1:18" x14ac:dyDescent="0.25">
      <c r="A230" s="6" t="s">
        <v>2</v>
      </c>
      <c r="B230" s="6" t="s">
        <v>145</v>
      </c>
      <c r="C230" s="6" t="s">
        <v>43</v>
      </c>
      <c r="D230" s="6" t="s">
        <v>44</v>
      </c>
      <c r="E230" s="6">
        <v>2019</v>
      </c>
      <c r="F230" s="13">
        <v>93</v>
      </c>
      <c r="G230" s="24">
        <v>0</v>
      </c>
      <c r="H230" s="24">
        <v>7</v>
      </c>
      <c r="I230" s="24">
        <v>3</v>
      </c>
      <c r="J230" s="24">
        <v>0</v>
      </c>
      <c r="K230" s="8">
        <f>+(G230/(SUM($G230:$J230)))*$F230</f>
        <v>0</v>
      </c>
      <c r="L230" s="8">
        <f>+(H230/(SUM($G230:$J230)))*$F230</f>
        <v>65.099999999999994</v>
      </c>
      <c r="M230" s="8">
        <f>+(I230/(SUM($G230:$J230)))*$F230</f>
        <v>27.9</v>
      </c>
      <c r="N230" s="8">
        <f>+(J230/(SUM($G230:$J230)))*$F230</f>
        <v>0</v>
      </c>
    </row>
    <row r="231" spans="1:18" x14ac:dyDescent="0.25">
      <c r="A231" s="6" t="s">
        <v>2</v>
      </c>
      <c r="B231" s="6" t="s">
        <v>145</v>
      </c>
      <c r="C231" s="6" t="s">
        <v>45</v>
      </c>
      <c r="D231" s="6" t="s">
        <v>33</v>
      </c>
      <c r="E231" s="6">
        <v>2019</v>
      </c>
      <c r="F231" s="14">
        <v>0</v>
      </c>
      <c r="G231" s="16"/>
      <c r="H231" s="16"/>
      <c r="I231" s="16"/>
      <c r="J231" s="16"/>
      <c r="K231" s="114">
        <v>0</v>
      </c>
      <c r="L231" s="114">
        <v>0</v>
      </c>
      <c r="M231" s="114">
        <v>0</v>
      </c>
      <c r="N231" s="114">
        <v>0</v>
      </c>
    </row>
    <row r="232" spans="1:18" x14ac:dyDescent="0.25">
      <c r="A232" s="6" t="s">
        <v>2</v>
      </c>
      <c r="B232" s="6" t="s">
        <v>145</v>
      </c>
      <c r="C232" s="6" t="s">
        <v>45</v>
      </c>
      <c r="D232" s="6" t="s">
        <v>46</v>
      </c>
      <c r="E232" s="6">
        <v>2019</v>
      </c>
      <c r="F232" s="25">
        <f>+F235-SUM(F230:F231)</f>
        <v>2393</v>
      </c>
      <c r="G232" s="16">
        <v>0</v>
      </c>
      <c r="H232" s="16">
        <v>66</v>
      </c>
      <c r="I232" s="16">
        <v>53</v>
      </c>
      <c r="J232" s="16">
        <v>4</v>
      </c>
      <c r="K232" s="8">
        <f>+(G232/(SUM($G232:$J232)))*$F232</f>
        <v>0</v>
      </c>
      <c r="L232" s="8">
        <f t="shared" ref="L232:N232" si="165">+(H232/(SUM($G232:$J232)))*$F232</f>
        <v>1284.0487804878051</v>
      </c>
      <c r="M232" s="8">
        <f t="shared" si="165"/>
        <v>1031.1300813008131</v>
      </c>
      <c r="N232" s="8">
        <f t="shared" si="165"/>
        <v>77.82113821138212</v>
      </c>
    </row>
    <row r="233" spans="1:18" x14ac:dyDescent="0.25">
      <c r="A233" s="14" t="s">
        <v>47</v>
      </c>
      <c r="B233" s="6" t="s">
        <v>145</v>
      </c>
      <c r="C233" s="6" t="s">
        <v>43</v>
      </c>
      <c r="D233" s="6" t="s">
        <v>46</v>
      </c>
      <c r="E233" s="6">
        <v>2019</v>
      </c>
      <c r="F233" s="28"/>
      <c r="G233" s="26"/>
      <c r="H233" s="26"/>
      <c r="I233" s="26"/>
      <c r="J233" s="26"/>
      <c r="K233" s="8">
        <f>+IF($F233=0,0,(G233/(SUM($G233:$J233)))*$F233)</f>
        <v>0</v>
      </c>
      <c r="L233" s="8">
        <f>+IF($F233=0,0,(H233/(SUM($G233:$J233)))*$F233)</f>
        <v>0</v>
      </c>
      <c r="M233" s="8">
        <f>+IF($F233=0,0,(I233/(SUM($G233:$J233)))*$F233)</f>
        <v>0</v>
      </c>
      <c r="N233" s="8">
        <f>+IF($F233=0,0,(J233/(SUM($G233:$J233)))*$F233)</f>
        <v>0</v>
      </c>
    </row>
    <row r="234" spans="1:18" x14ac:dyDescent="0.25">
      <c r="A234" s="14" t="s">
        <v>47</v>
      </c>
      <c r="B234" s="6" t="s">
        <v>145</v>
      </c>
      <c r="C234" s="6" t="s">
        <v>45</v>
      </c>
      <c r="D234" s="6" t="s">
        <v>46</v>
      </c>
      <c r="E234" s="6">
        <v>2019</v>
      </c>
      <c r="F234" s="28"/>
      <c r="G234" s="27"/>
      <c r="H234" s="27"/>
      <c r="I234" s="27"/>
      <c r="J234" s="27"/>
      <c r="K234" s="8">
        <f>+IF(G234="",(G232/(SUM($G232:$J232)))*$F234,(G234/(SUM($G234:$J234)))*$F234)</f>
        <v>0</v>
      </c>
      <c r="L234" s="8">
        <f>+IF(H234="",(H232/(SUM($G232:$J232)))*$F234,(H234/(SUM($G234:$J234)))*$F234)</f>
        <v>0</v>
      </c>
      <c r="M234" s="8">
        <f>+IF(I234="",(I232/(SUM($G232:$J232)))*$F234,(I234/(SUM($G234:$J234)))*$F234)</f>
        <v>0</v>
      </c>
      <c r="N234" s="8">
        <f>+IF(J234="",(J232/(SUM($G232:$J232)))*$F234,(J234/(SUM($G234:$J234)))*$F234)</f>
        <v>0</v>
      </c>
    </row>
    <row r="235" spans="1:18" x14ac:dyDescent="0.25">
      <c r="A235" s="6" t="s">
        <v>2</v>
      </c>
      <c r="B235" s="6" t="s">
        <v>145</v>
      </c>
      <c r="C235" s="6" t="s">
        <v>48</v>
      </c>
      <c r="D235" s="6" t="s">
        <v>48</v>
      </c>
      <c r="E235" s="6">
        <v>2019</v>
      </c>
      <c r="F235" s="13">
        <v>2486</v>
      </c>
      <c r="G235" s="29"/>
      <c r="H235" s="29"/>
      <c r="I235" s="29"/>
      <c r="J235" s="29"/>
      <c r="K235" s="8">
        <f>+SUM(K230:K232)</f>
        <v>0</v>
      </c>
      <c r="L235" s="8">
        <f>+SUM(L230:L232)</f>
        <v>1349.148780487805</v>
      </c>
      <c r="M235" s="8">
        <f>+SUM(M230:M232)</f>
        <v>1059.0300813008132</v>
      </c>
      <c r="N235" s="8">
        <f>+SUM(N230:N232)</f>
        <v>77.82113821138212</v>
      </c>
      <c r="O235" s="12">
        <f>K235/$F235</f>
        <v>0</v>
      </c>
      <c r="P235" s="12">
        <f>L235/$F235</f>
        <v>0.54269862449227879</v>
      </c>
      <c r="Q235" s="12">
        <f>M235/$F235</f>
        <v>0.42599761918777684</v>
      </c>
      <c r="R235" s="12">
        <f>N235/$F235</f>
        <v>3.1303756319944538E-2</v>
      </c>
    </row>
    <row r="236" spans="1:18" s="39" customFormat="1" ht="15.75" thickBot="1" x14ac:dyDescent="0.3">
      <c r="A236" s="50" t="s">
        <v>49</v>
      </c>
      <c r="B236" s="39" t="s">
        <v>145</v>
      </c>
      <c r="C236" s="39" t="s">
        <v>48</v>
      </c>
      <c r="D236" s="39" t="s">
        <v>48</v>
      </c>
      <c r="E236" s="39">
        <v>2019</v>
      </c>
      <c r="F236" s="57">
        <f>F235+SUM(F233:F234)</f>
        <v>2486</v>
      </c>
      <c r="G236" s="58"/>
      <c r="H236" s="58"/>
      <c r="I236" s="58"/>
      <c r="J236" s="58"/>
      <c r="K236" s="59">
        <f t="shared" ref="K236:L236" si="166">SUM(K230:K234)</f>
        <v>0</v>
      </c>
      <c r="L236" s="59">
        <f t="shared" si="166"/>
        <v>1349.148780487805</v>
      </c>
      <c r="M236" s="59">
        <f>SUM(M230:M234)</f>
        <v>1059.0300813008132</v>
      </c>
      <c r="N236" s="59">
        <f>SUM(N230:N234)</f>
        <v>77.82113821138212</v>
      </c>
      <c r="O236" s="60">
        <f>K236/$F236</f>
        <v>0</v>
      </c>
      <c r="P236" s="60">
        <f t="shared" ref="P236" si="167">L236/$F236</f>
        <v>0.54269862449227879</v>
      </c>
      <c r="Q236" s="60">
        <f>M236/$F236</f>
        <v>0.42599761918777684</v>
      </c>
      <c r="R236" s="60">
        <f>N236/$F236</f>
        <v>3.1303756319944538E-2</v>
      </c>
    </row>
    <row r="237" spans="1:18" ht="15.75" thickTop="1" x14ac:dyDescent="0.25"/>
    <row r="238" spans="1:18" x14ac:dyDescent="0.25">
      <c r="A238" s="63" t="s">
        <v>151</v>
      </c>
      <c r="B238" s="103">
        <v>1.3453542291947449E-2</v>
      </c>
      <c r="G238" s="115" t="s">
        <v>3122</v>
      </c>
      <c r="H238" s="115"/>
      <c r="I238" s="115"/>
      <c r="J238" s="115"/>
    </row>
    <row r="239" spans="1:18" x14ac:dyDescent="0.25">
      <c r="A239" s="6" t="s">
        <v>2</v>
      </c>
      <c r="B239" s="6" t="s">
        <v>42</v>
      </c>
      <c r="C239" s="6" t="s">
        <v>43</v>
      </c>
      <c r="D239" s="6" t="s">
        <v>44</v>
      </c>
      <c r="E239" s="6">
        <v>2020</v>
      </c>
      <c r="F239" s="61">
        <v>94</v>
      </c>
      <c r="G239" s="24">
        <v>0</v>
      </c>
      <c r="H239" s="24">
        <v>12</v>
      </c>
      <c r="I239" s="24">
        <v>10</v>
      </c>
      <c r="J239" s="24">
        <v>0</v>
      </c>
      <c r="K239" s="8">
        <f t="shared" ref="K239:N240" si="168">+(G239/(SUM($G239:$J239)))*$F239</f>
        <v>0</v>
      </c>
      <c r="L239" s="8">
        <f t="shared" si="168"/>
        <v>51.272727272727266</v>
      </c>
      <c r="M239" s="8">
        <f t="shared" si="168"/>
        <v>42.727272727272727</v>
      </c>
      <c r="N239" s="8">
        <f t="shared" si="168"/>
        <v>0</v>
      </c>
    </row>
    <row r="240" spans="1:18" x14ac:dyDescent="0.25">
      <c r="A240" s="6" t="s">
        <v>2</v>
      </c>
      <c r="B240" s="6" t="s">
        <v>42</v>
      </c>
      <c r="C240" s="6" t="s">
        <v>45</v>
      </c>
      <c r="D240" s="6" t="s">
        <v>33</v>
      </c>
      <c r="E240" s="6">
        <v>2020</v>
      </c>
      <c r="F240" s="62">
        <v>344</v>
      </c>
      <c r="G240" s="16">
        <v>0</v>
      </c>
      <c r="H240" s="16">
        <v>16</v>
      </c>
      <c r="I240" s="16">
        <v>22</v>
      </c>
      <c r="J240" s="16">
        <v>0</v>
      </c>
      <c r="K240" s="8">
        <f t="shared" si="168"/>
        <v>0</v>
      </c>
      <c r="L240" s="8">
        <f t="shared" si="168"/>
        <v>144.84210526315789</v>
      </c>
      <c r="M240" s="8">
        <f t="shared" si="168"/>
        <v>199.15789473684211</v>
      </c>
      <c r="N240" s="8">
        <f t="shared" si="168"/>
        <v>0</v>
      </c>
    </row>
    <row r="241" spans="1:18" x14ac:dyDescent="0.25">
      <c r="A241" s="6" t="s">
        <v>2</v>
      </c>
      <c r="B241" s="6" t="s">
        <v>42</v>
      </c>
      <c r="C241" s="6" t="s">
        <v>45</v>
      </c>
      <c r="D241" s="6" t="s">
        <v>46</v>
      </c>
      <c r="E241" s="6">
        <v>2020</v>
      </c>
      <c r="F241" s="25">
        <f>+F244-SUM(F239:F240)</f>
        <v>2950</v>
      </c>
      <c r="G241" s="16">
        <v>0</v>
      </c>
      <c r="H241" s="16">
        <v>60</v>
      </c>
      <c r="I241" s="16">
        <v>86</v>
      </c>
      <c r="J241" s="16">
        <v>0</v>
      </c>
      <c r="K241" s="8">
        <f>+(G241/(SUM($G241:$J241)))*$F241</f>
        <v>0</v>
      </c>
      <c r="L241" s="8">
        <f t="shared" ref="L241" si="169">+(H241/(SUM($G241:$J241)))*$F241</f>
        <v>1212.3287671232877</v>
      </c>
      <c r="M241" s="8">
        <f t="shared" ref="M241" si="170">+(I241/(SUM($G241:$J241)))*$F241</f>
        <v>1737.6712328767123</v>
      </c>
      <c r="N241" s="8">
        <f t="shared" ref="N241" si="171">+(J241/(SUM($G241:$J241)))*$F241</f>
        <v>0</v>
      </c>
    </row>
    <row r="242" spans="1:18" x14ac:dyDescent="0.25">
      <c r="A242" s="14" t="s">
        <v>47</v>
      </c>
      <c r="B242" s="6" t="s">
        <v>42</v>
      </c>
      <c r="C242" s="6" t="s">
        <v>43</v>
      </c>
      <c r="D242" s="6" t="s">
        <v>46</v>
      </c>
      <c r="E242" s="6">
        <v>2020</v>
      </c>
      <c r="F242" s="105">
        <v>0</v>
      </c>
      <c r="G242" s="26"/>
      <c r="H242" s="26"/>
      <c r="I242" s="26"/>
      <c r="J242" s="26"/>
      <c r="K242" s="8">
        <f>+IF($F242=0,0,(G242/(SUM($G242:$J242)))*$F242)</f>
        <v>0</v>
      </c>
      <c r="L242" s="8">
        <f>+IF($F242=0,0,(H242/(SUM($G242:$J242)))*$F242)</f>
        <v>0</v>
      </c>
      <c r="M242" s="8">
        <f>+IF($F242=0,0,(I242/(SUM($G242:$J242)))*$F242)</f>
        <v>0</v>
      </c>
      <c r="N242" s="8">
        <f>+IF($F242=0,0,(J242/(SUM($G242:$J242)))*$F242)</f>
        <v>0</v>
      </c>
    </row>
    <row r="243" spans="1:18" x14ac:dyDescent="0.25">
      <c r="A243" s="14" t="s">
        <v>47</v>
      </c>
      <c r="B243" s="6" t="s">
        <v>42</v>
      </c>
      <c r="C243" s="6" t="s">
        <v>45</v>
      </c>
      <c r="D243" s="6" t="s">
        <v>46</v>
      </c>
      <c r="E243" s="6">
        <v>2020</v>
      </c>
      <c r="F243" s="105">
        <v>46</v>
      </c>
      <c r="G243" s="27"/>
      <c r="H243" s="27"/>
      <c r="I243" s="27"/>
      <c r="J243" s="27"/>
      <c r="K243" s="8">
        <f>+IF(G243="",(G241/(SUM($G241:$J241)))*$F243,(G243/(SUM($G243:$J243)))*$F243)</f>
        <v>0</v>
      </c>
      <c r="L243" s="8">
        <f>+IF(H243="",(H241/(SUM($G241:$J241)))*$F243,(H243/(SUM($G243:$J243)))*$F243)</f>
        <v>18.904109589041095</v>
      </c>
      <c r="M243" s="8">
        <f>+IF(I243="",(I241/(SUM($G241:$J241)))*$F243,(I243/(SUM($G243:$J243)))*$F243)</f>
        <v>27.095890410958905</v>
      </c>
      <c r="N243" s="8">
        <f>+IF(J243="",(J241/(SUM($G241:$J241)))*$F243,(J243/(SUM($G243:$J243)))*$F243)</f>
        <v>0</v>
      </c>
    </row>
    <row r="244" spans="1:18" x14ac:dyDescent="0.25">
      <c r="A244" s="6" t="s">
        <v>2</v>
      </c>
      <c r="B244" s="6" t="s">
        <v>42</v>
      </c>
      <c r="C244" s="6" t="s">
        <v>48</v>
      </c>
      <c r="D244" s="6" t="s">
        <v>48</v>
      </c>
      <c r="E244" s="6">
        <v>2020</v>
      </c>
      <c r="F244" s="13">
        <v>3388</v>
      </c>
      <c r="G244" s="29"/>
      <c r="H244" s="29"/>
      <c r="I244" s="29"/>
      <c r="J244" s="29"/>
      <c r="K244" s="8">
        <f>+SUM(K239:K241)</f>
        <v>0</v>
      </c>
      <c r="L244" s="8">
        <f>+SUM(L239:L241)</f>
        <v>1408.4435996591728</v>
      </c>
      <c r="M244" s="8">
        <f>+SUM(M239:M241)</f>
        <v>1979.5564003408272</v>
      </c>
      <c r="N244" s="8">
        <f>+SUM(N239:N241)</f>
        <v>0</v>
      </c>
      <c r="O244" s="12">
        <f>K244/$F244</f>
        <v>0</v>
      </c>
      <c r="P244" s="12">
        <f>L244/$F244</f>
        <v>0.41571534818747724</v>
      </c>
      <c r="Q244" s="12">
        <f>M244/$F244</f>
        <v>0.58428465181252276</v>
      </c>
      <c r="R244" s="12">
        <f>N244/$F244</f>
        <v>0</v>
      </c>
    </row>
    <row r="245" spans="1:18" x14ac:dyDescent="0.25">
      <c r="A245" s="14" t="s">
        <v>49</v>
      </c>
      <c r="B245" s="6" t="s">
        <v>42</v>
      </c>
      <c r="C245" s="6" t="s">
        <v>48</v>
      </c>
      <c r="D245" s="6" t="s">
        <v>48</v>
      </c>
      <c r="E245" s="6">
        <v>2020</v>
      </c>
      <c r="F245" s="31">
        <f>F244+SUM(F242:F243)</f>
        <v>3434</v>
      </c>
      <c r="G245" s="29"/>
      <c r="H245" s="29"/>
      <c r="I245" s="29"/>
      <c r="J245" s="29"/>
      <c r="K245" s="8">
        <f t="shared" ref="K245:L245" si="172">SUM(K239:K243)</f>
        <v>0</v>
      </c>
      <c r="L245" s="8">
        <f t="shared" si="172"/>
        <v>1427.347709248214</v>
      </c>
      <c r="M245" s="8">
        <f>SUM(M239:M243)</f>
        <v>2006.652290751786</v>
      </c>
      <c r="N245" s="8">
        <f>SUM(N239:N243)</f>
        <v>0</v>
      </c>
      <c r="O245" s="12">
        <f>K245/$F245</f>
        <v>0</v>
      </c>
      <c r="P245" s="12">
        <f t="shared" ref="P245" si="173">L245/$F245</f>
        <v>0.41565163344444206</v>
      </c>
      <c r="Q245" s="12">
        <f>M245/$F245</f>
        <v>0.584348366555558</v>
      </c>
      <c r="R245" s="12">
        <f>N245/$F245</f>
        <v>0</v>
      </c>
    </row>
    <row r="246" spans="1:18" x14ac:dyDescent="0.25">
      <c r="B246" s="35"/>
      <c r="G246" s="14"/>
      <c r="H246" s="14"/>
      <c r="I246" s="14"/>
      <c r="J246" s="14"/>
    </row>
    <row r="247" spans="1:18" x14ac:dyDescent="0.25">
      <c r="A247" s="6" t="s">
        <v>2</v>
      </c>
      <c r="B247" s="6" t="s">
        <v>50</v>
      </c>
      <c r="C247" s="6" t="s">
        <v>43</v>
      </c>
      <c r="D247" s="6" t="s">
        <v>44</v>
      </c>
      <c r="E247" s="6">
        <v>2020</v>
      </c>
      <c r="F247" s="61">
        <v>96</v>
      </c>
      <c r="G247" s="24">
        <v>0</v>
      </c>
      <c r="H247" s="24">
        <v>19</v>
      </c>
      <c r="I247" s="24">
        <v>15</v>
      </c>
      <c r="J247" s="24">
        <v>0</v>
      </c>
      <c r="K247" s="8">
        <f t="shared" ref="K247:N248" si="174">+(G247/(SUM($G247:$J247)))*$F247</f>
        <v>0</v>
      </c>
      <c r="L247" s="8">
        <f t="shared" si="174"/>
        <v>53.647058823529413</v>
      </c>
      <c r="M247" s="8">
        <f t="shared" si="174"/>
        <v>42.352941176470587</v>
      </c>
      <c r="N247" s="8">
        <f t="shared" si="174"/>
        <v>0</v>
      </c>
    </row>
    <row r="248" spans="1:18" x14ac:dyDescent="0.25">
      <c r="A248" s="6" t="s">
        <v>2</v>
      </c>
      <c r="B248" s="6" t="s">
        <v>50</v>
      </c>
      <c r="C248" s="6" t="s">
        <v>45</v>
      </c>
      <c r="D248" s="6" t="s">
        <v>33</v>
      </c>
      <c r="E248" s="6">
        <v>2020</v>
      </c>
      <c r="F248" s="62">
        <v>415</v>
      </c>
      <c r="G248" s="16">
        <v>0</v>
      </c>
      <c r="H248" s="16">
        <v>31</v>
      </c>
      <c r="I248" s="16">
        <v>58</v>
      </c>
      <c r="J248" s="16">
        <v>0</v>
      </c>
      <c r="K248" s="8">
        <f t="shared" si="174"/>
        <v>0</v>
      </c>
      <c r="L248" s="8">
        <f t="shared" si="174"/>
        <v>144.55056179775281</v>
      </c>
      <c r="M248" s="8">
        <f t="shared" si="174"/>
        <v>270.44943820224722</v>
      </c>
      <c r="N248" s="8">
        <f t="shared" si="174"/>
        <v>0</v>
      </c>
    </row>
    <row r="249" spans="1:18" x14ac:dyDescent="0.25">
      <c r="A249" s="6" t="s">
        <v>2</v>
      </c>
      <c r="B249" s="6" t="s">
        <v>50</v>
      </c>
      <c r="C249" s="6" t="s">
        <v>45</v>
      </c>
      <c r="D249" s="6" t="s">
        <v>46</v>
      </c>
      <c r="E249" s="6">
        <v>2020</v>
      </c>
      <c r="F249" s="25">
        <f>+F252-SUM(F247:F248)</f>
        <v>2325</v>
      </c>
      <c r="G249" s="16">
        <v>0</v>
      </c>
      <c r="H249" s="16">
        <v>46</v>
      </c>
      <c r="I249" s="16">
        <v>175</v>
      </c>
      <c r="J249" s="16">
        <v>0</v>
      </c>
      <c r="K249" s="8">
        <f>+(G249/(SUM($G249:$J249)))*$F249</f>
        <v>0</v>
      </c>
      <c r="L249" s="8">
        <f t="shared" ref="L249" si="175">+(H249/(SUM($G249:$J249)))*$F249</f>
        <v>483.93665158371044</v>
      </c>
      <c r="M249" s="8">
        <f t="shared" ref="M249" si="176">+(I249/(SUM($G249:$J249)))*$F249</f>
        <v>1841.0633484162895</v>
      </c>
      <c r="N249" s="8">
        <f t="shared" ref="N249" si="177">+(J249/(SUM($G249:$J249)))*$F249</f>
        <v>0</v>
      </c>
    </row>
    <row r="250" spans="1:18" x14ac:dyDescent="0.25">
      <c r="A250" s="14" t="s">
        <v>47</v>
      </c>
      <c r="B250" s="6" t="s">
        <v>50</v>
      </c>
      <c r="C250" s="6" t="s">
        <v>43</v>
      </c>
      <c r="D250" s="6" t="s">
        <v>46</v>
      </c>
      <c r="E250" s="6">
        <v>2020</v>
      </c>
      <c r="F250" s="105">
        <v>0</v>
      </c>
      <c r="G250" s="26"/>
      <c r="H250" s="26"/>
      <c r="I250" s="26"/>
      <c r="J250" s="26"/>
      <c r="K250" s="8">
        <f>+IF($F250=0,0,(G250/(SUM($G250:$J250)))*$F250)</f>
        <v>0</v>
      </c>
      <c r="L250" s="8">
        <f>+IF($F250=0,0,(H250/(SUM($G250:$J250)))*$F250)</f>
        <v>0</v>
      </c>
      <c r="M250" s="8">
        <f>+IF($F250=0,0,(I250/(SUM($G250:$J250)))*$F250)</f>
        <v>0</v>
      </c>
      <c r="N250" s="8">
        <f>+IF($F250=0,0,(J250/(SUM($G250:$J250)))*$F250)</f>
        <v>0</v>
      </c>
    </row>
    <row r="251" spans="1:18" x14ac:dyDescent="0.25">
      <c r="A251" s="14" t="s">
        <v>47</v>
      </c>
      <c r="B251" s="6" t="s">
        <v>50</v>
      </c>
      <c r="C251" s="6" t="s">
        <v>45</v>
      </c>
      <c r="D251" s="6" t="s">
        <v>46</v>
      </c>
      <c r="E251" s="6">
        <v>2020</v>
      </c>
      <c r="F251" s="105">
        <v>42</v>
      </c>
      <c r="G251" s="27"/>
      <c r="H251" s="27"/>
      <c r="I251" s="27"/>
      <c r="J251" s="27"/>
      <c r="K251" s="8">
        <f>+IF(G251="",(G249/(SUM($G249:$J249)))*$F251,(G251/(SUM($G251:$J251)))*$F251)</f>
        <v>0</v>
      </c>
      <c r="L251" s="8">
        <f>+IF(H251="",(H249/(SUM($G249:$J249)))*$F251,(H251/(SUM($G251:$J251)))*$F251)</f>
        <v>8.7420814479638018</v>
      </c>
      <c r="M251" s="8">
        <f>+IF(I251="",(I249/(SUM($G249:$J249)))*$F251,(I251/(SUM($G251:$J251)))*$F251)</f>
        <v>33.257918552036195</v>
      </c>
      <c r="N251" s="8">
        <f>+IF(J251="",(J249/(SUM($G249:$J249)))*$F251,(J251/(SUM($G251:$J251)))*$F251)</f>
        <v>0</v>
      </c>
    </row>
    <row r="252" spans="1:18" x14ac:dyDescent="0.25">
      <c r="A252" s="6" t="s">
        <v>2</v>
      </c>
      <c r="B252" s="6" t="s">
        <v>50</v>
      </c>
      <c r="C252" s="6" t="s">
        <v>48</v>
      </c>
      <c r="D252" s="6" t="s">
        <v>48</v>
      </c>
      <c r="E252" s="6">
        <v>2020</v>
      </c>
      <c r="F252" s="13">
        <v>2836</v>
      </c>
      <c r="G252" s="29"/>
      <c r="H252" s="29"/>
      <c r="I252" s="29"/>
      <c r="J252" s="29"/>
      <c r="K252" s="8">
        <f>+SUM(K247:K249)</f>
        <v>0</v>
      </c>
      <c r="L252" s="8">
        <f>+SUM(L247:L249)</f>
        <v>682.13427220499261</v>
      </c>
      <c r="M252" s="8">
        <f>+SUM(M247:M249)</f>
        <v>2153.8657277950074</v>
      </c>
      <c r="N252" s="8">
        <f>+SUM(N247:N249)</f>
        <v>0</v>
      </c>
      <c r="O252" s="12">
        <f>K252/$F252</f>
        <v>0</v>
      </c>
      <c r="P252" s="12">
        <f>L252/$F252</f>
        <v>0.24052689428948965</v>
      </c>
      <c r="Q252" s="12">
        <f>M252/$F252</f>
        <v>0.75947310571051041</v>
      </c>
      <c r="R252" s="12">
        <f>N252/$F252</f>
        <v>0</v>
      </c>
    </row>
    <row r="253" spans="1:18" x14ac:dyDescent="0.25">
      <c r="A253" s="14" t="s">
        <v>49</v>
      </c>
      <c r="B253" s="6" t="s">
        <v>50</v>
      </c>
      <c r="C253" s="6" t="s">
        <v>48</v>
      </c>
      <c r="D253" s="6" t="s">
        <v>48</v>
      </c>
      <c r="E253" s="6">
        <v>2020</v>
      </c>
      <c r="F253" s="31">
        <f>F252+SUM(F250:F251)</f>
        <v>2878</v>
      </c>
      <c r="G253" s="29"/>
      <c r="H253" s="29"/>
      <c r="I253" s="29"/>
      <c r="J253" s="29"/>
      <c r="K253" s="8">
        <f t="shared" ref="K253:L253" si="178">SUM(K247:K251)</f>
        <v>0</v>
      </c>
      <c r="L253" s="8">
        <f t="shared" si="178"/>
        <v>690.87635365295637</v>
      </c>
      <c r="M253" s="8">
        <f>SUM(M247:M251)</f>
        <v>2187.1236463470436</v>
      </c>
      <c r="N253" s="8">
        <f>SUM(N247:N251)</f>
        <v>0</v>
      </c>
      <c r="O253" s="12">
        <f>K253/$F253</f>
        <v>0</v>
      </c>
      <c r="P253" s="12">
        <f t="shared" ref="P253" si="179">L253/$F253</f>
        <v>0.24005432719004738</v>
      </c>
      <c r="Q253" s="12">
        <f>M253/$F253</f>
        <v>0.75994567280995262</v>
      </c>
      <c r="R253" s="12">
        <f>N253/$F253</f>
        <v>0</v>
      </c>
    </row>
    <row r="254" spans="1:18" x14ac:dyDescent="0.25">
      <c r="B254" s="35"/>
      <c r="G254" s="14"/>
      <c r="H254" s="14"/>
      <c r="I254" s="14"/>
      <c r="J254" s="14"/>
    </row>
    <row r="255" spans="1:18" x14ac:dyDescent="0.25">
      <c r="A255" s="6" t="s">
        <v>2</v>
      </c>
      <c r="B255" s="6" t="s">
        <v>51</v>
      </c>
      <c r="C255" s="6" t="s">
        <v>43</v>
      </c>
      <c r="D255" s="6" t="s">
        <v>44</v>
      </c>
      <c r="E255" s="6">
        <v>2020</v>
      </c>
      <c r="F255" s="61">
        <v>7</v>
      </c>
      <c r="G255" s="24">
        <v>1</v>
      </c>
      <c r="H255" s="24">
        <v>0</v>
      </c>
      <c r="I255" s="24">
        <v>0</v>
      </c>
      <c r="J255" s="24">
        <v>0</v>
      </c>
      <c r="K255" s="8">
        <f t="shared" ref="K255:N256" si="180">+(G255/(SUM($G255:$J255)))*$F255</f>
        <v>7</v>
      </c>
      <c r="L255" s="8">
        <f t="shared" si="180"/>
        <v>0</v>
      </c>
      <c r="M255" s="8">
        <f t="shared" si="180"/>
        <v>0</v>
      </c>
      <c r="N255" s="8">
        <f t="shared" si="180"/>
        <v>0</v>
      </c>
    </row>
    <row r="256" spans="1:18" x14ac:dyDescent="0.25">
      <c r="A256" s="6" t="s">
        <v>2</v>
      </c>
      <c r="B256" s="6" t="s">
        <v>51</v>
      </c>
      <c r="C256" s="6" t="s">
        <v>45</v>
      </c>
      <c r="D256" s="6" t="s">
        <v>33</v>
      </c>
      <c r="E256" s="6">
        <v>2020</v>
      </c>
      <c r="F256" s="62">
        <v>10</v>
      </c>
      <c r="G256" s="16">
        <v>1</v>
      </c>
      <c r="H256" s="16">
        <v>0</v>
      </c>
      <c r="I256" s="16">
        <v>0</v>
      </c>
      <c r="J256" s="16">
        <v>0</v>
      </c>
      <c r="K256" s="8">
        <f t="shared" si="180"/>
        <v>10</v>
      </c>
      <c r="L256" s="8">
        <f t="shared" si="180"/>
        <v>0</v>
      </c>
      <c r="M256" s="8">
        <f t="shared" si="180"/>
        <v>0</v>
      </c>
      <c r="N256" s="8">
        <f t="shared" si="180"/>
        <v>0</v>
      </c>
    </row>
    <row r="257" spans="1:18" x14ac:dyDescent="0.25">
      <c r="A257" s="6" t="s">
        <v>2</v>
      </c>
      <c r="B257" s="6" t="s">
        <v>51</v>
      </c>
      <c r="C257" s="6" t="s">
        <v>45</v>
      </c>
      <c r="D257" s="6" t="s">
        <v>46</v>
      </c>
      <c r="E257" s="6">
        <v>2020</v>
      </c>
      <c r="F257" s="25">
        <f>+F260-SUM(F255:F256)</f>
        <v>125</v>
      </c>
      <c r="G257" s="16">
        <v>5</v>
      </c>
      <c r="H257" s="16">
        <v>0</v>
      </c>
      <c r="I257" s="16">
        <v>0</v>
      </c>
      <c r="J257" s="16">
        <v>0</v>
      </c>
      <c r="K257" s="8">
        <f>+(G257/(SUM($G257:$J257)))*$F257</f>
        <v>125</v>
      </c>
      <c r="L257" s="8">
        <f t="shared" ref="L257" si="181">+(H257/(SUM($G257:$J257)))*$F257</f>
        <v>0</v>
      </c>
      <c r="M257" s="8">
        <f t="shared" ref="M257" si="182">+(I257/(SUM($G257:$J257)))*$F257</f>
        <v>0</v>
      </c>
      <c r="N257" s="8">
        <f t="shared" ref="N257" si="183">+(J257/(SUM($G257:$J257)))*$F257</f>
        <v>0</v>
      </c>
    </row>
    <row r="258" spans="1:18" x14ac:dyDescent="0.25">
      <c r="A258" s="14" t="s">
        <v>47</v>
      </c>
      <c r="B258" s="6" t="s">
        <v>51</v>
      </c>
      <c r="C258" s="6" t="s">
        <v>43</v>
      </c>
      <c r="D258" s="6" t="s">
        <v>46</v>
      </c>
      <c r="E258" s="6">
        <v>2020</v>
      </c>
      <c r="F258" s="105">
        <v>0</v>
      </c>
      <c r="G258" s="26"/>
      <c r="H258" s="26"/>
      <c r="I258" s="26"/>
      <c r="J258" s="26"/>
      <c r="K258" s="8">
        <f>+IF($F258=0,0,(G258/(SUM($G258:$J258)))*$F258)</f>
        <v>0</v>
      </c>
      <c r="L258" s="8">
        <f>+IF($F258=0,0,(H258/(SUM($G258:$J258)))*$F258)</f>
        <v>0</v>
      </c>
      <c r="M258" s="8">
        <f>+IF($F258=0,0,(I258/(SUM($G258:$J258)))*$F258)</f>
        <v>0</v>
      </c>
      <c r="N258" s="8">
        <f>+IF($F258=0,0,(J258/(SUM($G258:$J258)))*$F258)</f>
        <v>0</v>
      </c>
    </row>
    <row r="259" spans="1:18" x14ac:dyDescent="0.25">
      <c r="A259" s="14" t="s">
        <v>47</v>
      </c>
      <c r="B259" s="6" t="s">
        <v>51</v>
      </c>
      <c r="C259" s="6" t="s">
        <v>45</v>
      </c>
      <c r="D259" s="6" t="s">
        <v>46</v>
      </c>
      <c r="E259" s="6">
        <v>2020</v>
      </c>
      <c r="F259" s="105">
        <v>1</v>
      </c>
      <c r="G259" s="27"/>
      <c r="H259" s="27"/>
      <c r="I259" s="27"/>
      <c r="J259" s="27"/>
      <c r="K259" s="8">
        <f>+IF(G259="",(G257/(SUM($G257:$J257)))*$F259,(G259/(SUM($G259:$J259)))*$F259)</f>
        <v>1</v>
      </c>
      <c r="L259" s="8">
        <f>+IF(H259="",(H257/(SUM($G257:$J257)))*$F259,(H259/(SUM($G259:$J259)))*$F259)</f>
        <v>0</v>
      </c>
      <c r="M259" s="8">
        <f>+IF(I259="",(I257/(SUM($G257:$J257)))*$F259,(I259/(SUM($G259:$J259)))*$F259)</f>
        <v>0</v>
      </c>
      <c r="N259" s="8">
        <f>+IF(J259="",(J257/(SUM($G257:$J257)))*$F259,(J259/(SUM($G259:$J259)))*$F259)</f>
        <v>0</v>
      </c>
    </row>
    <row r="260" spans="1:18" x14ac:dyDescent="0.25">
      <c r="A260" s="6" t="s">
        <v>2</v>
      </c>
      <c r="B260" s="6" t="s">
        <v>51</v>
      </c>
      <c r="C260" s="6" t="s">
        <v>48</v>
      </c>
      <c r="D260" s="6" t="s">
        <v>48</v>
      </c>
      <c r="E260" s="6">
        <v>2020</v>
      </c>
      <c r="F260" s="13">
        <v>142</v>
      </c>
      <c r="G260" s="29"/>
      <c r="H260" s="29"/>
      <c r="I260" s="29"/>
      <c r="J260" s="29"/>
      <c r="K260" s="8">
        <f>+SUM(K255:K257)</f>
        <v>142</v>
      </c>
      <c r="L260" s="8">
        <f>+SUM(L255:L257)</f>
        <v>0</v>
      </c>
      <c r="M260" s="8">
        <f>+SUM(M255:M257)</f>
        <v>0</v>
      </c>
      <c r="N260" s="8">
        <f>+SUM(N255:N257)</f>
        <v>0</v>
      </c>
      <c r="O260" s="12">
        <f>K260/$F260</f>
        <v>1</v>
      </c>
      <c r="P260" s="12">
        <f>L260/$F260</f>
        <v>0</v>
      </c>
      <c r="Q260" s="12">
        <f>M260/$F260</f>
        <v>0</v>
      </c>
      <c r="R260" s="12">
        <f>N260/$F260</f>
        <v>0</v>
      </c>
    </row>
    <row r="261" spans="1:18" s="39" customFormat="1" ht="15.75" thickBot="1" x14ac:dyDescent="0.3">
      <c r="A261" s="50" t="s">
        <v>49</v>
      </c>
      <c r="B261" s="39" t="s">
        <v>51</v>
      </c>
      <c r="C261" s="39" t="s">
        <v>48</v>
      </c>
      <c r="D261" s="39" t="s">
        <v>48</v>
      </c>
      <c r="E261" s="39">
        <v>2020</v>
      </c>
      <c r="F261" s="57">
        <f>F260+SUM(F258:F259)</f>
        <v>143</v>
      </c>
      <c r="G261" s="58"/>
      <c r="H261" s="58"/>
      <c r="I261" s="58"/>
      <c r="J261" s="58"/>
      <c r="K261" s="59">
        <f t="shared" ref="K261:L261" si="184">SUM(K255:K259)</f>
        <v>143</v>
      </c>
      <c r="L261" s="59">
        <f t="shared" si="184"/>
        <v>0</v>
      </c>
      <c r="M261" s="59">
        <f>SUM(M255:M259)</f>
        <v>0</v>
      </c>
      <c r="N261" s="59">
        <f>SUM(N255:N259)</f>
        <v>0</v>
      </c>
      <c r="O261" s="60">
        <f>K261/$F261</f>
        <v>1</v>
      </c>
      <c r="P261" s="60">
        <f t="shared" ref="P261" si="185">L261/$F261</f>
        <v>0</v>
      </c>
      <c r="Q261" s="60">
        <f>M261/$F261</f>
        <v>0</v>
      </c>
      <c r="R261" s="60">
        <f>N261/$F261</f>
        <v>0</v>
      </c>
    </row>
    <row r="262" spans="1:18" ht="15.75" thickTop="1" x14ac:dyDescent="0.25"/>
    <row r="263" spans="1:18" x14ac:dyDescent="0.25">
      <c r="A263" s="63" t="s">
        <v>152</v>
      </c>
      <c r="B263" s="104">
        <v>-5.0000000000000001E-3</v>
      </c>
      <c r="H263" s="14"/>
      <c r="I263" s="14"/>
      <c r="J263" s="14"/>
    </row>
    <row r="264" spans="1:18" x14ac:dyDescent="0.25">
      <c r="A264" s="6" t="s">
        <v>2</v>
      </c>
      <c r="B264" s="6" t="s">
        <v>42</v>
      </c>
      <c r="C264" s="6" t="s">
        <v>43</v>
      </c>
      <c r="D264" s="6" t="s">
        <v>44</v>
      </c>
      <c r="E264" s="6">
        <v>2021</v>
      </c>
      <c r="F264" s="61">
        <v>246</v>
      </c>
      <c r="G264" s="24">
        <v>1</v>
      </c>
      <c r="H264" s="24">
        <v>65</v>
      </c>
      <c r="I264" s="24">
        <v>4</v>
      </c>
      <c r="J264" s="24">
        <v>0</v>
      </c>
      <c r="K264" s="8">
        <f t="shared" ref="K264:N265" si="186">+(G264/(SUM($G264:$J264)))*$F264</f>
        <v>3.5142857142857142</v>
      </c>
      <c r="L264" s="8">
        <f t="shared" si="186"/>
        <v>228.42857142857144</v>
      </c>
      <c r="M264" s="8">
        <f t="shared" si="186"/>
        <v>14.057142857142857</v>
      </c>
      <c r="N264" s="8">
        <f t="shared" si="186"/>
        <v>0</v>
      </c>
    </row>
    <row r="265" spans="1:18" x14ac:dyDescent="0.25">
      <c r="A265" s="6" t="s">
        <v>2</v>
      </c>
      <c r="B265" s="6" t="s">
        <v>42</v>
      </c>
      <c r="C265" s="6" t="s">
        <v>45</v>
      </c>
      <c r="D265" s="6" t="s">
        <v>33</v>
      </c>
      <c r="E265" s="6">
        <v>2021</v>
      </c>
      <c r="F265" s="62">
        <v>587</v>
      </c>
      <c r="G265" s="16">
        <v>0</v>
      </c>
      <c r="H265" s="16">
        <v>69</v>
      </c>
      <c r="I265" s="16">
        <v>28</v>
      </c>
      <c r="J265" s="16">
        <v>0</v>
      </c>
      <c r="K265" s="8">
        <f t="shared" si="186"/>
        <v>0</v>
      </c>
      <c r="L265" s="8">
        <f t="shared" si="186"/>
        <v>417.55670103092785</v>
      </c>
      <c r="M265" s="8">
        <f t="shared" si="186"/>
        <v>169.44329896907215</v>
      </c>
      <c r="N265" s="8">
        <f t="shared" si="186"/>
        <v>0</v>
      </c>
    </row>
    <row r="266" spans="1:18" x14ac:dyDescent="0.25">
      <c r="A266" s="6" t="s">
        <v>2</v>
      </c>
      <c r="B266" s="6" t="s">
        <v>42</v>
      </c>
      <c r="C266" s="6" t="s">
        <v>45</v>
      </c>
      <c r="D266" s="6" t="s">
        <v>46</v>
      </c>
      <c r="E266" s="6">
        <v>2021</v>
      </c>
      <c r="F266" s="25">
        <f>+F269-SUM(F264:F265)</f>
        <v>2699</v>
      </c>
      <c r="G266" s="16">
        <v>0</v>
      </c>
      <c r="H266" s="16">
        <v>106</v>
      </c>
      <c r="I266" s="16">
        <v>40</v>
      </c>
      <c r="J266" s="16">
        <v>0</v>
      </c>
      <c r="K266" s="8">
        <f>+(G266/(SUM($G266:$J266)))*$F266</f>
        <v>0</v>
      </c>
      <c r="L266" s="8">
        <f t="shared" ref="L266" si="187">+(H266/(SUM($G266:$J266)))*$F266</f>
        <v>1959.5479452054794</v>
      </c>
      <c r="M266" s="8">
        <f t="shared" ref="M266" si="188">+(I266/(SUM($G266:$J266)))*$F266</f>
        <v>739.45205479452056</v>
      </c>
      <c r="N266" s="8">
        <f t="shared" ref="N266" si="189">+(J266/(SUM($G266:$J266)))*$F266</f>
        <v>0</v>
      </c>
    </row>
    <row r="267" spans="1:18" x14ac:dyDescent="0.25">
      <c r="A267" s="14" t="s">
        <v>47</v>
      </c>
      <c r="B267" s="6" t="s">
        <v>42</v>
      </c>
      <c r="C267" s="6" t="s">
        <v>43</v>
      </c>
      <c r="D267" s="6" t="s">
        <v>46</v>
      </c>
      <c r="E267" s="6">
        <v>2021</v>
      </c>
      <c r="F267" s="105">
        <v>0</v>
      </c>
      <c r="G267" s="26"/>
      <c r="H267" s="26"/>
      <c r="I267" s="26"/>
      <c r="J267" s="26"/>
      <c r="K267" s="8">
        <f>+IF($F267=0,0,(G267/(SUM($G267:$J267)))*$F267)</f>
        <v>0</v>
      </c>
      <c r="L267" s="8">
        <f>+IF($F267=0,0,(H267/(SUM($G267:$J267)))*$F267)</f>
        <v>0</v>
      </c>
      <c r="M267" s="8">
        <f>+IF($F267=0,0,(I267/(SUM($G267:$J267)))*$F267)</f>
        <v>0</v>
      </c>
      <c r="N267" s="8">
        <f>+IF($F267=0,0,(J267/(SUM($G267:$J267)))*$F267)</f>
        <v>0</v>
      </c>
    </row>
    <row r="268" spans="1:18" x14ac:dyDescent="0.25">
      <c r="A268" s="14" t="s">
        <v>47</v>
      </c>
      <c r="B268" s="6" t="s">
        <v>42</v>
      </c>
      <c r="C268" s="6" t="s">
        <v>45</v>
      </c>
      <c r="D268" s="6" t="s">
        <v>46</v>
      </c>
      <c r="E268" s="6">
        <v>2021</v>
      </c>
      <c r="F268" s="105">
        <v>50</v>
      </c>
      <c r="G268" s="27"/>
      <c r="H268" s="27"/>
      <c r="I268" s="27"/>
      <c r="J268" s="27"/>
      <c r="K268" s="8">
        <f>+IF(G268="",(G266/(SUM($G266:$J266)))*$F268,(G268/(SUM($G268:$J268)))*$F268)</f>
        <v>0</v>
      </c>
      <c r="L268" s="8">
        <f>+IF(H268="",(H266/(SUM($G266:$J266)))*$F268,(H268/(SUM($G268:$J268)))*$F268)</f>
        <v>36.301369863013697</v>
      </c>
      <c r="M268" s="8">
        <f>+IF(I268="",(I266/(SUM($G266:$J266)))*$F268,(I268/(SUM($G268:$J268)))*$F268)</f>
        <v>13.698630136986301</v>
      </c>
      <c r="N268" s="8">
        <f>+IF(J268="",(J266/(SUM($G266:$J266)))*$F268,(J268/(SUM($G268:$J268)))*$F268)</f>
        <v>0</v>
      </c>
    </row>
    <row r="269" spans="1:18" x14ac:dyDescent="0.25">
      <c r="A269" s="6" t="s">
        <v>2</v>
      </c>
      <c r="B269" s="6" t="s">
        <v>42</v>
      </c>
      <c r="C269" s="6" t="s">
        <v>48</v>
      </c>
      <c r="D269" s="6" t="s">
        <v>48</v>
      </c>
      <c r="E269" s="6">
        <v>2021</v>
      </c>
      <c r="F269" s="13">
        <v>3532</v>
      </c>
      <c r="G269" s="29"/>
      <c r="H269" s="29"/>
      <c r="I269" s="29"/>
      <c r="J269" s="29"/>
      <c r="K269" s="8">
        <f>+SUM(K264:K266)</f>
        <v>3.5142857142857142</v>
      </c>
      <c r="L269" s="8">
        <f>+SUM(L264:L266)</f>
        <v>2605.533217664979</v>
      </c>
      <c r="M269" s="8">
        <f>+SUM(M264:M266)</f>
        <v>922.95249662073559</v>
      </c>
      <c r="N269" s="8">
        <f>+SUM(N264:N266)</f>
        <v>0</v>
      </c>
      <c r="O269" s="12">
        <f>K269/$F269</f>
        <v>9.9498463031871863E-4</v>
      </c>
      <c r="P269" s="12">
        <f>L269/$F269</f>
        <v>0.73769343648498842</v>
      </c>
      <c r="Q269" s="12">
        <f>M269/$F269</f>
        <v>0.26131157888469297</v>
      </c>
      <c r="R269" s="12">
        <f>N269/$F269</f>
        <v>0</v>
      </c>
    </row>
    <row r="270" spans="1:18" x14ac:dyDescent="0.25">
      <c r="A270" s="14" t="s">
        <v>49</v>
      </c>
      <c r="B270" s="6" t="s">
        <v>42</v>
      </c>
      <c r="C270" s="6" t="s">
        <v>48</v>
      </c>
      <c r="D270" s="6" t="s">
        <v>48</v>
      </c>
      <c r="E270" s="6">
        <v>2021</v>
      </c>
      <c r="F270" s="31">
        <f>F269+SUM(F267:F268)</f>
        <v>3582</v>
      </c>
      <c r="G270" s="29"/>
      <c r="H270" s="29"/>
      <c r="I270" s="29"/>
      <c r="J270" s="29"/>
      <c r="K270" s="8">
        <f t="shared" ref="K270:L270" si="190">SUM(K264:K268)</f>
        <v>3.5142857142857142</v>
      </c>
      <c r="L270" s="8">
        <f t="shared" si="190"/>
        <v>2641.8345875279929</v>
      </c>
      <c r="M270" s="8">
        <f>SUM(M264:M268)</f>
        <v>936.65112675772184</v>
      </c>
      <c r="N270" s="8">
        <f>SUM(N264:N268)</f>
        <v>0</v>
      </c>
      <c r="O270" s="12">
        <f>K270/$F270</f>
        <v>9.8109595597032783E-4</v>
      </c>
      <c r="P270" s="12">
        <f t="shared" ref="P270" si="191">L270/$F270</f>
        <v>0.73753059394974674</v>
      </c>
      <c r="Q270" s="12">
        <f>M270/$F270</f>
        <v>0.26148831009428303</v>
      </c>
      <c r="R270" s="12">
        <f>N270/$F270</f>
        <v>0</v>
      </c>
    </row>
    <row r="271" spans="1:18" x14ac:dyDescent="0.25">
      <c r="B271" s="35"/>
      <c r="G271" s="14"/>
      <c r="H271" s="14"/>
      <c r="I271" s="14"/>
      <c r="J271" s="14"/>
    </row>
    <row r="272" spans="1:18" x14ac:dyDescent="0.25">
      <c r="A272" s="6" t="s">
        <v>2</v>
      </c>
      <c r="B272" s="6" t="s">
        <v>50</v>
      </c>
      <c r="C272" s="6" t="s">
        <v>43</v>
      </c>
      <c r="D272" s="6" t="s">
        <v>44</v>
      </c>
      <c r="E272" s="6">
        <v>2021</v>
      </c>
      <c r="F272" s="61">
        <v>147</v>
      </c>
      <c r="G272" s="24">
        <v>0</v>
      </c>
      <c r="H272" s="24">
        <v>73</v>
      </c>
      <c r="I272" s="24">
        <v>9</v>
      </c>
      <c r="J272" s="24">
        <v>0</v>
      </c>
      <c r="K272" s="8">
        <f t="shared" ref="K272:N273" si="192">+(G272/(SUM($G272:$J272)))*$F272</f>
        <v>0</v>
      </c>
      <c r="L272" s="8">
        <f t="shared" si="192"/>
        <v>130.86585365853659</v>
      </c>
      <c r="M272" s="8">
        <f t="shared" si="192"/>
        <v>16.134146341463413</v>
      </c>
      <c r="N272" s="8">
        <f t="shared" si="192"/>
        <v>0</v>
      </c>
    </row>
    <row r="273" spans="1:18" x14ac:dyDescent="0.25">
      <c r="A273" s="6" t="s">
        <v>2</v>
      </c>
      <c r="B273" s="6" t="s">
        <v>50</v>
      </c>
      <c r="C273" s="6" t="s">
        <v>45</v>
      </c>
      <c r="D273" s="6" t="s">
        <v>33</v>
      </c>
      <c r="E273" s="6">
        <v>2021</v>
      </c>
      <c r="F273" s="62">
        <v>392</v>
      </c>
      <c r="G273" s="16">
        <v>0</v>
      </c>
      <c r="H273" s="16">
        <v>62</v>
      </c>
      <c r="I273" s="16">
        <v>62</v>
      </c>
      <c r="J273" s="16">
        <v>0</v>
      </c>
      <c r="K273" s="8">
        <f t="shared" si="192"/>
        <v>0</v>
      </c>
      <c r="L273" s="8">
        <f t="shared" si="192"/>
        <v>196</v>
      </c>
      <c r="M273" s="8">
        <f t="shared" si="192"/>
        <v>196</v>
      </c>
      <c r="N273" s="8">
        <f t="shared" si="192"/>
        <v>0</v>
      </c>
    </row>
    <row r="274" spans="1:18" x14ac:dyDescent="0.25">
      <c r="A274" s="6" t="s">
        <v>2</v>
      </c>
      <c r="B274" s="6" t="s">
        <v>50</v>
      </c>
      <c r="C274" s="6" t="s">
        <v>45</v>
      </c>
      <c r="D274" s="6" t="s">
        <v>46</v>
      </c>
      <c r="E274" s="6">
        <v>2021</v>
      </c>
      <c r="F274" s="25">
        <f>+F277-SUM(F272:F273)</f>
        <v>1306</v>
      </c>
      <c r="G274" s="16">
        <v>0</v>
      </c>
      <c r="H274" s="16">
        <v>79</v>
      </c>
      <c r="I274" s="16">
        <v>95</v>
      </c>
      <c r="J274" s="16">
        <v>2</v>
      </c>
      <c r="K274" s="8">
        <f>+(G274/(SUM($G274:$J274)))*$F274</f>
        <v>0</v>
      </c>
      <c r="L274" s="8">
        <f t="shared" ref="L274" si="193">+(H274/(SUM($G274:$J274)))*$F274</f>
        <v>586.21590909090912</v>
      </c>
      <c r="M274" s="8">
        <f t="shared" ref="M274" si="194">+(I274/(SUM($G274:$J274)))*$F274</f>
        <v>704.94318181818187</v>
      </c>
      <c r="N274" s="8">
        <f t="shared" ref="N274" si="195">+(J274/(SUM($G274:$J274)))*$F274</f>
        <v>14.840909090909092</v>
      </c>
    </row>
    <row r="275" spans="1:18" x14ac:dyDescent="0.25">
      <c r="A275" s="14" t="s">
        <v>47</v>
      </c>
      <c r="B275" s="6" t="s">
        <v>50</v>
      </c>
      <c r="C275" s="6" t="s">
        <v>43</v>
      </c>
      <c r="D275" s="6" t="s">
        <v>46</v>
      </c>
      <c r="E275" s="6">
        <v>2021</v>
      </c>
      <c r="F275" s="105">
        <v>2</v>
      </c>
      <c r="G275" s="26"/>
      <c r="H275" s="106">
        <v>2</v>
      </c>
      <c r="I275" s="26"/>
      <c r="J275" s="26"/>
      <c r="K275" s="8">
        <f>+IF($F275=0,0,(G275/(SUM($G275:$J275)))*$F275)</f>
        <v>0</v>
      </c>
      <c r="L275" s="8">
        <f>+IF($F275=0,0,(H275/(SUM($G275:$J275)))*$F275)</f>
        <v>2</v>
      </c>
      <c r="M275" s="8">
        <f>+IF($F275=0,0,(I275/(SUM($G275:$J275)))*$F275)</f>
        <v>0</v>
      </c>
      <c r="N275" s="8">
        <f>+IF($F275=0,0,(J275/(SUM($G275:$J275)))*$F275)</f>
        <v>0</v>
      </c>
    </row>
    <row r="276" spans="1:18" x14ac:dyDescent="0.25">
      <c r="A276" s="14" t="s">
        <v>47</v>
      </c>
      <c r="B276" s="6" t="s">
        <v>50</v>
      </c>
      <c r="C276" s="6" t="s">
        <v>45</v>
      </c>
      <c r="D276" s="6" t="s">
        <v>46</v>
      </c>
      <c r="E276" s="6">
        <v>2021</v>
      </c>
      <c r="F276" s="105">
        <v>47</v>
      </c>
      <c r="G276" s="27"/>
      <c r="H276" s="27"/>
      <c r="I276" s="27"/>
      <c r="J276" s="27"/>
      <c r="K276" s="8">
        <f>+IF(G276="",(G274/(SUM($G274:$J274)))*$F276,(G276/(SUM($G276:$J276)))*$F276)</f>
        <v>0</v>
      </c>
      <c r="L276" s="8">
        <f>+IF(H276="",(H274/(SUM($G274:$J274)))*$F276,(H276/(SUM($G276:$J276)))*$F276)</f>
        <v>21.09659090909091</v>
      </c>
      <c r="M276" s="8">
        <f>+IF(I276="",(I274/(SUM($G274:$J274)))*$F276,(I276/(SUM($G276:$J276)))*$F276)</f>
        <v>25.369318181818183</v>
      </c>
      <c r="N276" s="8">
        <f>+IF(J276="",(J274/(SUM($G274:$J274)))*$F276,(J276/(SUM($G276:$J276)))*$F276)</f>
        <v>0.53409090909090906</v>
      </c>
    </row>
    <row r="277" spans="1:18" x14ac:dyDescent="0.25">
      <c r="A277" s="6" t="s">
        <v>2</v>
      </c>
      <c r="B277" s="6" t="s">
        <v>50</v>
      </c>
      <c r="C277" s="6" t="s">
        <v>48</v>
      </c>
      <c r="D277" s="6" t="s">
        <v>48</v>
      </c>
      <c r="E277" s="6">
        <v>2021</v>
      </c>
      <c r="F277" s="13">
        <v>1845</v>
      </c>
      <c r="G277" s="29"/>
      <c r="H277" s="29"/>
      <c r="I277" s="29"/>
      <c r="J277" s="29"/>
      <c r="K277" s="8">
        <f>+SUM(K272:K274)</f>
        <v>0</v>
      </c>
      <c r="L277" s="8">
        <f>+SUM(L272:L274)</f>
        <v>913.08176274944572</v>
      </c>
      <c r="M277" s="8">
        <f>+SUM(M272:M274)</f>
        <v>917.07732815964528</v>
      </c>
      <c r="N277" s="8">
        <f>+SUM(N272:N274)</f>
        <v>14.840909090909092</v>
      </c>
      <c r="O277" s="12">
        <f>K277/$F277</f>
        <v>0</v>
      </c>
      <c r="P277" s="12">
        <f>L277/$F277</f>
        <v>0.4948952643628432</v>
      </c>
      <c r="Q277" s="12">
        <f>M277/$F277</f>
        <v>0.49706088247135244</v>
      </c>
      <c r="R277" s="12">
        <f>N277/$F277</f>
        <v>8.043853165804386E-3</v>
      </c>
    </row>
    <row r="278" spans="1:18" x14ac:dyDescent="0.25">
      <c r="A278" s="14" t="s">
        <v>49</v>
      </c>
      <c r="B278" s="6" t="s">
        <v>50</v>
      </c>
      <c r="C278" s="6" t="s">
        <v>48</v>
      </c>
      <c r="D278" s="6" t="s">
        <v>48</v>
      </c>
      <c r="E278" s="6">
        <v>2021</v>
      </c>
      <c r="F278" s="31">
        <f>F277+SUM(F275:F276)</f>
        <v>1894</v>
      </c>
      <c r="G278" s="29"/>
      <c r="H278" s="29"/>
      <c r="I278" s="29"/>
      <c r="J278" s="29"/>
      <c r="K278" s="8">
        <f t="shared" ref="K278:L278" si="196">SUM(K272:K276)</f>
        <v>0</v>
      </c>
      <c r="L278" s="8">
        <f t="shared" si="196"/>
        <v>936.17835365853659</v>
      </c>
      <c r="M278" s="8">
        <f>SUM(M272:M276)</f>
        <v>942.44664634146341</v>
      </c>
      <c r="N278" s="8">
        <f>SUM(N272:N276)</f>
        <v>15.375</v>
      </c>
      <c r="O278" s="12">
        <f>K278/$F278</f>
        <v>0</v>
      </c>
      <c r="P278" s="12">
        <f t="shared" ref="P278" si="197">L278/$F278</f>
        <v>0.49428635356839312</v>
      </c>
      <c r="Q278" s="12">
        <f>M278/$F278</f>
        <v>0.49759590619929428</v>
      </c>
      <c r="R278" s="12">
        <f>N278/$F278</f>
        <v>8.1177402323125668E-3</v>
      </c>
    </row>
    <row r="279" spans="1:18" x14ac:dyDescent="0.25">
      <c r="B279" s="35"/>
      <c r="G279" s="14"/>
      <c r="H279" s="14"/>
      <c r="I279" s="14"/>
      <c r="J279" s="14"/>
    </row>
    <row r="280" spans="1:18" x14ac:dyDescent="0.25">
      <c r="A280" s="6" t="s">
        <v>2</v>
      </c>
      <c r="B280" s="6" t="s">
        <v>51</v>
      </c>
      <c r="C280" s="6" t="s">
        <v>43</v>
      </c>
      <c r="D280" s="6" t="s">
        <v>44</v>
      </c>
      <c r="E280" s="6">
        <v>2021</v>
      </c>
      <c r="F280" s="61">
        <v>58</v>
      </c>
      <c r="G280" s="24">
        <v>12</v>
      </c>
      <c r="H280" s="24">
        <v>0</v>
      </c>
      <c r="I280" s="24">
        <v>0</v>
      </c>
      <c r="J280" s="24">
        <v>0</v>
      </c>
      <c r="K280" s="8">
        <f>+(G280/(SUM($G280:$J280)))*$F280</f>
        <v>58</v>
      </c>
      <c r="L280" s="8">
        <f>+(H280/(SUM($G280:$J280)))*$F280</f>
        <v>0</v>
      </c>
      <c r="M280" s="8">
        <f>+(I280/(SUM($G280:$J280)))*$F280</f>
        <v>0</v>
      </c>
      <c r="N280" s="8">
        <f>+(J280/(SUM($G280:$J280)))*$F280</f>
        <v>0</v>
      </c>
    </row>
    <row r="281" spans="1:18" x14ac:dyDescent="0.25">
      <c r="A281" s="6" t="s">
        <v>2</v>
      </c>
      <c r="B281" s="6" t="s">
        <v>51</v>
      </c>
      <c r="C281" s="6" t="s">
        <v>45</v>
      </c>
      <c r="D281" s="6" t="s">
        <v>33</v>
      </c>
      <c r="E281" s="6">
        <v>2021</v>
      </c>
      <c r="F281" s="62">
        <v>14</v>
      </c>
      <c r="G281" s="16"/>
      <c r="H281" s="16"/>
      <c r="I281" s="16"/>
      <c r="J281" s="16"/>
      <c r="K281" s="111">
        <f>+IF(G281="",(G282/(SUM($G282:$J282)))*$F281,(G281/(SUM($G281:$J281)))*$F281)</f>
        <v>3.8181818181818179</v>
      </c>
      <c r="L281" s="111">
        <f t="shared" ref="L281:N281" si="198">+IF(H281="",(H282/(SUM($G282:$J282)))*$F281,(H281/(SUM($G281:$J281)))*$F281)</f>
        <v>10.181818181818182</v>
      </c>
      <c r="M281" s="111">
        <f t="shared" si="198"/>
        <v>0</v>
      </c>
      <c r="N281" s="111">
        <f t="shared" si="198"/>
        <v>0</v>
      </c>
    </row>
    <row r="282" spans="1:18" x14ac:dyDescent="0.25">
      <c r="A282" s="6" t="s">
        <v>2</v>
      </c>
      <c r="B282" s="6" t="s">
        <v>51</v>
      </c>
      <c r="C282" s="6" t="s">
        <v>45</v>
      </c>
      <c r="D282" s="6" t="s">
        <v>46</v>
      </c>
      <c r="E282" s="6">
        <v>2021</v>
      </c>
      <c r="F282" s="25">
        <f>+F285-SUM(F280:F281)</f>
        <v>126</v>
      </c>
      <c r="G282" s="16">
        <v>3</v>
      </c>
      <c r="H282" s="16">
        <v>8</v>
      </c>
      <c r="I282" s="16">
        <v>0</v>
      </c>
      <c r="J282" s="16">
        <v>0</v>
      </c>
      <c r="K282" s="8">
        <f>+(G282/(SUM($G282:$J282)))*$F282</f>
        <v>34.36363636363636</v>
      </c>
      <c r="L282" s="8">
        <f t="shared" ref="L282" si="199">+(H282/(SUM($G282:$J282)))*$F282</f>
        <v>91.63636363636364</v>
      </c>
      <c r="M282" s="8">
        <f t="shared" ref="M282" si="200">+(I282/(SUM($G282:$J282)))*$F282</f>
        <v>0</v>
      </c>
      <c r="N282" s="8">
        <f t="shared" ref="N282" si="201">+(J282/(SUM($G282:$J282)))*$F282</f>
        <v>0</v>
      </c>
    </row>
    <row r="283" spans="1:18" x14ac:dyDescent="0.25">
      <c r="A283" s="14" t="s">
        <v>47</v>
      </c>
      <c r="B283" s="6" t="s">
        <v>51</v>
      </c>
      <c r="C283" s="6" t="s">
        <v>43</v>
      </c>
      <c r="D283" s="6" t="s">
        <v>46</v>
      </c>
      <c r="E283" s="6">
        <v>2021</v>
      </c>
      <c r="F283" s="105">
        <v>0</v>
      </c>
      <c r="G283" s="26"/>
      <c r="H283" s="26"/>
      <c r="I283" s="26"/>
      <c r="J283" s="26"/>
      <c r="K283" s="8">
        <f>+IF($F283=0,0,(G283/(SUM($G283:$J283)))*$F283)</f>
        <v>0</v>
      </c>
      <c r="L283" s="8">
        <f>+IF($F283=0,0,(H283/(SUM($G283:$J283)))*$F283)</f>
        <v>0</v>
      </c>
      <c r="M283" s="8">
        <f>+IF($F283=0,0,(I283/(SUM($G283:$J283)))*$F283)</f>
        <v>0</v>
      </c>
      <c r="N283" s="8">
        <f>+IF($F283=0,0,(J283/(SUM($G283:$J283)))*$F283)</f>
        <v>0</v>
      </c>
    </row>
    <row r="284" spans="1:18" x14ac:dyDescent="0.25">
      <c r="A284" s="14" t="s">
        <v>47</v>
      </c>
      <c r="B284" s="6" t="s">
        <v>51</v>
      </c>
      <c r="C284" s="6" t="s">
        <v>45</v>
      </c>
      <c r="D284" s="6" t="s">
        <v>46</v>
      </c>
      <c r="E284" s="6">
        <v>2021</v>
      </c>
      <c r="F284" s="105">
        <v>0</v>
      </c>
      <c r="G284" s="27"/>
      <c r="H284" s="27"/>
      <c r="I284" s="27"/>
      <c r="J284" s="27"/>
      <c r="K284" s="8">
        <f>+IF(G284="",(G282/(SUM($G282:$J282)))*$F284,(G284/(SUM($G284:$J284)))*$F284)</f>
        <v>0</v>
      </c>
      <c r="L284" s="8">
        <f>+IF(H284="",(H282/(SUM($G282:$J282)))*$F284,(H284/(SUM($G284:$J284)))*$F284)</f>
        <v>0</v>
      </c>
      <c r="M284" s="8">
        <f>+IF(I284="",(I282/(SUM($G282:$J282)))*$F284,(I284/(SUM($G284:$J284)))*$F284)</f>
        <v>0</v>
      </c>
      <c r="N284" s="8">
        <f>+IF(J284="",(J282/(SUM($G282:$J282)))*$F284,(J284/(SUM($G284:$J284)))*$F284)</f>
        <v>0</v>
      </c>
    </row>
    <row r="285" spans="1:18" x14ac:dyDescent="0.25">
      <c r="A285" s="6" t="s">
        <v>2</v>
      </c>
      <c r="B285" s="6" t="s">
        <v>51</v>
      </c>
      <c r="C285" s="6" t="s">
        <v>48</v>
      </c>
      <c r="D285" s="6" t="s">
        <v>48</v>
      </c>
      <c r="E285" s="6">
        <v>2021</v>
      </c>
      <c r="F285" s="13">
        <v>198</v>
      </c>
      <c r="G285" s="29"/>
      <c r="H285" s="29"/>
      <c r="I285" s="29"/>
      <c r="J285" s="29"/>
      <c r="K285" s="8">
        <f>+SUM(K280:K282)</f>
        <v>96.181818181818187</v>
      </c>
      <c r="L285" s="8">
        <f>+SUM(L280:L282)</f>
        <v>101.81818181818183</v>
      </c>
      <c r="M285" s="8">
        <f>+SUM(M280:M282)</f>
        <v>0</v>
      </c>
      <c r="N285" s="8">
        <f>+SUM(N280:N282)</f>
        <v>0</v>
      </c>
      <c r="O285" s="12">
        <f>K285/$F285</f>
        <v>0.48576675849403123</v>
      </c>
      <c r="P285" s="12">
        <f>L285/$F285</f>
        <v>0.51423324150596883</v>
      </c>
      <c r="Q285" s="12">
        <f>M285/$F285</f>
        <v>0</v>
      </c>
      <c r="R285" s="12">
        <f>N285/$F285</f>
        <v>0</v>
      </c>
    </row>
    <row r="286" spans="1:18" ht="15.75" thickBot="1" x14ac:dyDescent="0.3">
      <c r="A286" s="50" t="s">
        <v>49</v>
      </c>
      <c r="B286" s="39" t="s">
        <v>51</v>
      </c>
      <c r="C286" s="39" t="s">
        <v>48</v>
      </c>
      <c r="D286" s="39" t="s">
        <v>48</v>
      </c>
      <c r="E286" s="39">
        <v>2021</v>
      </c>
      <c r="F286" s="57">
        <f>F285+SUM(F283:F284)</f>
        <v>198</v>
      </c>
      <c r="G286" s="58"/>
      <c r="H286" s="58"/>
      <c r="I286" s="58"/>
      <c r="J286" s="58"/>
      <c r="K286" s="59">
        <f t="shared" ref="K286:L286" si="202">SUM(K280:K284)</f>
        <v>96.181818181818187</v>
      </c>
      <c r="L286" s="59">
        <f t="shared" si="202"/>
        <v>101.81818181818183</v>
      </c>
      <c r="M286" s="59">
        <f>SUM(M280:M284)</f>
        <v>0</v>
      </c>
      <c r="N286" s="59">
        <f>SUM(N280:N284)</f>
        <v>0</v>
      </c>
      <c r="O286" s="60">
        <f>K286/$F286</f>
        <v>0.48576675849403123</v>
      </c>
      <c r="P286" s="60">
        <f t="shared" ref="P286" si="203">L286/$F286</f>
        <v>0.51423324150596883</v>
      </c>
      <c r="Q286" s="60">
        <f>M286/$F286</f>
        <v>0</v>
      </c>
      <c r="R286" s="60">
        <f>N286/$F286</f>
        <v>0</v>
      </c>
    </row>
    <row r="287" spans="1:18" ht="15.75" thickTop="1" x14ac:dyDescent="0.25"/>
    <row r="288" spans="1:18" x14ac:dyDescent="0.25">
      <c r="A288" s="63" t="s">
        <v>3120</v>
      </c>
      <c r="B288" s="104">
        <v>4.0869794460859803E-2</v>
      </c>
      <c r="G288" s="14" t="s">
        <v>3121</v>
      </c>
      <c r="H288" s="14"/>
      <c r="I288" s="14"/>
      <c r="J288" s="14"/>
    </row>
    <row r="289" spans="1:18" x14ac:dyDescent="0.25">
      <c r="A289" s="6" t="s">
        <v>2</v>
      </c>
      <c r="B289" s="6" t="s">
        <v>42</v>
      </c>
      <c r="C289" s="6" t="s">
        <v>43</v>
      </c>
      <c r="D289" s="6" t="s">
        <v>44</v>
      </c>
      <c r="E289" s="6">
        <v>2022</v>
      </c>
      <c r="F289" s="61">
        <v>478</v>
      </c>
      <c r="G289" s="24">
        <v>0</v>
      </c>
      <c r="H289" s="24">
        <v>77</v>
      </c>
      <c r="I289" s="24">
        <v>24</v>
      </c>
      <c r="J289" s="24">
        <v>0</v>
      </c>
      <c r="K289" s="110">
        <f>IFERROR(+(G289/(SUM($G289:$J289)))*$F289,0)</f>
        <v>0</v>
      </c>
      <c r="L289" s="110">
        <f t="shared" ref="L289:L291" si="204">IFERROR(+(H289/(SUM($G289:$J289)))*$F289,0)</f>
        <v>364.41584158415844</v>
      </c>
      <c r="M289" s="110">
        <f t="shared" ref="M289:M291" si="205">IFERROR(+(I289/(SUM($G289:$J289)))*$F289,0)</f>
        <v>113.58415841584159</v>
      </c>
      <c r="N289" s="110">
        <f t="shared" ref="N289:N291" si="206">IFERROR(+(J289/(SUM($G289:$J289)))*$F289,0)</f>
        <v>0</v>
      </c>
    </row>
    <row r="290" spans="1:18" x14ac:dyDescent="0.25">
      <c r="A290" s="6" t="s">
        <v>2</v>
      </c>
      <c r="B290" s="6" t="s">
        <v>42</v>
      </c>
      <c r="C290" s="6" t="s">
        <v>45</v>
      </c>
      <c r="D290" s="6" t="s">
        <v>33</v>
      </c>
      <c r="E290" s="6">
        <v>2022</v>
      </c>
      <c r="F290" s="62">
        <v>662</v>
      </c>
      <c r="G290" s="16">
        <v>3</v>
      </c>
      <c r="H290" s="16">
        <v>52</v>
      </c>
      <c r="I290" s="16">
        <v>36</v>
      </c>
      <c r="J290" s="16">
        <v>1</v>
      </c>
      <c r="K290" s="110">
        <f>IFERROR(+(G290/(SUM($G290:$J290)))*$F290,0)</f>
        <v>21.586956521739129</v>
      </c>
      <c r="L290" s="110">
        <f t="shared" si="204"/>
        <v>374.17391304347825</v>
      </c>
      <c r="M290" s="110">
        <f t="shared" si="205"/>
        <v>259.04347826086956</v>
      </c>
      <c r="N290" s="110">
        <f t="shared" si="206"/>
        <v>7.195652173913043</v>
      </c>
    </row>
    <row r="291" spans="1:18" x14ac:dyDescent="0.25">
      <c r="A291" s="6" t="s">
        <v>2</v>
      </c>
      <c r="B291" s="6" t="s">
        <v>42</v>
      </c>
      <c r="C291" s="6" t="s">
        <v>45</v>
      </c>
      <c r="D291" s="6" t="s">
        <v>46</v>
      </c>
      <c r="E291" s="6">
        <v>2022</v>
      </c>
      <c r="F291" s="25">
        <f>+F294-SUM(F289:F290)</f>
        <v>7516</v>
      </c>
      <c r="G291" s="16">
        <v>4</v>
      </c>
      <c r="H291" s="16">
        <v>54</v>
      </c>
      <c r="I291" s="16">
        <v>98</v>
      </c>
      <c r="J291" s="16">
        <v>0</v>
      </c>
      <c r="K291" s="110">
        <f>IFERROR(+(G291/(SUM($G291:$J291)))*$F291,0)</f>
        <v>192.7179487179487</v>
      </c>
      <c r="L291" s="110">
        <f t="shared" si="204"/>
        <v>2601.6923076923076</v>
      </c>
      <c r="M291" s="110">
        <f t="shared" si="205"/>
        <v>4721.5897435897432</v>
      </c>
      <c r="N291" s="110">
        <f t="shared" si="206"/>
        <v>0</v>
      </c>
    </row>
    <row r="292" spans="1:18" x14ac:dyDescent="0.25">
      <c r="A292" s="14" t="s">
        <v>47</v>
      </c>
      <c r="B292" s="6" t="s">
        <v>42</v>
      </c>
      <c r="C292" s="6" t="s">
        <v>43</v>
      </c>
      <c r="D292" s="6" t="s">
        <v>46</v>
      </c>
      <c r="E292" s="6">
        <v>2022</v>
      </c>
      <c r="F292" s="122">
        <v>0</v>
      </c>
      <c r="G292" s="26"/>
      <c r="H292" s="26"/>
      <c r="I292" s="26"/>
      <c r="J292" s="26"/>
      <c r="K292" s="8">
        <f>+IF($F292=0,0,(G292/(SUM($G292:$J292)))*$F292)</f>
        <v>0</v>
      </c>
      <c r="L292" s="8">
        <f>+IF($F292=0,0,(H292/(SUM($G292:$J292)))*$F292)</f>
        <v>0</v>
      </c>
      <c r="M292" s="8">
        <f>+IF($F292=0,0,(I292/(SUM($G292:$J292)))*$F292)</f>
        <v>0</v>
      </c>
      <c r="N292" s="8">
        <f>+IF($F292=0,0,(J292/(SUM($G292:$J292)))*$F292)</f>
        <v>0</v>
      </c>
    </row>
    <row r="293" spans="1:18" x14ac:dyDescent="0.25">
      <c r="A293" s="14" t="s">
        <v>47</v>
      </c>
      <c r="B293" s="6" t="s">
        <v>42</v>
      </c>
      <c r="C293" s="6" t="s">
        <v>45</v>
      </c>
      <c r="D293" s="6" t="s">
        <v>46</v>
      </c>
      <c r="E293" s="6">
        <v>2022</v>
      </c>
      <c r="F293" s="122">
        <v>49</v>
      </c>
      <c r="G293" s="27"/>
      <c r="H293" s="27"/>
      <c r="I293" s="27"/>
      <c r="J293" s="27"/>
      <c r="K293" s="8">
        <f>+IF(G293="",(G291/(SUM($G291:$J291)))*$F293,(G293/(SUM($G293:$J293)))*$F293)</f>
        <v>1.2564102564102564</v>
      </c>
      <c r="L293" s="8">
        <f>+IF(H293="",(H291/(SUM($G291:$J291)))*$F293,(H293/(SUM($G293:$J293)))*$F293)</f>
        <v>16.96153846153846</v>
      </c>
      <c r="M293" s="8">
        <f>+IF(I293="",(I291/(SUM($G291:$J291)))*$F293,(I293/(SUM($G293:$J293)))*$F293)</f>
        <v>30.782051282051281</v>
      </c>
      <c r="N293" s="8">
        <f>+IF(J293="",(J291/(SUM($G291:$J291)))*$F293,(J293/(SUM($G293:$J293)))*$F293)</f>
        <v>0</v>
      </c>
    </row>
    <row r="294" spans="1:18" x14ac:dyDescent="0.25">
      <c r="A294" s="6" t="s">
        <v>2</v>
      </c>
      <c r="B294" s="6" t="s">
        <v>42</v>
      </c>
      <c r="C294" s="6" t="s">
        <v>48</v>
      </c>
      <c r="D294" s="6" t="s">
        <v>48</v>
      </c>
      <c r="E294" s="6">
        <v>2022</v>
      </c>
      <c r="F294" s="13">
        <v>8656</v>
      </c>
      <c r="G294" s="29"/>
      <c r="H294" s="29"/>
      <c r="I294" s="29"/>
      <c r="J294" s="29"/>
      <c r="K294" s="8">
        <f>+SUM(K289:K291)</f>
        <v>214.30490523968783</v>
      </c>
      <c r="L294" s="8">
        <f>+SUM(L289:L291)</f>
        <v>3340.2820623199441</v>
      </c>
      <c r="M294" s="8">
        <f>+SUM(M289:M291)</f>
        <v>5094.2173802664547</v>
      </c>
      <c r="N294" s="8">
        <f>+SUM(N289:N291)</f>
        <v>7.195652173913043</v>
      </c>
      <c r="O294" s="12">
        <f>K294/$F294</f>
        <v>2.4757960401997209E-2</v>
      </c>
      <c r="P294" s="12">
        <f>L294/$F294</f>
        <v>0.38589210516635214</v>
      </c>
      <c r="Q294" s="12">
        <f>M294/$F294</f>
        <v>0.58851864374612461</v>
      </c>
      <c r="R294" s="12">
        <f>N294/$F294</f>
        <v>8.3129068552599853E-4</v>
      </c>
    </row>
    <row r="295" spans="1:18" x14ac:dyDescent="0.25">
      <c r="A295" s="14" t="s">
        <v>49</v>
      </c>
      <c r="B295" s="6" t="s">
        <v>42</v>
      </c>
      <c r="C295" s="6" t="s">
        <v>48</v>
      </c>
      <c r="D295" s="6" t="s">
        <v>48</v>
      </c>
      <c r="E295" s="6">
        <v>2022</v>
      </c>
      <c r="F295" s="30">
        <f>F294+SUM(F292:F293)</f>
        <v>8705</v>
      </c>
      <c r="G295" s="29"/>
      <c r="H295" s="29"/>
      <c r="I295" s="29"/>
      <c r="J295" s="29"/>
      <c r="K295" s="8">
        <f t="shared" ref="K295:L295" si="207">SUM(K289:K293)</f>
        <v>215.56131549609808</v>
      </c>
      <c r="L295" s="8">
        <f t="shared" si="207"/>
        <v>3357.2436007814827</v>
      </c>
      <c r="M295" s="8">
        <f>SUM(M289:M293)</f>
        <v>5124.9994315485064</v>
      </c>
      <c r="N295" s="8">
        <f>SUM(N289:N293)</f>
        <v>7.195652173913043</v>
      </c>
      <c r="O295" s="12">
        <f>K295/$F295</f>
        <v>2.4762931131085363E-2</v>
      </c>
      <c r="P295" s="12">
        <f t="shared" ref="P295" si="208">L295/$F295</f>
        <v>0.38566842053779238</v>
      </c>
      <c r="Q295" s="12">
        <f>M295/$F295</f>
        <v>0.58874203693836946</v>
      </c>
      <c r="R295" s="12">
        <f>N295/$F295</f>
        <v>8.2661139275279068E-4</v>
      </c>
    </row>
    <row r="296" spans="1:18" x14ac:dyDescent="0.25">
      <c r="B296" s="35"/>
      <c r="G296" s="14"/>
      <c r="H296" s="14"/>
      <c r="I296" s="14"/>
      <c r="J296" s="14"/>
    </row>
    <row r="297" spans="1:18" x14ac:dyDescent="0.25">
      <c r="A297" s="6" t="s">
        <v>2</v>
      </c>
      <c r="B297" s="6" t="s">
        <v>50</v>
      </c>
      <c r="C297" s="6" t="s">
        <v>43</v>
      </c>
      <c r="D297" s="6" t="s">
        <v>44</v>
      </c>
      <c r="E297" s="6">
        <v>2022</v>
      </c>
      <c r="F297" s="61">
        <v>356</v>
      </c>
      <c r="G297" s="24">
        <v>0</v>
      </c>
      <c r="H297" s="24">
        <v>77</v>
      </c>
      <c r="I297" s="24">
        <v>63</v>
      </c>
      <c r="J297" s="24">
        <v>0</v>
      </c>
      <c r="K297" s="110">
        <f>IFERROR(+(G297/(SUM($G297:$J297)))*$F297,0)</f>
        <v>0</v>
      </c>
      <c r="L297" s="110">
        <f t="shared" ref="L297:L299" si="209">IFERROR(+(H297/(SUM($G297:$J297)))*$F297,0)</f>
        <v>195.8</v>
      </c>
      <c r="M297" s="110">
        <f t="shared" ref="M297:M299" si="210">IFERROR(+(I297/(SUM($G297:$J297)))*$F297,0)</f>
        <v>160.20000000000002</v>
      </c>
      <c r="N297" s="110">
        <f t="shared" ref="N297:N299" si="211">IFERROR(+(J297/(SUM($G297:$J297)))*$F297,0)</f>
        <v>0</v>
      </c>
    </row>
    <row r="298" spans="1:18" x14ac:dyDescent="0.25">
      <c r="A298" s="6" t="s">
        <v>2</v>
      </c>
      <c r="B298" s="6" t="s">
        <v>50</v>
      </c>
      <c r="C298" s="6" t="s">
        <v>45</v>
      </c>
      <c r="D298" s="6" t="s">
        <v>33</v>
      </c>
      <c r="E298" s="6">
        <v>2022</v>
      </c>
      <c r="F298" s="62">
        <v>503</v>
      </c>
      <c r="G298" s="16">
        <v>0</v>
      </c>
      <c r="H298" s="16">
        <v>37</v>
      </c>
      <c r="I298" s="16">
        <v>96</v>
      </c>
      <c r="J298" s="16">
        <v>2</v>
      </c>
      <c r="K298" s="110">
        <f>IFERROR(+(G298/(SUM($G298:$J298)))*$F298,0)</f>
        <v>0</v>
      </c>
      <c r="L298" s="110">
        <f t="shared" si="209"/>
        <v>137.85925925925926</v>
      </c>
      <c r="M298" s="110">
        <f t="shared" si="210"/>
        <v>357.68888888888893</v>
      </c>
      <c r="N298" s="110">
        <f t="shared" si="211"/>
        <v>7.4518518518518517</v>
      </c>
    </row>
    <row r="299" spans="1:18" x14ac:dyDescent="0.25">
      <c r="A299" s="6" t="s">
        <v>2</v>
      </c>
      <c r="B299" s="6" t="s">
        <v>50</v>
      </c>
      <c r="C299" s="6" t="s">
        <v>45</v>
      </c>
      <c r="D299" s="6" t="s">
        <v>46</v>
      </c>
      <c r="E299" s="6">
        <v>2022</v>
      </c>
      <c r="F299" s="25">
        <f>+F302-SUM(F297:F298)</f>
        <v>4081</v>
      </c>
      <c r="G299" s="16">
        <v>0</v>
      </c>
      <c r="H299" s="16">
        <v>49</v>
      </c>
      <c r="I299" s="16">
        <v>136</v>
      </c>
      <c r="J299" s="16">
        <v>2</v>
      </c>
      <c r="K299" s="110">
        <f>IFERROR(+(G299/(SUM($G299:$J299)))*$F299,0)</f>
        <v>0</v>
      </c>
      <c r="L299" s="110">
        <f t="shared" si="209"/>
        <v>1069.3529411764705</v>
      </c>
      <c r="M299" s="110">
        <f t="shared" si="210"/>
        <v>2968</v>
      </c>
      <c r="N299" s="110">
        <f t="shared" si="211"/>
        <v>43.647058823529406</v>
      </c>
    </row>
    <row r="300" spans="1:18" x14ac:dyDescent="0.25">
      <c r="A300" s="14" t="s">
        <v>47</v>
      </c>
      <c r="B300" s="6" t="s">
        <v>50</v>
      </c>
      <c r="C300" s="6" t="s">
        <v>43</v>
      </c>
      <c r="D300" s="6" t="s">
        <v>46</v>
      </c>
      <c r="E300" s="6">
        <v>2022</v>
      </c>
      <c r="F300" s="122">
        <v>0</v>
      </c>
      <c r="G300" s="26"/>
      <c r="H300" s="106"/>
      <c r="I300" s="26"/>
      <c r="J300" s="26"/>
      <c r="K300" s="8">
        <f>+IF($F300=0,0,(G300/(SUM($G300:$J300)))*$F300)</f>
        <v>0</v>
      </c>
      <c r="L300" s="8">
        <f>+IF($F300=0,0,(H300/(SUM($G300:$J300)))*$F300)</f>
        <v>0</v>
      </c>
      <c r="M300" s="8">
        <f>+IF($F300=0,0,(I300/(SUM($G300:$J300)))*$F300)</f>
        <v>0</v>
      </c>
      <c r="N300" s="8">
        <f>+IF($F300=0,0,(J300/(SUM($G300:$J300)))*$F300)</f>
        <v>0</v>
      </c>
    </row>
    <row r="301" spans="1:18" x14ac:dyDescent="0.25">
      <c r="A301" s="14" t="s">
        <v>47</v>
      </c>
      <c r="B301" s="6" t="s">
        <v>50</v>
      </c>
      <c r="C301" s="6" t="s">
        <v>45</v>
      </c>
      <c r="D301" s="6" t="s">
        <v>46</v>
      </c>
      <c r="E301" s="6">
        <v>2022</v>
      </c>
      <c r="F301" s="122">
        <v>50</v>
      </c>
      <c r="G301" s="27"/>
      <c r="H301" s="27"/>
      <c r="I301" s="27"/>
      <c r="J301" s="27"/>
      <c r="K301" s="8">
        <f>+IF(G301="",(G299/(SUM($G299:$J299)))*$F301,(G301/(SUM($G301:$J301)))*$F301)</f>
        <v>0</v>
      </c>
      <c r="L301" s="8">
        <f>+IF(H301="",(H299/(SUM($G299:$J299)))*$F301,(H301/(SUM($G301:$J301)))*$F301)</f>
        <v>13.101604278074866</v>
      </c>
      <c r="M301" s="8">
        <f>+IF(I301="",(I299/(SUM($G299:$J299)))*$F301,(I301/(SUM($G301:$J301)))*$F301)</f>
        <v>36.363636363636367</v>
      </c>
      <c r="N301" s="8">
        <f>+IF(J301="",(J299/(SUM($G299:$J299)))*$F301,(J301/(SUM($G301:$J301)))*$F301)</f>
        <v>0.53475935828876997</v>
      </c>
    </row>
    <row r="302" spans="1:18" x14ac:dyDescent="0.25">
      <c r="A302" s="6" t="s">
        <v>2</v>
      </c>
      <c r="B302" s="6" t="s">
        <v>50</v>
      </c>
      <c r="C302" s="6" t="s">
        <v>48</v>
      </c>
      <c r="D302" s="6" t="s">
        <v>48</v>
      </c>
      <c r="E302" s="6">
        <v>2022</v>
      </c>
      <c r="F302" s="13">
        <v>4940</v>
      </c>
      <c r="G302" s="29"/>
      <c r="H302" s="29"/>
      <c r="I302" s="29"/>
      <c r="J302" s="29"/>
      <c r="K302" s="8">
        <f>+SUM(K297:K299)</f>
        <v>0</v>
      </c>
      <c r="L302" s="8">
        <f>+SUM(L297:L299)</f>
        <v>1403.0122004357297</v>
      </c>
      <c r="M302" s="8">
        <f>+SUM(M297:M299)</f>
        <v>3485.8888888888887</v>
      </c>
      <c r="N302" s="8">
        <f>+SUM(N297:N299)</f>
        <v>51.098910675381255</v>
      </c>
      <c r="O302" s="12">
        <f>K302/$F302</f>
        <v>0</v>
      </c>
      <c r="P302" s="12">
        <f>L302/$F302</f>
        <v>0.28401056688982385</v>
      </c>
      <c r="Q302" s="12">
        <f>M302/$F302</f>
        <v>0.70564552406657666</v>
      </c>
      <c r="R302" s="12">
        <f>N302/$F302</f>
        <v>1.0343909043599444E-2</v>
      </c>
    </row>
    <row r="303" spans="1:18" x14ac:dyDescent="0.25">
      <c r="A303" s="14" t="s">
        <v>49</v>
      </c>
      <c r="B303" s="6" t="s">
        <v>50</v>
      </c>
      <c r="C303" s="6" t="s">
        <v>48</v>
      </c>
      <c r="D303" s="6" t="s">
        <v>48</v>
      </c>
      <c r="E303" s="6">
        <v>2022</v>
      </c>
      <c r="F303" s="31">
        <f>F302+SUM(F300:F301)</f>
        <v>4990</v>
      </c>
      <c r="G303" s="29"/>
      <c r="H303" s="29"/>
      <c r="I303" s="29"/>
      <c r="J303" s="29"/>
      <c r="K303" s="8">
        <f t="shared" ref="K303:L303" si="212">SUM(K297:K301)</f>
        <v>0</v>
      </c>
      <c r="L303" s="8">
        <f t="shared" si="212"/>
        <v>1416.1138047138045</v>
      </c>
      <c r="M303" s="8">
        <f>SUM(M297:M301)</f>
        <v>3522.2525252525252</v>
      </c>
      <c r="N303" s="8">
        <f>SUM(N297:N301)</f>
        <v>51.633670033670022</v>
      </c>
      <c r="O303" s="12">
        <f>K303/$F303</f>
        <v>0</v>
      </c>
      <c r="P303" s="12">
        <f t="shared" ref="P303" si="213">L303/$F303</f>
        <v>0.28379034162601291</v>
      </c>
      <c r="Q303" s="12">
        <f>M303/$F303</f>
        <v>0.70586222950952404</v>
      </c>
      <c r="R303" s="12">
        <f>N303/$F303</f>
        <v>1.0347428864462931E-2</v>
      </c>
    </row>
    <row r="304" spans="1:18" x14ac:dyDescent="0.25">
      <c r="B304" s="35"/>
      <c r="G304" s="14"/>
      <c r="H304" s="14"/>
      <c r="I304" s="14"/>
      <c r="J304" s="14"/>
    </row>
    <row r="305" spans="1:18" x14ac:dyDescent="0.25">
      <c r="A305" s="6" t="s">
        <v>2</v>
      </c>
      <c r="B305" s="6" t="s">
        <v>51</v>
      </c>
      <c r="C305" s="6" t="s">
        <v>43</v>
      </c>
      <c r="D305" s="6" t="s">
        <v>44</v>
      </c>
      <c r="E305" s="6">
        <v>2022</v>
      </c>
      <c r="F305" s="61">
        <v>45</v>
      </c>
      <c r="G305" s="24">
        <v>1</v>
      </c>
      <c r="H305" s="24">
        <v>2</v>
      </c>
      <c r="I305" s="24">
        <v>0</v>
      </c>
      <c r="J305" s="24">
        <v>0</v>
      </c>
      <c r="K305" s="110">
        <f>IFERROR(+(G305/(SUM($G305:$J305)))*$F305,0)</f>
        <v>15</v>
      </c>
      <c r="L305" s="110">
        <f t="shared" ref="L305" si="214">IFERROR(+(H305/(SUM($G305:$J305)))*$F305,0)</f>
        <v>30</v>
      </c>
      <c r="M305" s="110">
        <f t="shared" ref="M305" si="215">IFERROR(+(I305/(SUM($G305:$J305)))*$F305,0)</f>
        <v>0</v>
      </c>
      <c r="N305" s="110">
        <f t="shared" ref="N305" si="216">IFERROR(+(J305/(SUM($G305:$J305)))*$F305,0)</f>
        <v>0</v>
      </c>
    </row>
    <row r="306" spans="1:18" x14ac:dyDescent="0.25">
      <c r="A306" s="6" t="s">
        <v>2</v>
      </c>
      <c r="B306" s="6" t="s">
        <v>51</v>
      </c>
      <c r="C306" s="6" t="s">
        <v>45</v>
      </c>
      <c r="D306" s="6" t="s">
        <v>33</v>
      </c>
      <c r="E306" s="6">
        <v>2022</v>
      </c>
      <c r="F306" s="62">
        <v>2</v>
      </c>
      <c r="G306" s="16"/>
      <c r="H306" s="16"/>
      <c r="I306" s="16"/>
      <c r="J306" s="16"/>
      <c r="K306" s="113">
        <f>IFERROR(+(G307/(SUM($G307:$J307)))*$F306,0)</f>
        <v>1.5</v>
      </c>
      <c r="L306" s="113">
        <f t="shared" ref="L306:N306" si="217">IFERROR(+(H307/(SUM($G307:$J307)))*$F306,0)</f>
        <v>0.5</v>
      </c>
      <c r="M306" s="113">
        <f t="shared" si="217"/>
        <v>0</v>
      </c>
      <c r="N306" s="113">
        <f t="shared" si="217"/>
        <v>0</v>
      </c>
    </row>
    <row r="307" spans="1:18" x14ac:dyDescent="0.25">
      <c r="A307" s="6" t="s">
        <v>2</v>
      </c>
      <c r="B307" s="6" t="s">
        <v>51</v>
      </c>
      <c r="C307" s="6" t="s">
        <v>45</v>
      </c>
      <c r="D307" s="6" t="s">
        <v>46</v>
      </c>
      <c r="E307" s="6">
        <v>2022</v>
      </c>
      <c r="F307" s="25">
        <f>+F310-SUM(F305:F306)</f>
        <v>133</v>
      </c>
      <c r="G307" s="16">
        <v>6</v>
      </c>
      <c r="H307" s="16">
        <v>2</v>
      </c>
      <c r="I307" s="16">
        <v>0</v>
      </c>
      <c r="J307" s="16">
        <v>0</v>
      </c>
      <c r="K307" s="110">
        <f>IFERROR(+(G307/(SUM($G307:$J307)))*$F307,0)</f>
        <v>99.75</v>
      </c>
      <c r="L307" s="110">
        <f t="shared" ref="L307:N307" si="218">IFERROR(+(H307/(SUM($G307:$J307)))*$F307,0)</f>
        <v>33.25</v>
      </c>
      <c r="M307" s="110">
        <f t="shared" si="218"/>
        <v>0</v>
      </c>
      <c r="N307" s="110">
        <f t="shared" si="218"/>
        <v>0</v>
      </c>
    </row>
    <row r="308" spans="1:18" x14ac:dyDescent="0.25">
      <c r="A308" s="14" t="s">
        <v>47</v>
      </c>
      <c r="B308" s="6" t="s">
        <v>51</v>
      </c>
      <c r="C308" s="6" t="s">
        <v>43</v>
      </c>
      <c r="D308" s="6" t="s">
        <v>46</v>
      </c>
      <c r="E308" s="6">
        <v>2022</v>
      </c>
      <c r="F308" s="122">
        <v>0</v>
      </c>
      <c r="G308" s="26"/>
      <c r="H308" s="26"/>
      <c r="I308" s="26"/>
      <c r="J308" s="26"/>
      <c r="K308" s="8">
        <f>+IF($F308=0,0,(G308/(SUM($G308:$J308)))*$F308)</f>
        <v>0</v>
      </c>
      <c r="L308" s="8">
        <f>+IF($F308=0,0,(H308/(SUM($G308:$J308)))*$F308)</f>
        <v>0</v>
      </c>
      <c r="M308" s="8">
        <f>+IF($F308=0,0,(I308/(SUM($G308:$J308)))*$F308)</f>
        <v>0</v>
      </c>
      <c r="N308" s="8">
        <f>+IF($F308=0,0,(J308/(SUM($G308:$J308)))*$F308)</f>
        <v>0</v>
      </c>
    </row>
    <row r="309" spans="1:18" x14ac:dyDescent="0.25">
      <c r="A309" s="14" t="s">
        <v>47</v>
      </c>
      <c r="B309" s="6" t="s">
        <v>51</v>
      </c>
      <c r="C309" s="6" t="s">
        <v>45</v>
      </c>
      <c r="D309" s="6" t="s">
        <v>46</v>
      </c>
      <c r="E309" s="6">
        <v>2022</v>
      </c>
      <c r="F309" s="122">
        <v>0</v>
      </c>
      <c r="G309" s="27"/>
      <c r="H309" s="27"/>
      <c r="I309" s="27"/>
      <c r="J309" s="27"/>
      <c r="K309" s="8">
        <f>+IF(G309="",(G307/(SUM($G307:$J307)))*$F309,(G309/(SUM($G309:$J309)))*$F309)</f>
        <v>0</v>
      </c>
      <c r="L309" s="8">
        <f>+IF(H309="",(H307/(SUM($G307:$J307)))*$F309,(H309/(SUM($G309:$J309)))*$F309)</f>
        <v>0</v>
      </c>
      <c r="M309" s="8">
        <f>+IF(I309="",(I307/(SUM($G307:$J307)))*$F309,(I309/(SUM($G309:$J309)))*$F309)</f>
        <v>0</v>
      </c>
      <c r="N309" s="8">
        <f>+IF(J309="",(J307/(SUM($G307:$J307)))*$F309,(J309/(SUM($G309:$J309)))*$F309)</f>
        <v>0</v>
      </c>
    </row>
    <row r="310" spans="1:18" x14ac:dyDescent="0.25">
      <c r="A310" s="6" t="s">
        <v>2</v>
      </c>
      <c r="B310" s="6" t="s">
        <v>51</v>
      </c>
      <c r="C310" s="6" t="s">
        <v>48</v>
      </c>
      <c r="D310" s="6" t="s">
        <v>48</v>
      </c>
      <c r="E310" s="6">
        <v>2022</v>
      </c>
      <c r="F310" s="13">
        <v>180</v>
      </c>
      <c r="G310" s="29"/>
      <c r="H310" s="29"/>
      <c r="I310" s="29"/>
      <c r="J310" s="29"/>
      <c r="K310" s="8">
        <f>+SUM(K305:K307)</f>
        <v>116.25</v>
      </c>
      <c r="L310" s="8">
        <f>+SUM(L305:L307)</f>
        <v>63.75</v>
      </c>
      <c r="M310" s="8">
        <f>+SUM(M305:M307)</f>
        <v>0</v>
      </c>
      <c r="N310" s="8">
        <f>+SUM(N305:N307)</f>
        <v>0</v>
      </c>
      <c r="O310" s="12">
        <f>K310/$F310</f>
        <v>0.64583333333333337</v>
      </c>
      <c r="P310" s="12">
        <f>L310/$F310</f>
        <v>0.35416666666666669</v>
      </c>
      <c r="Q310" s="12">
        <f>M310/$F310</f>
        <v>0</v>
      </c>
      <c r="R310" s="12">
        <f>N310/$F310</f>
        <v>0</v>
      </c>
    </row>
    <row r="311" spans="1:18" ht="15.75" thickBot="1" x14ac:dyDescent="0.3">
      <c r="A311" s="50" t="s">
        <v>49</v>
      </c>
      <c r="B311" s="39" t="s">
        <v>51</v>
      </c>
      <c r="C311" s="39" t="s">
        <v>48</v>
      </c>
      <c r="D311" s="39" t="s">
        <v>48</v>
      </c>
      <c r="E311" s="39">
        <v>2022</v>
      </c>
      <c r="F311" s="57">
        <f>F310+SUM(F308:F309)</f>
        <v>180</v>
      </c>
      <c r="G311" s="58"/>
      <c r="H311" s="58"/>
      <c r="I311" s="58"/>
      <c r="J311" s="58"/>
      <c r="K311" s="59">
        <f t="shared" ref="K311:L311" si="219">SUM(K305:K309)</f>
        <v>116.25</v>
      </c>
      <c r="L311" s="59">
        <f t="shared" si="219"/>
        <v>63.75</v>
      </c>
      <c r="M311" s="59">
        <f>SUM(M305:M309)</f>
        <v>0</v>
      </c>
      <c r="N311" s="59">
        <f>SUM(N305:N309)</f>
        <v>0</v>
      </c>
      <c r="O311" s="60">
        <f>K311/$F311</f>
        <v>0.64583333333333337</v>
      </c>
      <c r="P311" s="60">
        <f t="shared" ref="P311" si="220">L311/$F311</f>
        <v>0.35416666666666669</v>
      </c>
      <c r="Q311" s="60">
        <f>M311/$F311</f>
        <v>0</v>
      </c>
      <c r="R311" s="60">
        <f>N311/$F311</f>
        <v>0</v>
      </c>
    </row>
    <row r="312" spans="1:18" ht="15.75" thickTop="1" x14ac:dyDescent="0.25"/>
    <row r="313" spans="1:18" x14ac:dyDescent="0.25">
      <c r="A313" s="63" t="s">
        <v>3137</v>
      </c>
      <c r="B313" s="127">
        <v>-6.7576564580559099E-3</v>
      </c>
      <c r="G313" s="14"/>
      <c r="H313" s="14"/>
      <c r="I313" s="14"/>
      <c r="J313" s="14"/>
    </row>
    <row r="314" spans="1:18" x14ac:dyDescent="0.25">
      <c r="A314" s="6" t="s">
        <v>2</v>
      </c>
      <c r="B314" s="6" t="s">
        <v>42</v>
      </c>
      <c r="C314" s="6" t="s">
        <v>43</v>
      </c>
      <c r="D314" s="6" t="s">
        <v>44</v>
      </c>
      <c r="E314" s="6">
        <v>2023</v>
      </c>
      <c r="F314" s="61">
        <v>239</v>
      </c>
      <c r="G314" s="24">
        <v>0</v>
      </c>
      <c r="H314" s="24">
        <v>34</v>
      </c>
      <c r="I314" s="24">
        <v>5</v>
      </c>
      <c r="J314" s="24">
        <v>0</v>
      </c>
      <c r="K314" s="110">
        <f t="shared" ref="K314:N316" si="221">IFERROR(+(G314/(SUM($G314:$J314)))*$F314,0)</f>
        <v>0</v>
      </c>
      <c r="L314" s="110">
        <f t="shared" si="221"/>
        <v>208.35897435897436</v>
      </c>
      <c r="M314" s="110">
        <f t="shared" si="221"/>
        <v>30.641025641025639</v>
      </c>
      <c r="N314" s="110">
        <f t="shared" si="221"/>
        <v>0</v>
      </c>
    </row>
    <row r="315" spans="1:18" x14ac:dyDescent="0.25">
      <c r="A315" s="6" t="s">
        <v>2</v>
      </c>
      <c r="B315" s="6" t="s">
        <v>42</v>
      </c>
      <c r="C315" s="6" t="s">
        <v>45</v>
      </c>
      <c r="D315" s="6" t="s">
        <v>33</v>
      </c>
      <c r="E315" s="6">
        <v>2023</v>
      </c>
      <c r="F315" s="62">
        <v>340</v>
      </c>
      <c r="G315" s="16">
        <v>0</v>
      </c>
      <c r="H315" s="16">
        <v>18</v>
      </c>
      <c r="I315" s="16">
        <v>10</v>
      </c>
      <c r="J315" s="16">
        <v>1</v>
      </c>
      <c r="K315" s="110">
        <f t="shared" si="221"/>
        <v>0</v>
      </c>
      <c r="L315" s="110">
        <f t="shared" si="221"/>
        <v>211.0344827586207</v>
      </c>
      <c r="M315" s="110">
        <f t="shared" si="221"/>
        <v>117.24137931034484</v>
      </c>
      <c r="N315" s="110">
        <f t="shared" si="221"/>
        <v>11.724137931034482</v>
      </c>
    </row>
    <row r="316" spans="1:18" x14ac:dyDescent="0.25">
      <c r="A316" s="6" t="s">
        <v>2</v>
      </c>
      <c r="B316" s="6" t="s">
        <v>42</v>
      </c>
      <c r="C316" s="6" t="s">
        <v>45</v>
      </c>
      <c r="D316" s="6" t="s">
        <v>46</v>
      </c>
      <c r="E316" s="6">
        <v>2023</v>
      </c>
      <c r="F316" s="25">
        <f>+F319-SUM(F314:F315)</f>
        <v>3348</v>
      </c>
      <c r="G316" s="16">
        <v>0</v>
      </c>
      <c r="H316" s="16">
        <v>48</v>
      </c>
      <c r="I316" s="16">
        <v>58</v>
      </c>
      <c r="J316" s="16">
        <v>0</v>
      </c>
      <c r="K316" s="110">
        <f t="shared" si="221"/>
        <v>0</v>
      </c>
      <c r="L316" s="110">
        <f t="shared" si="221"/>
        <v>1516.0754716981132</v>
      </c>
      <c r="M316" s="110">
        <f t="shared" si="221"/>
        <v>1831.9245283018868</v>
      </c>
      <c r="N316" s="110">
        <f t="shared" si="221"/>
        <v>0</v>
      </c>
    </row>
    <row r="317" spans="1:18" x14ac:dyDescent="0.25">
      <c r="A317" s="14" t="s">
        <v>47</v>
      </c>
      <c r="B317" s="6" t="s">
        <v>42</v>
      </c>
      <c r="C317" s="6" t="s">
        <v>43</v>
      </c>
      <c r="D317" s="6" t="s">
        <v>46</v>
      </c>
      <c r="E317" s="6">
        <v>2023</v>
      </c>
      <c r="F317" s="122">
        <v>0</v>
      </c>
      <c r="G317" s="26"/>
      <c r="H317" s="26"/>
      <c r="I317" s="26"/>
      <c r="J317" s="26"/>
      <c r="K317" s="8">
        <f>+IF($F317=0,0,(G317/(SUM($G317:$J317)))*$F317)</f>
        <v>0</v>
      </c>
      <c r="L317" s="8">
        <f>+IF($F317=0,0,(H317/(SUM($G317:$J317)))*$F317)</f>
        <v>0</v>
      </c>
      <c r="M317" s="8">
        <f>+IF($F317=0,0,(I317/(SUM($G317:$J317)))*$F317)</f>
        <v>0</v>
      </c>
      <c r="N317" s="8">
        <f>+IF($F317=0,0,(J317/(SUM($G317:$J317)))*$F317)</f>
        <v>0</v>
      </c>
    </row>
    <row r="318" spans="1:18" x14ac:dyDescent="0.25">
      <c r="A318" s="14" t="s">
        <v>47</v>
      </c>
      <c r="B318" s="6" t="s">
        <v>42</v>
      </c>
      <c r="C318" s="6" t="s">
        <v>45</v>
      </c>
      <c r="D318" s="6" t="s">
        <v>46</v>
      </c>
      <c r="E318" s="6">
        <v>2023</v>
      </c>
      <c r="F318" s="122">
        <v>63</v>
      </c>
      <c r="G318" s="27">
        <v>0</v>
      </c>
      <c r="H318" s="27">
        <v>24</v>
      </c>
      <c r="I318" s="27">
        <v>30</v>
      </c>
      <c r="J318" s="27">
        <v>0</v>
      </c>
      <c r="K318" s="8">
        <f>+IF(G318="",(G316/(SUM($G316:$J316)))*$F318,(G318/(SUM($G318:$J318)))*$F318)</f>
        <v>0</v>
      </c>
      <c r="L318" s="8">
        <f>+IF(H318="",(H316/(SUM($G316:$J316)))*$F318,(H318/(SUM($G318:$J318)))*$F318)</f>
        <v>28</v>
      </c>
      <c r="M318" s="8">
        <f>+IF(I318="",(I316/(SUM($G316:$J316)))*$F318,(I318/(SUM($G318:$J318)))*$F318)</f>
        <v>35</v>
      </c>
      <c r="N318" s="8">
        <f>+IF(J318="",(J316/(SUM($G316:$J316)))*$F318,(J318/(SUM($G318:$J318)))*$F318)</f>
        <v>0</v>
      </c>
    </row>
    <row r="319" spans="1:18" x14ac:dyDescent="0.25">
      <c r="A319" s="6" t="s">
        <v>2</v>
      </c>
      <c r="B319" s="6" t="s">
        <v>42</v>
      </c>
      <c r="C319" s="6" t="s">
        <v>48</v>
      </c>
      <c r="D319" s="6" t="s">
        <v>48</v>
      </c>
      <c r="E319" s="6">
        <v>2023</v>
      </c>
      <c r="F319" s="13">
        <v>3927</v>
      </c>
      <c r="G319" s="29"/>
      <c r="H319" s="29"/>
      <c r="I319" s="29"/>
      <c r="J319" s="29"/>
      <c r="K319" s="8">
        <f>+SUM(K314:K316)</f>
        <v>0</v>
      </c>
      <c r="L319" s="8">
        <f>+SUM(L314:L316)</f>
        <v>1935.4689288157083</v>
      </c>
      <c r="M319" s="8">
        <f>+SUM(M314:M316)</f>
        <v>1979.8069332532573</v>
      </c>
      <c r="N319" s="8">
        <f>+SUM(N314:N316)</f>
        <v>11.724137931034482</v>
      </c>
      <c r="O319" s="12">
        <f>K319/$F319</f>
        <v>0</v>
      </c>
      <c r="P319" s="12">
        <f>L319/$F319</f>
        <v>0.49286196302921015</v>
      </c>
      <c r="Q319" s="12">
        <f>M319/$F319</f>
        <v>0.50415251674389028</v>
      </c>
      <c r="R319" s="12">
        <f>N319/$F319</f>
        <v>2.9855202268995371E-3</v>
      </c>
    </row>
    <row r="320" spans="1:18" x14ac:dyDescent="0.25">
      <c r="A320" s="14" t="s">
        <v>49</v>
      </c>
      <c r="B320" s="6" t="s">
        <v>42</v>
      </c>
      <c r="C320" s="6" t="s">
        <v>48</v>
      </c>
      <c r="D320" s="6" t="s">
        <v>48</v>
      </c>
      <c r="E320" s="6">
        <v>2023</v>
      </c>
      <c r="F320" s="30">
        <f>F319+SUM(F317:F318)</f>
        <v>3990</v>
      </c>
      <c r="G320" s="29"/>
      <c r="H320" s="29"/>
      <c r="I320" s="29"/>
      <c r="J320" s="29"/>
      <c r="K320" s="8">
        <f t="shared" ref="K320" si="222">SUM(K314:K318)</f>
        <v>0</v>
      </c>
      <c r="L320" s="8">
        <f>SUM(L314:L318)</f>
        <v>1963.4689288157083</v>
      </c>
      <c r="M320" s="8">
        <f>SUM(M314:M318)</f>
        <v>2014.8069332532573</v>
      </c>
      <c r="N320" s="8">
        <f>SUM(N314:N318)</f>
        <v>11.724137931034482</v>
      </c>
      <c r="O320" s="12">
        <f>K320/$F320</f>
        <v>0</v>
      </c>
      <c r="P320" s="12">
        <f t="shared" ref="P320" si="223">L320/$F320</f>
        <v>0.49209747589366121</v>
      </c>
      <c r="Q320" s="12">
        <f>M320/$F320</f>
        <v>0.50496414367249554</v>
      </c>
      <c r="R320" s="12">
        <f>N320/$F320</f>
        <v>2.9383804338432287E-3</v>
      </c>
    </row>
    <row r="321" spans="1:18" x14ac:dyDescent="0.25">
      <c r="B321" s="35"/>
      <c r="G321" s="14"/>
      <c r="H321" s="14"/>
      <c r="I321" s="14"/>
      <c r="J321" s="14"/>
    </row>
    <row r="322" spans="1:18" x14ac:dyDescent="0.25">
      <c r="A322" s="6" t="s">
        <v>2</v>
      </c>
      <c r="B322" s="6" t="s">
        <v>50</v>
      </c>
      <c r="C322" s="6" t="s">
        <v>43</v>
      </c>
      <c r="D322" s="6" t="s">
        <v>44</v>
      </c>
      <c r="E322" s="6">
        <v>2023</v>
      </c>
      <c r="F322" s="61">
        <v>165</v>
      </c>
      <c r="G322" s="24">
        <v>0</v>
      </c>
      <c r="H322" s="24">
        <v>28</v>
      </c>
      <c r="I322" s="24">
        <v>20</v>
      </c>
      <c r="J322" s="24">
        <v>0</v>
      </c>
      <c r="K322" s="110">
        <f>IFERROR(+(G322/(SUM($G322:$J322)))*$F322,0)</f>
        <v>0</v>
      </c>
      <c r="L322" s="110">
        <f>IFERROR(+(H322/(SUM($G322:$J322)))*$F322,0)</f>
        <v>96.25</v>
      </c>
      <c r="M322" s="110">
        <f t="shared" ref="M322:M323" si="224">IFERROR(+(I322/(SUM($G322:$J322)))*$F322,0)</f>
        <v>68.75</v>
      </c>
      <c r="N322" s="110">
        <f t="shared" ref="N322:N324" si="225">IFERROR(+(J322/(SUM($G322:$J322)))*$F322,0)</f>
        <v>0</v>
      </c>
    </row>
    <row r="323" spans="1:18" x14ac:dyDescent="0.25">
      <c r="A323" s="6" t="s">
        <v>2</v>
      </c>
      <c r="B323" s="6" t="s">
        <v>50</v>
      </c>
      <c r="C323" s="6" t="s">
        <v>45</v>
      </c>
      <c r="D323" s="6" t="s">
        <v>33</v>
      </c>
      <c r="E323" s="6">
        <v>2023</v>
      </c>
      <c r="F323" s="62">
        <v>411</v>
      </c>
      <c r="G323" s="16">
        <v>0</v>
      </c>
      <c r="H323" s="16">
        <v>14</v>
      </c>
      <c r="I323" s="16">
        <v>56</v>
      </c>
      <c r="J323" s="16">
        <v>1</v>
      </c>
      <c r="K323" s="110">
        <f>IFERROR(+(G323/(SUM($G323:$J323)))*$F323,0)</f>
        <v>0</v>
      </c>
      <c r="L323" s="110">
        <f t="shared" ref="L323:L324" si="226">IFERROR(+(H323/(SUM($G323:$J323)))*$F323,0)</f>
        <v>81.042253521126753</v>
      </c>
      <c r="M323" s="110">
        <f t="shared" si="224"/>
        <v>324.16901408450701</v>
      </c>
      <c r="N323" s="110">
        <f>IFERROR(+(J323/(SUM($G323:$J323)))*$F323,0)</f>
        <v>5.788732394366197</v>
      </c>
    </row>
    <row r="324" spans="1:18" x14ac:dyDescent="0.25">
      <c r="A324" s="6" t="s">
        <v>2</v>
      </c>
      <c r="B324" s="6" t="s">
        <v>50</v>
      </c>
      <c r="C324" s="6" t="s">
        <v>45</v>
      </c>
      <c r="D324" s="6" t="s">
        <v>46</v>
      </c>
      <c r="E324" s="6">
        <v>2023</v>
      </c>
      <c r="F324" s="25">
        <f>+F327-SUM(F322:F323)</f>
        <v>2633</v>
      </c>
      <c r="G324" s="16">
        <v>0</v>
      </c>
      <c r="H324" s="16">
        <v>28</v>
      </c>
      <c r="I324" s="16">
        <v>85</v>
      </c>
      <c r="J324" s="16">
        <v>1</v>
      </c>
      <c r="K324" s="110">
        <f>IFERROR(+(G324/(SUM($G324:$J324)))*$F324,0)</f>
        <v>0</v>
      </c>
      <c r="L324" s="110">
        <f t="shared" si="226"/>
        <v>646.70175438596493</v>
      </c>
      <c r="M324" s="110">
        <f>IFERROR(+(I324/(SUM($G324:$J324)))*$F324,0)</f>
        <v>1963.2017543859649</v>
      </c>
      <c r="N324" s="110">
        <f t="shared" si="225"/>
        <v>23.096491228070175</v>
      </c>
    </row>
    <row r="325" spans="1:18" x14ac:dyDescent="0.25">
      <c r="A325" s="14" t="s">
        <v>47</v>
      </c>
      <c r="B325" s="6" t="s">
        <v>50</v>
      </c>
      <c r="C325" s="6" t="s">
        <v>43</v>
      </c>
      <c r="D325" s="6" t="s">
        <v>46</v>
      </c>
      <c r="E325" s="6">
        <v>2023</v>
      </c>
      <c r="F325" s="122">
        <v>0</v>
      </c>
      <c r="G325" s="26"/>
      <c r="H325" s="106"/>
      <c r="I325" s="26"/>
      <c r="J325" s="26"/>
      <c r="K325" s="8">
        <f>+IF($F325=0,0,(G325/(SUM($G325:$J325)))*$F325)</f>
        <v>0</v>
      </c>
      <c r="L325" s="8">
        <f>+IF($F325=0,0,(H325/(SUM($G325:$J325)))*$F325)</f>
        <v>0</v>
      </c>
      <c r="M325" s="8">
        <f>+IF($F325=0,0,(I325/(SUM($G325:$J325)))*$F325)</f>
        <v>0</v>
      </c>
      <c r="N325" s="8">
        <f>+IF($F325=0,0,(J325/(SUM($G325:$J325)))*$F325)</f>
        <v>0</v>
      </c>
    </row>
    <row r="326" spans="1:18" x14ac:dyDescent="0.25">
      <c r="A326" s="14" t="s">
        <v>47</v>
      </c>
      <c r="B326" s="6" t="s">
        <v>50</v>
      </c>
      <c r="C326" s="6" t="s">
        <v>45</v>
      </c>
      <c r="D326" s="6" t="s">
        <v>46</v>
      </c>
      <c r="E326" s="6">
        <v>2023</v>
      </c>
      <c r="F326" s="122">
        <v>58</v>
      </c>
      <c r="G326" s="27">
        <v>0</v>
      </c>
      <c r="H326" s="27">
        <v>4</v>
      </c>
      <c r="I326" s="27">
        <v>40</v>
      </c>
      <c r="J326" s="27">
        <v>0</v>
      </c>
      <c r="K326" s="8">
        <f>+IF(G326="",(G324/(SUM($G324:$J324)))*$F326,(G326/(SUM($G326:$J326)))*$F326)</f>
        <v>0</v>
      </c>
      <c r="L326" s="8">
        <f>+IF(H326="",(H324/(SUM($G324:$J324)))*$F326,(H326/(SUM($G326:$J326)))*$F326)</f>
        <v>5.2727272727272725</v>
      </c>
      <c r="M326" s="8">
        <f>+IF(I326="",(I324/(SUM($G324:$J324)))*$F326,(I326/(SUM($G326:$J326)))*$F326)</f>
        <v>52.727272727272727</v>
      </c>
      <c r="N326" s="8">
        <f>+IF(J326="",(J324/(SUM($G324:$J324)))*$F326,(J326/(SUM($G326:$J326)))*$F326)</f>
        <v>0</v>
      </c>
    </row>
    <row r="327" spans="1:18" x14ac:dyDescent="0.25">
      <c r="A327" s="6" t="s">
        <v>2</v>
      </c>
      <c r="B327" s="6" t="s">
        <v>50</v>
      </c>
      <c r="C327" s="6" t="s">
        <v>48</v>
      </c>
      <c r="D327" s="6" t="s">
        <v>48</v>
      </c>
      <c r="E327" s="6">
        <v>2023</v>
      </c>
      <c r="F327" s="13">
        <v>3209</v>
      </c>
      <c r="G327" s="29"/>
      <c r="H327" s="29"/>
      <c r="I327" s="29"/>
      <c r="J327" s="29"/>
      <c r="K327" s="8">
        <f>+SUM(K322:K324)</f>
        <v>0</v>
      </c>
      <c r="L327" s="8">
        <f>+SUM(L322:L324)</f>
        <v>823.99400790709171</v>
      </c>
      <c r="M327" s="8">
        <f>+SUM(M322:M324)</f>
        <v>2356.1207684704718</v>
      </c>
      <c r="N327" s="8">
        <f>+SUM(N322:N324)</f>
        <v>28.885223622436371</v>
      </c>
      <c r="O327" s="12">
        <f>K327/$F327</f>
        <v>0</v>
      </c>
      <c r="P327" s="12">
        <f>L327/$F327</f>
        <v>0.25677594512530127</v>
      </c>
      <c r="Q327" s="12">
        <f>M327/$F327</f>
        <v>0.73422273869444432</v>
      </c>
      <c r="R327" s="12">
        <f>N327/$F327</f>
        <v>9.0013161802544005E-3</v>
      </c>
    </row>
    <row r="328" spans="1:18" x14ac:dyDescent="0.25">
      <c r="A328" s="14" t="s">
        <v>49</v>
      </c>
      <c r="B328" s="6" t="s">
        <v>50</v>
      </c>
      <c r="C328" s="6" t="s">
        <v>48</v>
      </c>
      <c r="D328" s="6" t="s">
        <v>48</v>
      </c>
      <c r="E328" s="6">
        <v>2023</v>
      </c>
      <c r="F328" s="31">
        <f>F327+SUM(F325:F326)</f>
        <v>3267</v>
      </c>
      <c r="G328" s="29"/>
      <c r="H328" s="29"/>
      <c r="I328" s="29"/>
      <c r="J328" s="29"/>
      <c r="K328" s="8">
        <f t="shared" ref="K328:L328" si="227">SUM(K322:K326)</f>
        <v>0</v>
      </c>
      <c r="L328" s="8">
        <f t="shared" si="227"/>
        <v>829.26673517981897</v>
      </c>
      <c r="M328" s="8">
        <f>SUM(M322:M326)</f>
        <v>2408.8480411977444</v>
      </c>
      <c r="N328" s="8">
        <f>SUM(N322:N326)</f>
        <v>28.885223622436371</v>
      </c>
      <c r="O328" s="12">
        <f>K328/$F328</f>
        <v>0</v>
      </c>
      <c r="P328" s="12">
        <f t="shared" ref="P328" si="228">L328/$F328</f>
        <v>0.25383126268130363</v>
      </c>
      <c r="Q328" s="12">
        <f>M328/$F328</f>
        <v>0.7373272241192973</v>
      </c>
      <c r="R328" s="12">
        <f>N328/$F328</f>
        <v>8.841513199398951E-3</v>
      </c>
    </row>
    <row r="329" spans="1:18" x14ac:dyDescent="0.25">
      <c r="B329" s="35"/>
      <c r="G329" s="14"/>
      <c r="H329" s="14"/>
      <c r="I329" s="14"/>
      <c r="J329" s="14"/>
    </row>
    <row r="330" spans="1:18" x14ac:dyDescent="0.25">
      <c r="A330" s="6" t="s">
        <v>2</v>
      </c>
      <c r="B330" s="6" t="s">
        <v>51</v>
      </c>
      <c r="C330" s="6" t="s">
        <v>43</v>
      </c>
      <c r="D330" s="6" t="s">
        <v>44</v>
      </c>
      <c r="E330" s="6">
        <v>2023</v>
      </c>
      <c r="F330" s="61">
        <v>164</v>
      </c>
      <c r="G330" s="24">
        <v>8</v>
      </c>
      <c r="H330" s="24">
        <v>0</v>
      </c>
      <c r="I330" s="24">
        <v>0</v>
      </c>
      <c r="J330" s="24">
        <v>0</v>
      </c>
      <c r="K330" s="110">
        <f>IFERROR(+(G330/(SUM($G330:$J330)))*$F330,0)</f>
        <v>164</v>
      </c>
      <c r="L330" s="110">
        <f t="shared" ref="L330" si="229">IFERROR(+(H330/(SUM($G330:$J330)))*$F330,0)</f>
        <v>0</v>
      </c>
      <c r="M330" s="110">
        <f t="shared" ref="M330" si="230">IFERROR(+(I330/(SUM($G330:$J330)))*$F330,0)</f>
        <v>0</v>
      </c>
      <c r="N330" s="110">
        <f t="shared" ref="N330" si="231">IFERROR(+(J330/(SUM($G330:$J330)))*$F330,0)</f>
        <v>0</v>
      </c>
    </row>
    <row r="331" spans="1:18" x14ac:dyDescent="0.25">
      <c r="A331" s="6" t="s">
        <v>2</v>
      </c>
      <c r="B331" s="6" t="s">
        <v>51</v>
      </c>
      <c r="C331" s="6" t="s">
        <v>45</v>
      </c>
      <c r="D331" s="6" t="s">
        <v>33</v>
      </c>
      <c r="E331" s="6">
        <v>2023</v>
      </c>
      <c r="F331" s="62">
        <v>8</v>
      </c>
      <c r="G331" s="16"/>
      <c r="H331" s="16"/>
      <c r="I331" s="16"/>
      <c r="J331" s="16"/>
      <c r="K331" s="113">
        <f>IFERROR(+(G332/(SUM($G332:$J332)))*$F331,0)</f>
        <v>4.5714285714285712</v>
      </c>
      <c r="L331" s="113">
        <f>IFERROR(+(H332/(SUM($G332:$J332)))*$F331,0)</f>
        <v>3.4285714285714284</v>
      </c>
      <c r="M331" s="113">
        <f>IFERROR(+(I332/(SUM($G332:$J332)))*$F331,0)</f>
        <v>0</v>
      </c>
      <c r="N331" s="113">
        <f>IFERROR(+(J332/(SUM($G332:$J332)))*$F331,0)</f>
        <v>0</v>
      </c>
    </row>
    <row r="332" spans="1:18" x14ac:dyDescent="0.25">
      <c r="A332" s="6" t="s">
        <v>2</v>
      </c>
      <c r="B332" s="6" t="s">
        <v>51</v>
      </c>
      <c r="C332" s="6" t="s">
        <v>45</v>
      </c>
      <c r="D332" s="6" t="s">
        <v>46</v>
      </c>
      <c r="E332" s="6">
        <v>2023</v>
      </c>
      <c r="F332" s="25">
        <f>+F335-SUM(F330:F331)</f>
        <v>320</v>
      </c>
      <c r="G332" s="16">
        <v>4</v>
      </c>
      <c r="H332" s="16">
        <v>3</v>
      </c>
      <c r="I332" s="16">
        <v>0</v>
      </c>
      <c r="J332" s="16">
        <v>0</v>
      </c>
      <c r="K332" s="110">
        <f>IFERROR(+(G332/(SUM($G332:$J332)))*$F332,0)</f>
        <v>182.85714285714283</v>
      </c>
      <c r="L332" s="110">
        <f t="shared" ref="L332" si="232">IFERROR(+(H332/(SUM($G332:$J332)))*$F332,0)</f>
        <v>137.14285714285714</v>
      </c>
      <c r="M332" s="110">
        <f t="shared" ref="M332" si="233">IFERROR(+(I332/(SUM($G332:$J332)))*$F332,0)</f>
        <v>0</v>
      </c>
      <c r="N332" s="110">
        <f t="shared" ref="N332" si="234">IFERROR(+(J332/(SUM($G332:$J332)))*$F332,0)</f>
        <v>0</v>
      </c>
    </row>
    <row r="333" spans="1:18" x14ac:dyDescent="0.25">
      <c r="A333" s="14" t="s">
        <v>47</v>
      </c>
      <c r="B333" s="6" t="s">
        <v>51</v>
      </c>
      <c r="C333" s="6" t="s">
        <v>43</v>
      </c>
      <c r="D333" s="6" t="s">
        <v>46</v>
      </c>
      <c r="E333" s="6">
        <v>2023</v>
      </c>
      <c r="F333" s="122">
        <v>0</v>
      </c>
      <c r="G333" s="26"/>
      <c r="H333" s="26"/>
      <c r="I333" s="26"/>
      <c r="J333" s="26"/>
      <c r="K333" s="8">
        <f>+IF($F333=0,0,(G333/(SUM($G333:$J333)))*$F333)</f>
        <v>0</v>
      </c>
      <c r="L333" s="8">
        <f>+IF($F333=0,0,(H333/(SUM($G333:$J333)))*$F333)</f>
        <v>0</v>
      </c>
      <c r="M333" s="8">
        <f>+IF($F333=0,0,(I333/(SUM($G333:$J333)))*$F333)</f>
        <v>0</v>
      </c>
      <c r="N333" s="8">
        <f>+IF($F333=0,0,(J333/(SUM($G333:$J333)))*$F333)</f>
        <v>0</v>
      </c>
    </row>
    <row r="334" spans="1:18" x14ac:dyDescent="0.25">
      <c r="A334" s="14" t="s">
        <v>47</v>
      </c>
      <c r="B334" s="6" t="s">
        <v>51</v>
      </c>
      <c r="C334" s="6" t="s">
        <v>45</v>
      </c>
      <c r="D334" s="6" t="s">
        <v>46</v>
      </c>
      <c r="E334" s="6">
        <v>2023</v>
      </c>
      <c r="F334" s="122">
        <v>0</v>
      </c>
      <c r="G334" s="27"/>
      <c r="H334" s="27"/>
      <c r="I334" s="27"/>
      <c r="J334" s="27"/>
      <c r="K334" s="8">
        <f>+IF(G334="",(G332/(SUM($G332:$J332)))*$F334,(G334/(SUM($G334:$J334)))*$F334)</f>
        <v>0</v>
      </c>
      <c r="L334" s="8">
        <f>+IF(H334="",(H332/(SUM($G332:$J332)))*$F334,(H334/(SUM($G334:$J334)))*$F334)</f>
        <v>0</v>
      </c>
      <c r="M334" s="8">
        <f>+IF(I334="",(I332/(SUM($G332:$J332)))*$F334,(I334/(SUM($G334:$J334)))*$F334)</f>
        <v>0</v>
      </c>
      <c r="N334" s="8">
        <f>+IF(J334="",(J332/(SUM($G332:$J332)))*$F334,(J334/(SUM($G334:$J334)))*$F334)</f>
        <v>0</v>
      </c>
    </row>
    <row r="335" spans="1:18" x14ac:dyDescent="0.25">
      <c r="A335" s="6" t="s">
        <v>2</v>
      </c>
      <c r="B335" s="6" t="s">
        <v>51</v>
      </c>
      <c r="C335" s="6" t="s">
        <v>48</v>
      </c>
      <c r="D335" s="6" t="s">
        <v>48</v>
      </c>
      <c r="E335" s="6">
        <v>2023</v>
      </c>
      <c r="F335" s="13">
        <v>492</v>
      </c>
      <c r="G335" s="29"/>
      <c r="H335" s="29"/>
      <c r="I335" s="29"/>
      <c r="J335" s="29"/>
      <c r="K335" s="8">
        <f>+SUM(K330:K332)</f>
        <v>351.42857142857144</v>
      </c>
      <c r="L335" s="8">
        <f>+SUM(L330:L332)</f>
        <v>140.57142857142856</v>
      </c>
      <c r="M335" s="8">
        <f>+SUM(M330:M332)</f>
        <v>0</v>
      </c>
      <c r="N335" s="8">
        <f>+SUM(N330:N332)</f>
        <v>0</v>
      </c>
      <c r="O335" s="12">
        <f>K335/$F335</f>
        <v>0.7142857142857143</v>
      </c>
      <c r="P335" s="12">
        <f>L335/$F335</f>
        <v>0.2857142857142857</v>
      </c>
      <c r="Q335" s="12">
        <f>M335/$F335</f>
        <v>0</v>
      </c>
      <c r="R335" s="12">
        <f>N335/$F335</f>
        <v>0</v>
      </c>
    </row>
    <row r="336" spans="1:18" ht="15.75" thickBot="1" x14ac:dyDescent="0.3">
      <c r="A336" s="50" t="s">
        <v>49</v>
      </c>
      <c r="B336" s="39" t="s">
        <v>51</v>
      </c>
      <c r="C336" s="39" t="s">
        <v>48</v>
      </c>
      <c r="D336" s="39" t="s">
        <v>48</v>
      </c>
      <c r="E336" s="39">
        <v>2023</v>
      </c>
      <c r="F336" s="57">
        <f>F335+SUM(F333:F334)</f>
        <v>492</v>
      </c>
      <c r="G336" s="58"/>
      <c r="H336" s="58"/>
      <c r="I336" s="58"/>
      <c r="J336" s="58"/>
      <c r="K336" s="59">
        <f t="shared" ref="K336:L336" si="235">SUM(K330:K334)</f>
        <v>351.42857142857144</v>
      </c>
      <c r="L336" s="59">
        <f t="shared" si="235"/>
        <v>140.57142857142856</v>
      </c>
      <c r="M336" s="59">
        <f>SUM(M330:M334)</f>
        <v>0</v>
      </c>
      <c r="N336" s="59">
        <f>SUM(N330:N334)</f>
        <v>0</v>
      </c>
      <c r="O336" s="60">
        <f>K336/$F336</f>
        <v>0.7142857142857143</v>
      </c>
      <c r="P336" s="60">
        <f t="shared" ref="P336" si="236">L336/$F336</f>
        <v>0.2857142857142857</v>
      </c>
      <c r="Q336" s="60">
        <f>M336/$F336</f>
        <v>0</v>
      </c>
      <c r="R336" s="60">
        <f>N336/$F336</f>
        <v>0</v>
      </c>
    </row>
    <row r="337" spans="1:18" ht="15.75" thickTop="1" x14ac:dyDescent="0.25"/>
    <row r="338" spans="1:18" x14ac:dyDescent="0.25">
      <c r="A338" s="63" t="s">
        <v>3139</v>
      </c>
      <c r="B338" s="127">
        <v>0</v>
      </c>
      <c r="G338" s="14"/>
      <c r="H338" s="14"/>
      <c r="I338" s="14"/>
      <c r="J338" s="14"/>
    </row>
    <row r="339" spans="1:18" x14ac:dyDescent="0.25">
      <c r="A339" s="6" t="s">
        <v>2</v>
      </c>
      <c r="B339" s="6" t="s">
        <v>42</v>
      </c>
      <c r="C339" s="6" t="s">
        <v>43</v>
      </c>
      <c r="D339" s="6" t="s">
        <v>44</v>
      </c>
      <c r="E339" s="6">
        <v>2024</v>
      </c>
      <c r="F339" s="61">
        <v>496</v>
      </c>
      <c r="G339" s="24">
        <v>0</v>
      </c>
      <c r="H339" s="24">
        <v>14</v>
      </c>
      <c r="I339" s="24">
        <v>0</v>
      </c>
      <c r="J339" s="24">
        <v>0</v>
      </c>
      <c r="K339" s="110">
        <f t="shared" ref="K339:K341" si="237">IFERROR(+(G339/(SUM($G339:$J339)))*$F339,0)</f>
        <v>0</v>
      </c>
      <c r="L339" s="110">
        <f t="shared" ref="L339:L341" si="238">IFERROR(+(H339/(SUM($G339:$J339)))*$F339,0)</f>
        <v>496</v>
      </c>
      <c r="M339" s="110">
        <f t="shared" ref="M339:M341" si="239">IFERROR(+(I339/(SUM($G339:$J339)))*$F339,0)</f>
        <v>0</v>
      </c>
      <c r="N339" s="110">
        <f t="shared" ref="N339:N341" si="240">IFERROR(+(J339/(SUM($G339:$J339)))*$F339,0)</f>
        <v>0</v>
      </c>
    </row>
    <row r="340" spans="1:18" x14ac:dyDescent="0.25">
      <c r="A340" s="6" t="s">
        <v>2</v>
      </c>
      <c r="B340" s="6" t="s">
        <v>42</v>
      </c>
      <c r="C340" s="6" t="s">
        <v>45</v>
      </c>
      <c r="D340" s="6" t="s">
        <v>33</v>
      </c>
      <c r="E340" s="6">
        <v>2024</v>
      </c>
      <c r="F340" s="62">
        <v>348</v>
      </c>
      <c r="G340" s="16">
        <v>1</v>
      </c>
      <c r="H340" s="16">
        <v>5</v>
      </c>
      <c r="I340" s="16">
        <v>5</v>
      </c>
      <c r="J340" s="16">
        <v>0</v>
      </c>
      <c r="K340" s="110">
        <f t="shared" si="237"/>
        <v>31.636363636363637</v>
      </c>
      <c r="L340" s="110">
        <f t="shared" si="238"/>
        <v>158.18181818181819</v>
      </c>
      <c r="M340" s="110">
        <f t="shared" si="239"/>
        <v>158.18181818181819</v>
      </c>
      <c r="N340" s="110">
        <f t="shared" si="240"/>
        <v>0</v>
      </c>
    </row>
    <row r="341" spans="1:18" x14ac:dyDescent="0.25">
      <c r="A341" s="6" t="s">
        <v>2</v>
      </c>
      <c r="B341" s="6" t="s">
        <v>42</v>
      </c>
      <c r="C341" s="6" t="s">
        <v>45</v>
      </c>
      <c r="D341" s="6" t="s">
        <v>46</v>
      </c>
      <c r="E341" s="6">
        <v>2024</v>
      </c>
      <c r="F341" s="25">
        <v>2461</v>
      </c>
      <c r="G341" s="16">
        <v>0</v>
      </c>
      <c r="H341" s="16">
        <v>62</v>
      </c>
      <c r="I341" s="16">
        <v>41</v>
      </c>
      <c r="J341" s="16">
        <v>1</v>
      </c>
      <c r="K341" s="110">
        <f t="shared" si="237"/>
        <v>0</v>
      </c>
      <c r="L341" s="110">
        <f t="shared" si="238"/>
        <v>1467.1346153846155</v>
      </c>
      <c r="M341" s="110">
        <f t="shared" si="239"/>
        <v>970.20192307692309</v>
      </c>
      <c r="N341" s="110">
        <f t="shared" si="240"/>
        <v>23.66346153846154</v>
      </c>
    </row>
    <row r="342" spans="1:18" x14ac:dyDescent="0.25">
      <c r="A342" s="14" t="s">
        <v>47</v>
      </c>
      <c r="B342" s="6" t="s">
        <v>42</v>
      </c>
      <c r="C342" s="6" t="s">
        <v>43</v>
      </c>
      <c r="D342" s="6" t="s">
        <v>46</v>
      </c>
      <c r="E342" s="6">
        <v>2024</v>
      </c>
      <c r="F342" s="122">
        <v>0</v>
      </c>
      <c r="G342" s="26"/>
      <c r="H342" s="26"/>
      <c r="I342" s="26"/>
      <c r="J342" s="26"/>
      <c r="K342" s="8">
        <f>+IF($F342=0,0,(G342/(SUM($G342:$J342)))*$F342)</f>
        <v>0</v>
      </c>
      <c r="L342" s="8">
        <f>+IF($F342=0,0,(H342/(SUM($G342:$J342)))*$F342)</f>
        <v>0</v>
      </c>
      <c r="M342" s="8">
        <f>+IF($F342=0,0,(I342/(SUM($G342:$J342)))*$F342)</f>
        <v>0</v>
      </c>
      <c r="N342" s="8">
        <f>+IF($F342=0,0,(J342/(SUM($G342:$J342)))*$F342)</f>
        <v>0</v>
      </c>
    </row>
    <row r="343" spans="1:18" x14ac:dyDescent="0.25">
      <c r="A343" s="14" t="s">
        <v>47</v>
      </c>
      <c r="B343" s="6" t="s">
        <v>42</v>
      </c>
      <c r="C343" s="6" t="s">
        <v>45</v>
      </c>
      <c r="D343" s="6" t="s">
        <v>46</v>
      </c>
      <c r="E343" s="6">
        <v>2024</v>
      </c>
      <c r="F343" s="122">
        <v>53</v>
      </c>
      <c r="G343" s="27"/>
      <c r="H343" s="27"/>
      <c r="I343" s="27"/>
      <c r="J343" s="27"/>
      <c r="K343" s="8">
        <f>+IF(G343="",(G341/(SUM($G341:$J341)))*$F343,(G343/(SUM($G343:$J343)))*$F343)</f>
        <v>0</v>
      </c>
      <c r="L343" s="8">
        <f>+IF(H343="",(H341/(SUM($G341:$J341)))*$F343,(H343/(SUM($G343:$J343)))*$F343)</f>
        <v>31.596153846153847</v>
      </c>
      <c r="M343" s="8">
        <f>+IF(I343="",(I341/(SUM($G341:$J341)))*$F343,(I343/(SUM($G343:$J343)))*$F343)</f>
        <v>20.89423076923077</v>
      </c>
      <c r="N343" s="8">
        <f>+IF(J343="",(J341/(SUM($G341:$J341)))*$F343,(J343/(SUM($G343:$J343)))*$F343)</f>
        <v>0.50961538461538469</v>
      </c>
    </row>
    <row r="344" spans="1:18" x14ac:dyDescent="0.25">
      <c r="A344" s="6" t="s">
        <v>2</v>
      </c>
      <c r="B344" s="6" t="s">
        <v>42</v>
      </c>
      <c r="C344" s="6" t="s">
        <v>48</v>
      </c>
      <c r="D344" s="6" t="s">
        <v>48</v>
      </c>
      <c r="E344" s="6">
        <v>2024</v>
      </c>
      <c r="F344" s="13">
        <v>3305</v>
      </c>
      <c r="G344" s="29"/>
      <c r="H344" s="29"/>
      <c r="I344" s="29"/>
      <c r="J344" s="29"/>
      <c r="K344" s="8">
        <f>+SUM(K339:K341)</f>
        <v>31.636363636363637</v>
      </c>
      <c r="L344" s="8">
        <f>+SUM(L339:L341)</f>
        <v>2121.3164335664337</v>
      </c>
      <c r="M344" s="8">
        <f>+SUM(M339:M341)</f>
        <v>1128.3837412587413</v>
      </c>
      <c r="N344" s="8">
        <f>+SUM(N339:N341)</f>
        <v>23.66346153846154</v>
      </c>
      <c r="O344" s="12">
        <f>K344/$F344</f>
        <v>9.5722734149360483E-3</v>
      </c>
      <c r="P344" s="12">
        <f>L344/$F344</f>
        <v>0.64185066068575902</v>
      </c>
      <c r="Q344" s="12">
        <f>M344/$F344</f>
        <v>0.34141716830824248</v>
      </c>
      <c r="R344" s="12">
        <f>N344/$F344</f>
        <v>7.1598975910624934E-3</v>
      </c>
    </row>
    <row r="345" spans="1:18" ht="15.75" thickBot="1" x14ac:dyDescent="0.3">
      <c r="A345" s="14" t="s">
        <v>49</v>
      </c>
      <c r="B345" s="6" t="s">
        <v>42</v>
      </c>
      <c r="C345" s="6" t="s">
        <v>48</v>
      </c>
      <c r="D345" s="6" t="s">
        <v>48</v>
      </c>
      <c r="E345" s="6">
        <v>2024</v>
      </c>
      <c r="F345" s="30">
        <f>F344+SUM(F342:F343)</f>
        <v>3358</v>
      </c>
      <c r="G345" s="29"/>
      <c r="H345" s="29"/>
      <c r="I345" s="29"/>
      <c r="J345" s="29"/>
      <c r="K345" s="8">
        <f t="shared" ref="K345" si="241">SUM(K339:K343)</f>
        <v>31.636363636363637</v>
      </c>
      <c r="L345" s="8">
        <f>SUM(L339:L343)</f>
        <v>2152.9125874125875</v>
      </c>
      <c r="M345" s="8">
        <f>SUM(M339:M343)</f>
        <v>1149.2779720279721</v>
      </c>
      <c r="N345" s="8">
        <f>SUM(N339:N343)</f>
        <v>24.173076923076923</v>
      </c>
      <c r="O345" s="60">
        <f>K345/$F345</f>
        <v>9.4211922681249668E-3</v>
      </c>
      <c r="P345" s="60">
        <f t="shared" ref="P345" si="242">L345/$F345</f>
        <v>0.64112941852667882</v>
      </c>
      <c r="Q345" s="60">
        <f>M345/$F345</f>
        <v>0.34225073616080171</v>
      </c>
      <c r="R345" s="60">
        <f>N345/$F345</f>
        <v>7.1986530443945576E-3</v>
      </c>
    </row>
    <row r="346" spans="1:18" ht="15.75" thickTop="1" x14ac:dyDescent="0.25">
      <c r="B346" s="35"/>
      <c r="G346" s="14"/>
      <c r="H346" s="14"/>
      <c r="I346" s="14"/>
      <c r="J346" s="14"/>
    </row>
    <row r="347" spans="1:18" x14ac:dyDescent="0.25">
      <c r="A347" s="6" t="s">
        <v>2</v>
      </c>
      <c r="B347" s="6" t="s">
        <v>50</v>
      </c>
      <c r="C347" s="6" t="s">
        <v>43</v>
      </c>
      <c r="D347" s="6" t="s">
        <v>44</v>
      </c>
      <c r="E347" s="6">
        <v>2024</v>
      </c>
      <c r="F347" s="61">
        <v>185</v>
      </c>
      <c r="G347" s="24">
        <v>0</v>
      </c>
      <c r="H347" s="24">
        <v>17</v>
      </c>
      <c r="I347" s="24">
        <v>3</v>
      </c>
      <c r="J347" s="24">
        <v>0</v>
      </c>
      <c r="K347" s="110">
        <f t="shared" ref="K347:K349" si="243">IFERROR(+(G347/(SUM($G347:$J347)))*$F347,0)</f>
        <v>0</v>
      </c>
      <c r="L347" s="110">
        <f t="shared" ref="L347:L349" si="244">IFERROR(+(H347/(SUM($G347:$J347)))*$F347,0)</f>
        <v>157.25</v>
      </c>
      <c r="M347" s="110">
        <f t="shared" ref="M347:M349" si="245">IFERROR(+(I347/(SUM($G347:$J347)))*$F347,0)</f>
        <v>27.75</v>
      </c>
      <c r="N347" s="110">
        <f t="shared" ref="N347:N349" si="246">IFERROR(+(J347/(SUM($G347:$J347)))*$F347,0)</f>
        <v>0</v>
      </c>
    </row>
    <row r="348" spans="1:18" x14ac:dyDescent="0.25">
      <c r="A348" s="6" t="s">
        <v>2</v>
      </c>
      <c r="B348" s="6" t="s">
        <v>50</v>
      </c>
      <c r="C348" s="6" t="s">
        <v>45</v>
      </c>
      <c r="D348" s="6" t="s">
        <v>33</v>
      </c>
      <c r="E348" s="6">
        <v>2024</v>
      </c>
      <c r="F348" s="62">
        <v>248</v>
      </c>
      <c r="G348" s="16">
        <v>0</v>
      </c>
      <c r="H348" s="16">
        <v>10</v>
      </c>
      <c r="I348" s="16">
        <v>16</v>
      </c>
      <c r="J348" s="16">
        <v>0</v>
      </c>
      <c r="K348" s="110">
        <f t="shared" si="243"/>
        <v>0</v>
      </c>
      <c r="L348" s="110">
        <f t="shared" si="244"/>
        <v>95.384615384615387</v>
      </c>
      <c r="M348" s="110">
        <f t="shared" si="245"/>
        <v>152.61538461538461</v>
      </c>
      <c r="N348" s="110">
        <f t="shared" si="246"/>
        <v>0</v>
      </c>
    </row>
    <row r="349" spans="1:18" x14ac:dyDescent="0.25">
      <c r="A349" s="6" t="s">
        <v>2</v>
      </c>
      <c r="B349" s="6" t="s">
        <v>50</v>
      </c>
      <c r="C349" s="6" t="s">
        <v>45</v>
      </c>
      <c r="D349" s="6" t="s">
        <v>46</v>
      </c>
      <c r="E349" s="6">
        <v>2024</v>
      </c>
      <c r="F349" s="25">
        <v>933</v>
      </c>
      <c r="G349" s="16">
        <v>0</v>
      </c>
      <c r="H349" s="16">
        <v>29</v>
      </c>
      <c r="I349" s="16">
        <v>81</v>
      </c>
      <c r="J349" s="16">
        <v>0</v>
      </c>
      <c r="K349" s="110">
        <f t="shared" si="243"/>
        <v>0</v>
      </c>
      <c r="L349" s="110">
        <f t="shared" si="244"/>
        <v>245.97272727272724</v>
      </c>
      <c r="M349" s="110">
        <f t="shared" si="245"/>
        <v>687.0272727272727</v>
      </c>
      <c r="N349" s="110">
        <f t="shared" si="246"/>
        <v>0</v>
      </c>
    </row>
    <row r="350" spans="1:18" x14ac:dyDescent="0.25">
      <c r="A350" s="14" t="s">
        <v>47</v>
      </c>
      <c r="B350" s="6" t="s">
        <v>50</v>
      </c>
      <c r="C350" s="6" t="s">
        <v>43</v>
      </c>
      <c r="D350" s="6" t="s">
        <v>46</v>
      </c>
      <c r="E350" s="6">
        <v>2024</v>
      </c>
      <c r="F350" s="122">
        <v>0</v>
      </c>
      <c r="G350" s="26"/>
      <c r="H350" s="106"/>
      <c r="I350" s="26"/>
      <c r="J350" s="26"/>
      <c r="K350" s="8">
        <f>+IF($F350=0,0,(G350/(SUM($G350:$J350)))*$F350)</f>
        <v>0</v>
      </c>
      <c r="L350" s="8">
        <f>+IF($F350=0,0,(H350/(SUM($G350:$J350)))*$F350)</f>
        <v>0</v>
      </c>
      <c r="M350" s="8">
        <f>+IF($F350=0,0,(I350/(SUM($G350:$J350)))*$F350)</f>
        <v>0</v>
      </c>
      <c r="N350" s="8">
        <f>+IF($F350=0,0,(J350/(SUM($G350:$J350)))*$F350)</f>
        <v>0</v>
      </c>
    </row>
    <row r="351" spans="1:18" x14ac:dyDescent="0.25">
      <c r="A351" s="14" t="s">
        <v>47</v>
      </c>
      <c r="B351" s="6" t="s">
        <v>50</v>
      </c>
      <c r="C351" s="6" t="s">
        <v>45</v>
      </c>
      <c r="D351" s="6" t="s">
        <v>46</v>
      </c>
      <c r="E351" s="6">
        <v>2024</v>
      </c>
      <c r="F351" s="122">
        <v>53</v>
      </c>
      <c r="G351" s="27"/>
      <c r="H351" s="27"/>
      <c r="I351" s="27"/>
      <c r="J351" s="27"/>
      <c r="K351" s="8">
        <f>+IF(G351="",(G349/(SUM($G349:$J349)))*$F351,(G351/(SUM($G351:$J351)))*$F351)</f>
        <v>0</v>
      </c>
      <c r="L351" s="8">
        <f>+IF(H351="",(H349/(SUM($G349:$J349)))*$F351,(H351/(SUM($G351:$J351)))*$F351)</f>
        <v>13.972727272727271</v>
      </c>
      <c r="M351" s="8">
        <f>+IF(I351="",(I349/(SUM($G349:$J349)))*$F351,(I351/(SUM($G351:$J351)))*$F351)</f>
        <v>39.027272727272724</v>
      </c>
      <c r="N351" s="8">
        <f>+IF(J351="",(J349/(SUM($G349:$J349)))*$F351,(J351/(SUM($G351:$J351)))*$F351)</f>
        <v>0</v>
      </c>
    </row>
    <row r="352" spans="1:18" x14ac:dyDescent="0.25">
      <c r="A352" s="6" t="s">
        <v>2</v>
      </c>
      <c r="B352" s="6" t="s">
        <v>50</v>
      </c>
      <c r="C352" s="6" t="s">
        <v>48</v>
      </c>
      <c r="D352" s="6" t="s">
        <v>48</v>
      </c>
      <c r="E352" s="6">
        <v>2024</v>
      </c>
      <c r="F352" s="13">
        <v>1366</v>
      </c>
      <c r="G352" s="29"/>
      <c r="H352" s="29"/>
      <c r="I352" s="29"/>
      <c r="J352" s="29"/>
      <c r="K352" s="8">
        <f>+SUM(K347:K349)</f>
        <v>0</v>
      </c>
      <c r="L352" s="8">
        <f>+SUM(L347:L349)</f>
        <v>498.60734265734266</v>
      </c>
      <c r="M352" s="8">
        <f>+SUM(M347:M349)</f>
        <v>867.39265734265734</v>
      </c>
      <c r="N352" s="8">
        <f>+SUM(N347:N349)</f>
        <v>0</v>
      </c>
      <c r="O352" s="12">
        <f>K352/$F352</f>
        <v>0</v>
      </c>
      <c r="P352" s="12">
        <f>L352/$F352</f>
        <v>0.36501269594241775</v>
      </c>
      <c r="Q352" s="12">
        <f>M352/$F352</f>
        <v>0.63498730405758219</v>
      </c>
      <c r="R352" s="12">
        <f>N352/$F352</f>
        <v>0</v>
      </c>
    </row>
    <row r="353" spans="1:18" ht="15.75" thickBot="1" x14ac:dyDescent="0.3">
      <c r="A353" s="14" t="s">
        <v>49</v>
      </c>
      <c r="B353" s="6" t="s">
        <v>50</v>
      </c>
      <c r="C353" s="6" t="s">
        <v>48</v>
      </c>
      <c r="D353" s="6" t="s">
        <v>48</v>
      </c>
      <c r="E353" s="6">
        <v>2024</v>
      </c>
      <c r="F353" s="30">
        <f>F352+SUM(F350:F351)</f>
        <v>1419</v>
      </c>
      <c r="G353" s="29"/>
      <c r="H353" s="29"/>
      <c r="I353" s="29"/>
      <c r="J353" s="29"/>
      <c r="K353" s="8">
        <f t="shared" ref="K353" si="247">SUM(K347:K351)</f>
        <v>0</v>
      </c>
      <c r="L353" s="8">
        <f>SUM(L347:L351)</f>
        <v>512.58006993006995</v>
      </c>
      <c r="M353" s="8">
        <f>SUM(M347:M351)</f>
        <v>906.41993006993005</v>
      </c>
      <c r="N353" s="8">
        <f>SUM(N347:N351)</f>
        <v>0</v>
      </c>
      <c r="O353" s="60">
        <f>K353/$F353</f>
        <v>0</v>
      </c>
      <c r="P353" s="60">
        <f t="shared" ref="P353" si="248">L353/$F353</f>
        <v>0.36122626492605353</v>
      </c>
      <c r="Q353" s="60">
        <f>M353/$F353</f>
        <v>0.63877373507394652</v>
      </c>
      <c r="R353" s="60">
        <f>N353/$F353</f>
        <v>0</v>
      </c>
    </row>
    <row r="354" spans="1:18" ht="15.75" thickTop="1" x14ac:dyDescent="0.25">
      <c r="B354" s="35"/>
      <c r="G354" s="14"/>
      <c r="H354" s="14"/>
      <c r="I354" s="14"/>
      <c r="J354" s="14"/>
    </row>
    <row r="355" spans="1:18" x14ac:dyDescent="0.25">
      <c r="A355" s="6" t="s">
        <v>2</v>
      </c>
      <c r="B355" s="6" t="s">
        <v>51</v>
      </c>
      <c r="C355" s="6" t="s">
        <v>43</v>
      </c>
      <c r="D355" s="6" t="s">
        <v>44</v>
      </c>
      <c r="E355" s="6">
        <v>2024</v>
      </c>
      <c r="F355" s="61">
        <v>80</v>
      </c>
      <c r="G355" s="24">
        <v>0</v>
      </c>
      <c r="H355" s="24">
        <v>0</v>
      </c>
      <c r="I355" s="24">
        <v>0</v>
      </c>
      <c r="J355" s="24">
        <v>0</v>
      </c>
      <c r="K355" s="110">
        <f>IFERROR(+(G357/(SUM($G357:$J357)))*$F355,0)</f>
        <v>80</v>
      </c>
      <c r="L355" s="110">
        <f t="shared" ref="L355:L357" si="249">IFERROR(+(H355/(SUM($G355:$J355)))*$F355,0)</f>
        <v>0</v>
      </c>
      <c r="M355" s="110">
        <f t="shared" ref="M355:M357" si="250">IFERROR(+(I355/(SUM($G355:$J355)))*$F355,0)</f>
        <v>0</v>
      </c>
      <c r="N355" s="110">
        <f t="shared" ref="N355:N357" si="251">IFERROR(+(J355/(SUM($G355:$J355)))*$F355,0)</f>
        <v>0</v>
      </c>
    </row>
    <row r="356" spans="1:18" x14ac:dyDescent="0.25">
      <c r="A356" s="6" t="s">
        <v>2</v>
      </c>
      <c r="B356" s="6" t="s">
        <v>51</v>
      </c>
      <c r="C356" s="6" t="s">
        <v>45</v>
      </c>
      <c r="D356" s="6" t="s">
        <v>33</v>
      </c>
      <c r="E356" s="6">
        <v>2024</v>
      </c>
      <c r="F356" s="62">
        <v>2</v>
      </c>
      <c r="G356" s="16">
        <v>0</v>
      </c>
      <c r="H356" s="16">
        <v>0</v>
      </c>
      <c r="I356" s="16">
        <v>0</v>
      </c>
      <c r="J356" s="16">
        <v>0</v>
      </c>
      <c r="K356" s="110">
        <f>IFERROR(+(G357/(SUM($G357:$J357)))*$F356,0)</f>
        <v>2</v>
      </c>
      <c r="L356" s="110">
        <f t="shared" si="249"/>
        <v>0</v>
      </c>
      <c r="M356" s="110">
        <f t="shared" si="250"/>
        <v>0</v>
      </c>
      <c r="N356" s="110">
        <f t="shared" si="251"/>
        <v>0</v>
      </c>
    </row>
    <row r="357" spans="1:18" x14ac:dyDescent="0.25">
      <c r="A357" s="6" t="s">
        <v>2</v>
      </c>
      <c r="B357" s="6" t="s">
        <v>51</v>
      </c>
      <c r="C357" s="6" t="s">
        <v>45</v>
      </c>
      <c r="D357" s="6" t="s">
        <v>46</v>
      </c>
      <c r="E357" s="6">
        <v>2024</v>
      </c>
      <c r="F357" s="25">
        <f>+F360-SUM(F355:F356)</f>
        <v>199</v>
      </c>
      <c r="G357" s="16">
        <v>2</v>
      </c>
      <c r="H357" s="16">
        <v>0</v>
      </c>
      <c r="I357" s="16">
        <v>0</v>
      </c>
      <c r="J357" s="16">
        <v>0</v>
      </c>
      <c r="K357" s="110">
        <f t="shared" ref="K357" si="252">IFERROR(+(G357/(SUM($G357:$J357)))*$F357,0)</f>
        <v>199</v>
      </c>
      <c r="L357" s="110">
        <f t="shared" si="249"/>
        <v>0</v>
      </c>
      <c r="M357" s="110">
        <f t="shared" si="250"/>
        <v>0</v>
      </c>
      <c r="N357" s="110">
        <f t="shared" si="251"/>
        <v>0</v>
      </c>
    </row>
    <row r="358" spans="1:18" x14ac:dyDescent="0.25">
      <c r="A358" s="14" t="s">
        <v>47</v>
      </c>
      <c r="B358" s="6" t="s">
        <v>51</v>
      </c>
      <c r="C358" s="6" t="s">
        <v>43</v>
      </c>
      <c r="D358" s="6" t="s">
        <v>46</v>
      </c>
      <c r="E358" s="6">
        <v>2024</v>
      </c>
      <c r="F358" s="122">
        <v>0</v>
      </c>
      <c r="G358" s="26"/>
      <c r="H358" s="26"/>
      <c r="I358" s="26"/>
      <c r="J358" s="26"/>
      <c r="K358" s="8">
        <f>+IF($F358=0,0,(G358/(SUM($G358:$J358)))*$F358)</f>
        <v>0</v>
      </c>
      <c r="L358" s="8">
        <f>+IF($F358=0,0,(H358/(SUM($G358:$J358)))*$F358)</f>
        <v>0</v>
      </c>
      <c r="M358" s="8">
        <f>+IF($F358=0,0,(I358/(SUM($G358:$J358)))*$F358)</f>
        <v>0</v>
      </c>
      <c r="N358" s="8">
        <f>+IF($F358=0,0,(J358/(SUM($G358:$J358)))*$F358)</f>
        <v>0</v>
      </c>
    </row>
    <row r="359" spans="1:18" x14ac:dyDescent="0.25">
      <c r="A359" s="14" t="s">
        <v>47</v>
      </c>
      <c r="B359" s="6" t="s">
        <v>51</v>
      </c>
      <c r="C359" s="6" t="s">
        <v>45</v>
      </c>
      <c r="D359" s="6" t="s">
        <v>46</v>
      </c>
      <c r="E359" s="6">
        <v>2024</v>
      </c>
      <c r="F359" s="122">
        <v>0</v>
      </c>
      <c r="G359" s="27"/>
      <c r="H359" s="27"/>
      <c r="I359" s="27"/>
      <c r="J359" s="27"/>
      <c r="K359" s="8"/>
      <c r="L359" s="8"/>
      <c r="M359" s="8"/>
      <c r="N359" s="8"/>
    </row>
    <row r="360" spans="1:18" x14ac:dyDescent="0.25">
      <c r="A360" s="6" t="s">
        <v>2</v>
      </c>
      <c r="B360" s="6" t="s">
        <v>51</v>
      </c>
      <c r="C360" s="6" t="s">
        <v>48</v>
      </c>
      <c r="D360" s="6" t="s">
        <v>48</v>
      </c>
      <c r="E360" s="6">
        <v>2024</v>
      </c>
      <c r="F360" s="13">
        <v>281</v>
      </c>
      <c r="G360" s="29"/>
      <c r="H360" s="29"/>
      <c r="I360" s="29"/>
      <c r="J360" s="29"/>
      <c r="K360" s="8">
        <f>+SUM(K355:K357)</f>
        <v>281</v>
      </c>
      <c r="L360" s="8">
        <f>+SUM(L355:L357)</f>
        <v>0</v>
      </c>
      <c r="M360" s="8">
        <f>+SUM(M355:M357)</f>
        <v>0</v>
      </c>
      <c r="N360" s="8">
        <f>+SUM(N355:N357)</f>
        <v>0</v>
      </c>
      <c r="O360" s="12">
        <f>K360/$F360</f>
        <v>1</v>
      </c>
      <c r="P360" s="12">
        <f>L360/$F360</f>
        <v>0</v>
      </c>
      <c r="Q360" s="12">
        <f>M360/$F360</f>
        <v>0</v>
      </c>
      <c r="R360" s="12">
        <f>N360/$F360</f>
        <v>0</v>
      </c>
    </row>
    <row r="361" spans="1:18" ht="15.75" thickBot="1" x14ac:dyDescent="0.3">
      <c r="A361" s="50" t="s">
        <v>49</v>
      </c>
      <c r="B361" s="39" t="s">
        <v>51</v>
      </c>
      <c r="C361" s="39" t="s">
        <v>48</v>
      </c>
      <c r="D361" s="39" t="s">
        <v>48</v>
      </c>
      <c r="E361" s="6">
        <v>2024</v>
      </c>
      <c r="F361" s="30">
        <f>F360+SUM(F358:F359)</f>
        <v>281</v>
      </c>
      <c r="G361" s="58"/>
      <c r="H361" s="58"/>
      <c r="I361" s="58"/>
      <c r="J361" s="58"/>
      <c r="K361" s="8">
        <f t="shared" ref="K361" si="253">SUM(K355:K359)</f>
        <v>281</v>
      </c>
      <c r="L361" s="8">
        <f>SUM(L355:L359)</f>
        <v>0</v>
      </c>
      <c r="M361" s="8">
        <f>SUM(M355:M359)</f>
        <v>0</v>
      </c>
      <c r="N361" s="8">
        <f>SUM(N355:N359)</f>
        <v>0</v>
      </c>
      <c r="O361" s="60">
        <f>K361/$F361</f>
        <v>1</v>
      </c>
      <c r="P361" s="60">
        <f t="shared" ref="P361" si="254">L361/$F361</f>
        <v>0</v>
      </c>
      <c r="Q361" s="60">
        <f>M361/$F361</f>
        <v>0</v>
      </c>
      <c r="R361" s="60">
        <f>N361/$F361</f>
        <v>0</v>
      </c>
    </row>
    <row r="362" spans="1:18" ht="15.75" thickTop="1" x14ac:dyDescent="0.25"/>
  </sheetData>
  <pageMargins left="0.7" right="0.7" top="0.75" bottom="0.75" header="0.3" footer="0.3"/>
  <pageSetup orientation="portrait" r:id="rId1"/>
  <headerFooter>
    <oddHeader>&amp;R&amp;"Calibri"&amp;12&amp;K000000 Unclassified - Non-Classifié&amp;1#_x000D_</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X209"/>
  <sheetViews>
    <sheetView tabSelected="1" zoomScaleNormal="100" workbookViewId="0">
      <pane ySplit="4" topLeftCell="A59" activePane="bottomLeft" state="frozen"/>
      <selection pane="bottomLeft" activeCell="I59" sqref="I59"/>
    </sheetView>
  </sheetViews>
  <sheetFormatPr defaultColWidth="9.140625" defaultRowHeight="15" x14ac:dyDescent="0.25"/>
  <cols>
    <col min="1" max="1" width="25.7109375" style="6" bestFit="1" customWidth="1"/>
    <col min="2" max="2" width="16.28515625" style="6" bestFit="1" customWidth="1"/>
    <col min="3" max="3" width="12" style="6" bestFit="1" customWidth="1"/>
    <col min="4" max="4" width="12" style="6" customWidth="1"/>
    <col min="5" max="5" width="4.140625" style="6" bestFit="1" customWidth="1"/>
    <col min="6" max="6" width="10.5703125" style="6" bestFit="1" customWidth="1"/>
    <col min="7" max="7" width="9.42578125" style="6" bestFit="1" customWidth="1"/>
    <col min="8" max="9" width="22" style="6" customWidth="1"/>
    <col min="10" max="10" width="33.140625" style="6" customWidth="1"/>
    <col min="11" max="13" width="27" style="6" customWidth="1"/>
    <col min="14" max="16384" width="9.140625" style="6"/>
  </cols>
  <sheetData>
    <row r="1" spans="1:12" x14ac:dyDescent="0.25">
      <c r="A1" s="6" t="s">
        <v>3127</v>
      </c>
    </row>
    <row r="2" spans="1:12" x14ac:dyDescent="0.25">
      <c r="A2" s="6" t="s">
        <v>3128</v>
      </c>
    </row>
    <row r="3" spans="1:12" x14ac:dyDescent="0.25">
      <c r="A3" s="123" t="s">
        <v>3129</v>
      </c>
    </row>
    <row r="4" spans="1:12" x14ac:dyDescent="0.25">
      <c r="A4"/>
      <c r="B4" s="10" t="s">
        <v>76</v>
      </c>
      <c r="C4"/>
      <c r="D4" s="6" t="s">
        <v>77</v>
      </c>
      <c r="E4" s="6" t="s">
        <v>78</v>
      </c>
      <c r="F4" s="6" t="s">
        <v>79</v>
      </c>
      <c r="G4" s="6" t="s">
        <v>80</v>
      </c>
      <c r="H4" s="6" t="s">
        <v>81</v>
      </c>
      <c r="I4" s="6" t="s">
        <v>82</v>
      </c>
      <c r="J4" s="6" t="s">
        <v>83</v>
      </c>
      <c r="K4" s="6" t="s">
        <v>43</v>
      </c>
      <c r="L4" s="6" t="s">
        <v>3117</v>
      </c>
    </row>
    <row r="5" spans="1:12" x14ac:dyDescent="0.25">
      <c r="A5" s="10" t="s">
        <v>0</v>
      </c>
      <c r="B5" s="6" t="s">
        <v>43</v>
      </c>
      <c r="C5" s="6" t="s">
        <v>45</v>
      </c>
      <c r="D5" s="6" t="s">
        <v>77</v>
      </c>
      <c r="E5" s="6" t="s">
        <v>78</v>
      </c>
      <c r="F5" s="6" t="s">
        <v>79</v>
      </c>
      <c r="G5" s="6" t="s">
        <v>84</v>
      </c>
      <c r="H5" s="6" t="s">
        <v>85</v>
      </c>
      <c r="I5" s="6" t="s">
        <v>86</v>
      </c>
      <c r="J5" s="6" t="s">
        <v>67</v>
      </c>
      <c r="L5" s="6" t="s">
        <v>3116</v>
      </c>
    </row>
    <row r="6" spans="1:12" x14ac:dyDescent="0.25">
      <c r="A6" s="11">
        <v>2010</v>
      </c>
      <c r="B6" s="20"/>
      <c r="C6" s="20"/>
    </row>
    <row r="7" spans="1:12" x14ac:dyDescent="0.25">
      <c r="A7" s="21" t="s">
        <v>57</v>
      </c>
      <c r="B7" s="20">
        <v>0</v>
      </c>
      <c r="C7" s="20">
        <v>44.751014357053684</v>
      </c>
      <c r="D7" s="6">
        <v>2010</v>
      </c>
      <c r="E7" s="6">
        <v>3</v>
      </c>
      <c r="F7" s="6">
        <f>D7-E7</f>
        <v>2007</v>
      </c>
      <c r="G7" s="6" t="str">
        <f>CONCATENATE(D7,".",E7)</f>
        <v>2010.3</v>
      </c>
      <c r="H7" s="6">
        <f>C7</f>
        <v>44.751014357053684</v>
      </c>
      <c r="I7" s="6">
        <f>+VLOOKUP(G7,'Scale-CWT correction factors'!J$4:L$333,3,FALSE)</f>
        <v>0</v>
      </c>
      <c r="J7" s="6">
        <f>I7+B7</f>
        <v>0</v>
      </c>
      <c r="K7" s="6">
        <f>+B7</f>
        <v>0</v>
      </c>
      <c r="L7" s="6">
        <f>H7+B7</f>
        <v>44.751014357053684</v>
      </c>
    </row>
    <row r="8" spans="1:12" x14ac:dyDescent="0.25">
      <c r="A8" s="21" t="s">
        <v>56</v>
      </c>
      <c r="B8" s="20">
        <v>0</v>
      </c>
      <c r="C8" s="20">
        <v>3880.8798690109156</v>
      </c>
      <c r="D8" s="6">
        <v>2010</v>
      </c>
      <c r="E8" s="6">
        <v>4</v>
      </c>
      <c r="F8" s="6">
        <f t="shared" ref="F8:F47" si="0">D8-E8</f>
        <v>2006</v>
      </c>
      <c r="G8" s="6" t="str">
        <f t="shared" ref="G8:G47" si="1">CONCATENATE(D8,".",E8)</f>
        <v>2010.4</v>
      </c>
      <c r="H8" s="6">
        <f t="shared" ref="H8:H55" si="2">C8</f>
        <v>3880.8798690109156</v>
      </c>
      <c r="I8" s="6">
        <f>+VLOOKUP(G8,'Scale-CWT correction factors'!J$4:L$333,3,FALSE)</f>
        <v>0</v>
      </c>
      <c r="J8" s="6">
        <f t="shared" ref="J8:J55" si="3">I8+B8</f>
        <v>0</v>
      </c>
      <c r="K8" s="6">
        <f t="shared" ref="K8:K55" si="4">+B8</f>
        <v>0</v>
      </c>
      <c r="L8" s="6">
        <f t="shared" ref="L8:L45" si="5">H8+B8</f>
        <v>3880.8798690109156</v>
      </c>
    </row>
    <row r="9" spans="1:12" x14ac:dyDescent="0.25">
      <c r="A9" s="21" t="s">
        <v>58</v>
      </c>
      <c r="B9" s="20">
        <v>0</v>
      </c>
      <c r="C9" s="20">
        <v>3241.3351428742781</v>
      </c>
      <c r="D9" s="6">
        <v>2010</v>
      </c>
      <c r="E9" s="6">
        <v>5</v>
      </c>
      <c r="F9" s="6">
        <f t="shared" si="0"/>
        <v>2005</v>
      </c>
      <c r="G9" s="6" t="str">
        <f t="shared" si="1"/>
        <v>2010.5</v>
      </c>
      <c r="H9" s="6">
        <f>C9</f>
        <v>3241.3351428742781</v>
      </c>
      <c r="I9" s="6">
        <f>+VLOOKUP(G9,'Scale-CWT correction factors'!J$4:L$333,3,FALSE)</f>
        <v>0</v>
      </c>
      <c r="J9" s="6">
        <f t="shared" si="3"/>
        <v>0</v>
      </c>
      <c r="K9" s="6">
        <f t="shared" si="4"/>
        <v>0</v>
      </c>
      <c r="L9" s="6">
        <f t="shared" si="5"/>
        <v>3241.3351428742781</v>
      </c>
    </row>
    <row r="10" spans="1:12" x14ac:dyDescent="0.25">
      <c r="A10" s="21" t="s">
        <v>59</v>
      </c>
      <c r="B10" s="20">
        <v>0</v>
      </c>
      <c r="C10" s="20">
        <v>351.03397375775205</v>
      </c>
      <c r="D10" s="6">
        <v>2010</v>
      </c>
      <c r="E10" s="6">
        <v>6</v>
      </c>
      <c r="F10" s="6">
        <f t="shared" si="0"/>
        <v>2004</v>
      </c>
      <c r="G10" s="6" t="str">
        <f t="shared" si="1"/>
        <v>2010.6</v>
      </c>
      <c r="H10" s="6">
        <f>C10</f>
        <v>351.03397375775205</v>
      </c>
      <c r="I10" s="6">
        <f>+VLOOKUP(G10,'Scale-CWT correction factors'!J$4:L$333,3,FALSE)</f>
        <v>0</v>
      </c>
      <c r="J10" s="6">
        <f t="shared" si="3"/>
        <v>0</v>
      </c>
      <c r="K10" s="6">
        <f t="shared" si="4"/>
        <v>0</v>
      </c>
      <c r="L10" s="6">
        <f t="shared" si="5"/>
        <v>351.03397375775205</v>
      </c>
    </row>
    <row r="11" spans="1:12" x14ac:dyDescent="0.25">
      <c r="A11" s="11">
        <v>2011</v>
      </c>
      <c r="B11" s="20"/>
      <c r="C11" s="20"/>
    </row>
    <row r="12" spans="1:12" x14ac:dyDescent="0.25">
      <c r="A12" s="21" t="s">
        <v>57</v>
      </c>
      <c r="B12" s="20">
        <v>0</v>
      </c>
      <c r="C12" s="20">
        <v>19</v>
      </c>
      <c r="D12" s="6">
        <v>2011</v>
      </c>
      <c r="E12" s="6">
        <v>3</v>
      </c>
      <c r="F12" s="6">
        <f t="shared" si="0"/>
        <v>2008</v>
      </c>
      <c r="G12" s="6" t="str">
        <f t="shared" si="1"/>
        <v>2011.3</v>
      </c>
      <c r="H12" s="6">
        <f>C12</f>
        <v>19</v>
      </c>
      <c r="I12" s="6">
        <f>+VLOOKUP(G12,'Scale-CWT correction factors'!J$4:L$333,3,FALSE)</f>
        <v>0</v>
      </c>
      <c r="J12" s="6">
        <f t="shared" si="3"/>
        <v>0</v>
      </c>
      <c r="K12" s="6">
        <f t="shared" si="4"/>
        <v>0</v>
      </c>
      <c r="L12" s="6">
        <f t="shared" si="5"/>
        <v>19</v>
      </c>
    </row>
    <row r="13" spans="1:12" x14ac:dyDescent="0.25">
      <c r="A13" s="21" t="s">
        <v>56</v>
      </c>
      <c r="B13" s="20">
        <v>0</v>
      </c>
      <c r="C13" s="20">
        <v>1405.2216040009296</v>
      </c>
      <c r="D13" s="6">
        <v>2011</v>
      </c>
      <c r="E13" s="6">
        <v>4</v>
      </c>
      <c r="F13" s="6">
        <f t="shared" si="0"/>
        <v>2007</v>
      </c>
      <c r="G13" s="6" t="str">
        <f t="shared" si="1"/>
        <v>2011.4</v>
      </c>
      <c r="H13" s="6">
        <f>C13</f>
        <v>1405.2216040009296</v>
      </c>
      <c r="I13" s="6">
        <f>+VLOOKUP(G13,'Scale-CWT correction factors'!J$4:L$333,3,FALSE)</f>
        <v>0</v>
      </c>
      <c r="J13" s="6">
        <f t="shared" si="3"/>
        <v>0</v>
      </c>
      <c r="K13" s="6">
        <f t="shared" si="4"/>
        <v>0</v>
      </c>
      <c r="L13" s="6">
        <f t="shared" si="5"/>
        <v>1405.2216040009296</v>
      </c>
    </row>
    <row r="14" spans="1:12" x14ac:dyDescent="0.25">
      <c r="A14" s="21" t="s">
        <v>58</v>
      </c>
      <c r="B14" s="20">
        <v>0</v>
      </c>
      <c r="C14" s="20">
        <v>6811.3083797317649</v>
      </c>
      <c r="D14" s="6">
        <v>2011</v>
      </c>
      <c r="E14" s="6">
        <v>5</v>
      </c>
      <c r="F14" s="6">
        <f t="shared" si="0"/>
        <v>2006</v>
      </c>
      <c r="G14" s="6" t="str">
        <f t="shared" si="1"/>
        <v>2011.5</v>
      </c>
      <c r="H14" s="6">
        <f t="shared" si="2"/>
        <v>6811.3083797317649</v>
      </c>
      <c r="I14" s="6">
        <f>+VLOOKUP(G14,'Scale-CWT correction factors'!J$4:L$333,3,FALSE)</f>
        <v>0</v>
      </c>
      <c r="J14" s="6">
        <f t="shared" si="3"/>
        <v>0</v>
      </c>
      <c r="K14" s="6">
        <f t="shared" si="4"/>
        <v>0</v>
      </c>
      <c r="L14" s="6">
        <f t="shared" si="5"/>
        <v>6811.3083797317649</v>
      </c>
    </row>
    <row r="15" spans="1:12" x14ac:dyDescent="0.25">
      <c r="A15" s="21" t="s">
        <v>59</v>
      </c>
      <c r="B15" s="20">
        <v>0</v>
      </c>
      <c r="C15" s="20">
        <v>179.47001626730588</v>
      </c>
      <c r="D15" s="6">
        <v>2011</v>
      </c>
      <c r="E15" s="6">
        <v>6</v>
      </c>
      <c r="F15" s="6">
        <f t="shared" si="0"/>
        <v>2005</v>
      </c>
      <c r="G15" s="6" t="str">
        <f t="shared" si="1"/>
        <v>2011.6</v>
      </c>
      <c r="H15" s="6">
        <f t="shared" si="2"/>
        <v>179.47001626730588</v>
      </c>
      <c r="I15" s="6">
        <f>+VLOOKUP(G15,'Scale-CWT correction factors'!J$4:L$333,3,FALSE)</f>
        <v>0</v>
      </c>
      <c r="J15" s="6">
        <f t="shared" si="3"/>
        <v>0</v>
      </c>
      <c r="K15" s="6">
        <f t="shared" si="4"/>
        <v>0</v>
      </c>
      <c r="L15" s="6">
        <f t="shared" si="5"/>
        <v>179.47001626730588</v>
      </c>
    </row>
    <row r="16" spans="1:12" x14ac:dyDescent="0.25">
      <c r="A16" s="11">
        <v>2012</v>
      </c>
      <c r="B16" s="20"/>
      <c r="C16" s="20"/>
    </row>
    <row r="17" spans="1:12" x14ac:dyDescent="0.25">
      <c r="A17" s="21" t="s">
        <v>57</v>
      </c>
      <c r="B17" s="20">
        <v>0</v>
      </c>
      <c r="C17" s="20">
        <v>176.92207269381183</v>
      </c>
      <c r="D17" s="6">
        <v>2012</v>
      </c>
      <c r="E17" s="6">
        <v>3</v>
      </c>
      <c r="F17" s="6">
        <f t="shared" si="0"/>
        <v>2009</v>
      </c>
      <c r="G17" s="6" t="str">
        <f t="shared" si="1"/>
        <v>2012.3</v>
      </c>
      <c r="H17" s="6">
        <f t="shared" si="2"/>
        <v>176.92207269381183</v>
      </c>
      <c r="I17" s="6">
        <f>+VLOOKUP(G17,'Scale-CWT correction factors'!J$4:L$333,3,FALSE)</f>
        <v>0</v>
      </c>
      <c r="J17" s="6">
        <f t="shared" si="3"/>
        <v>0</v>
      </c>
      <c r="K17" s="6">
        <f t="shared" si="4"/>
        <v>0</v>
      </c>
      <c r="L17" s="6">
        <f t="shared" si="5"/>
        <v>176.92207269381183</v>
      </c>
    </row>
    <row r="18" spans="1:12" x14ac:dyDescent="0.25">
      <c r="A18" s="21" t="s">
        <v>56</v>
      </c>
      <c r="B18" s="20">
        <v>0</v>
      </c>
      <c r="C18" s="20">
        <v>1411.3554609481762</v>
      </c>
      <c r="D18" s="6">
        <v>2012</v>
      </c>
      <c r="E18" s="6">
        <v>4</v>
      </c>
      <c r="F18" s="6">
        <f t="shared" si="0"/>
        <v>2008</v>
      </c>
      <c r="G18" s="6" t="str">
        <f t="shared" si="1"/>
        <v>2012.4</v>
      </c>
      <c r="H18" s="6">
        <f t="shared" si="2"/>
        <v>1411.3554609481762</v>
      </c>
      <c r="I18" s="6">
        <f>+VLOOKUP(G18,'Scale-CWT correction factors'!J$4:L$333,3,FALSE)</f>
        <v>0</v>
      </c>
      <c r="J18" s="6">
        <f t="shared" si="3"/>
        <v>0</v>
      </c>
      <c r="K18" s="6">
        <f t="shared" si="4"/>
        <v>0</v>
      </c>
      <c r="L18" s="6">
        <f t="shared" si="5"/>
        <v>1411.3554609481762</v>
      </c>
    </row>
    <row r="19" spans="1:12" x14ac:dyDescent="0.25">
      <c r="A19" s="21" t="s">
        <v>58</v>
      </c>
      <c r="B19" s="20">
        <v>0</v>
      </c>
      <c r="C19" s="20">
        <v>2626.4035134225169</v>
      </c>
      <c r="D19" s="6">
        <v>2012</v>
      </c>
      <c r="E19" s="6">
        <v>5</v>
      </c>
      <c r="F19" s="6">
        <f t="shared" si="0"/>
        <v>2007</v>
      </c>
      <c r="G19" s="6" t="str">
        <f t="shared" si="1"/>
        <v>2012.5</v>
      </c>
      <c r="H19" s="6">
        <f t="shared" si="2"/>
        <v>2626.4035134225169</v>
      </c>
      <c r="I19" s="6">
        <f>+VLOOKUP(G19,'Scale-CWT correction factors'!J$4:L$333,3,FALSE)</f>
        <v>0</v>
      </c>
      <c r="J19" s="6">
        <f t="shared" si="3"/>
        <v>0</v>
      </c>
      <c r="K19" s="6">
        <f t="shared" si="4"/>
        <v>0</v>
      </c>
      <c r="L19" s="6">
        <f t="shared" si="5"/>
        <v>2626.4035134225169</v>
      </c>
    </row>
    <row r="20" spans="1:12" x14ac:dyDescent="0.25">
      <c r="A20" s="21" t="s">
        <v>59</v>
      </c>
      <c r="B20" s="20">
        <v>0</v>
      </c>
      <c r="C20" s="20">
        <v>72.318952935494821</v>
      </c>
      <c r="D20" s="6">
        <v>2012</v>
      </c>
      <c r="E20" s="6">
        <v>6</v>
      </c>
      <c r="F20" s="6">
        <f t="shared" si="0"/>
        <v>2006</v>
      </c>
      <c r="G20" s="6" t="str">
        <f t="shared" si="1"/>
        <v>2012.6</v>
      </c>
      <c r="H20" s="6">
        <f t="shared" si="2"/>
        <v>72.318952935494821</v>
      </c>
      <c r="I20" s="6">
        <f>+VLOOKUP(G20,'Scale-CWT correction factors'!J$4:L$333,3,FALSE)</f>
        <v>0</v>
      </c>
      <c r="J20" s="6">
        <f t="shared" si="3"/>
        <v>0</v>
      </c>
      <c r="K20" s="6">
        <f t="shared" si="4"/>
        <v>0</v>
      </c>
      <c r="L20" s="6">
        <f t="shared" si="5"/>
        <v>72.318952935494821</v>
      </c>
    </row>
    <row r="21" spans="1:12" x14ac:dyDescent="0.25">
      <c r="A21" s="11">
        <v>2013</v>
      </c>
      <c r="B21" s="20"/>
      <c r="C21" s="20"/>
    </row>
    <row r="22" spans="1:12" x14ac:dyDescent="0.25">
      <c r="A22" s="21" t="s">
        <v>57</v>
      </c>
      <c r="B22" s="20">
        <v>0</v>
      </c>
      <c r="C22" s="20">
        <v>400.75590451345658</v>
      </c>
      <c r="D22" s="6">
        <v>2013</v>
      </c>
      <c r="E22" s="6">
        <v>3</v>
      </c>
      <c r="F22" s="6">
        <f t="shared" si="0"/>
        <v>2010</v>
      </c>
      <c r="G22" s="6" t="str">
        <f t="shared" si="1"/>
        <v>2013.3</v>
      </c>
      <c r="H22" s="6">
        <f t="shared" si="2"/>
        <v>400.75590451345658</v>
      </c>
      <c r="I22" s="6">
        <f>+VLOOKUP(G22,'Scale-CWT correction factors'!J$4:L$333,3,FALSE)</f>
        <v>0</v>
      </c>
      <c r="J22" s="6">
        <f t="shared" si="3"/>
        <v>0</v>
      </c>
      <c r="K22" s="6">
        <f t="shared" si="4"/>
        <v>0</v>
      </c>
      <c r="L22" s="6">
        <f t="shared" si="5"/>
        <v>400.75590451345658</v>
      </c>
    </row>
    <row r="23" spans="1:12" x14ac:dyDescent="0.25">
      <c r="A23" s="21" t="s">
        <v>56</v>
      </c>
      <c r="B23" s="20">
        <v>0</v>
      </c>
      <c r="C23" s="20">
        <v>2495.8152482962564</v>
      </c>
      <c r="D23" s="6">
        <v>2013</v>
      </c>
      <c r="E23" s="6">
        <v>4</v>
      </c>
      <c r="F23" s="6">
        <f t="shared" si="0"/>
        <v>2009</v>
      </c>
      <c r="G23" s="6" t="str">
        <f t="shared" si="1"/>
        <v>2013.4</v>
      </c>
      <c r="H23" s="6">
        <f t="shared" si="2"/>
        <v>2495.8152482962564</v>
      </c>
      <c r="I23" s="6">
        <f>+VLOOKUP(G23,'Scale-CWT correction factors'!J$4:L$333,3,FALSE)</f>
        <v>0</v>
      </c>
      <c r="J23" s="6">
        <f t="shared" si="3"/>
        <v>0</v>
      </c>
      <c r="K23" s="6">
        <f t="shared" si="4"/>
        <v>0</v>
      </c>
      <c r="L23" s="6">
        <f t="shared" si="5"/>
        <v>2495.8152482962564</v>
      </c>
    </row>
    <row r="24" spans="1:12" x14ac:dyDescent="0.25">
      <c r="A24" s="21" t="s">
        <v>58</v>
      </c>
      <c r="B24" s="20">
        <v>0</v>
      </c>
      <c r="C24" s="20">
        <v>1486.2444547810755</v>
      </c>
      <c r="D24" s="6">
        <v>2013</v>
      </c>
      <c r="E24" s="6">
        <v>5</v>
      </c>
      <c r="F24" s="6">
        <f t="shared" si="0"/>
        <v>2008</v>
      </c>
      <c r="G24" s="6" t="str">
        <f t="shared" si="1"/>
        <v>2013.5</v>
      </c>
      <c r="H24" s="6">
        <f t="shared" si="2"/>
        <v>1486.2444547810755</v>
      </c>
      <c r="I24" s="6">
        <f>+VLOOKUP(G24,'Scale-CWT correction factors'!J$4:L$333,3,FALSE)</f>
        <v>0</v>
      </c>
      <c r="J24" s="6">
        <f t="shared" si="3"/>
        <v>0</v>
      </c>
      <c r="K24" s="6">
        <f t="shared" si="4"/>
        <v>0</v>
      </c>
      <c r="L24" s="6">
        <f t="shared" si="5"/>
        <v>1486.2444547810755</v>
      </c>
    </row>
    <row r="25" spans="1:12" x14ac:dyDescent="0.25">
      <c r="A25" s="21" t="s">
        <v>59</v>
      </c>
      <c r="B25" s="20">
        <v>0</v>
      </c>
      <c r="C25" s="20">
        <v>40.184392409211426</v>
      </c>
      <c r="D25" s="6">
        <v>2013</v>
      </c>
      <c r="E25" s="6">
        <v>6</v>
      </c>
      <c r="F25" s="6">
        <f t="shared" si="0"/>
        <v>2007</v>
      </c>
      <c r="G25" s="6" t="str">
        <f t="shared" si="1"/>
        <v>2013.6</v>
      </c>
      <c r="H25" s="6">
        <f t="shared" si="2"/>
        <v>40.184392409211426</v>
      </c>
      <c r="I25" s="6">
        <f>+VLOOKUP(G25,'Scale-CWT correction factors'!J$4:L$333,3,FALSE)</f>
        <v>0</v>
      </c>
      <c r="J25" s="6">
        <f t="shared" si="3"/>
        <v>0</v>
      </c>
      <c r="K25" s="6">
        <f t="shared" si="4"/>
        <v>0</v>
      </c>
      <c r="L25" s="6">
        <f t="shared" si="5"/>
        <v>40.184392409211426</v>
      </c>
    </row>
    <row r="26" spans="1:12" x14ac:dyDescent="0.25">
      <c r="A26" s="11">
        <v>2014</v>
      </c>
      <c r="B26" s="20"/>
      <c r="C26" s="20"/>
    </row>
    <row r="27" spans="1:12" x14ac:dyDescent="0.25">
      <c r="A27" s="21" t="s">
        <v>57</v>
      </c>
      <c r="B27" s="20">
        <v>0</v>
      </c>
      <c r="C27" s="20">
        <v>30.842105263157894</v>
      </c>
      <c r="D27" s="6">
        <v>2014</v>
      </c>
      <c r="E27" s="6">
        <v>3</v>
      </c>
      <c r="F27" s="6">
        <f t="shared" si="0"/>
        <v>2011</v>
      </c>
      <c r="G27" s="6" t="str">
        <f t="shared" si="1"/>
        <v>2014.3</v>
      </c>
      <c r="H27" s="6">
        <f t="shared" si="2"/>
        <v>30.842105263157894</v>
      </c>
      <c r="I27" s="6">
        <f>+VLOOKUP(G27,'Scale-CWT correction factors'!J$4:L$333,3,FALSE)</f>
        <v>0</v>
      </c>
      <c r="J27" s="6">
        <f t="shared" si="3"/>
        <v>0</v>
      </c>
      <c r="K27" s="6">
        <f t="shared" si="4"/>
        <v>0</v>
      </c>
      <c r="L27" s="6">
        <f t="shared" si="5"/>
        <v>30.842105263157894</v>
      </c>
    </row>
    <row r="28" spans="1:12" x14ac:dyDescent="0.25">
      <c r="A28" s="21" t="s">
        <v>56</v>
      </c>
      <c r="B28" s="20">
        <v>0</v>
      </c>
      <c r="C28" s="20">
        <v>5816.2648276535492</v>
      </c>
      <c r="D28" s="6">
        <v>2014</v>
      </c>
      <c r="E28" s="6">
        <v>4</v>
      </c>
      <c r="F28" s="6">
        <f t="shared" si="0"/>
        <v>2010</v>
      </c>
      <c r="G28" s="6" t="str">
        <f t="shared" si="1"/>
        <v>2014.4</v>
      </c>
      <c r="H28" s="6">
        <f t="shared" si="2"/>
        <v>5816.2648276535492</v>
      </c>
      <c r="I28" s="6">
        <f>+VLOOKUP(G28,'Scale-CWT correction factors'!J$4:L$333,3,FALSE)</f>
        <v>0</v>
      </c>
      <c r="J28" s="6">
        <f t="shared" si="3"/>
        <v>0</v>
      </c>
      <c r="K28" s="6">
        <f t="shared" si="4"/>
        <v>0</v>
      </c>
      <c r="L28" s="6">
        <f t="shared" si="5"/>
        <v>5816.2648276535492</v>
      </c>
    </row>
    <row r="29" spans="1:12" x14ac:dyDescent="0.25">
      <c r="A29" s="21" t="s">
        <v>58</v>
      </c>
      <c r="B29" s="20">
        <v>0</v>
      </c>
      <c r="C29" s="20">
        <v>7388.9483025746185</v>
      </c>
      <c r="D29" s="6">
        <v>2014</v>
      </c>
      <c r="E29" s="6">
        <v>5</v>
      </c>
      <c r="F29" s="6">
        <f t="shared" si="0"/>
        <v>2009</v>
      </c>
      <c r="G29" s="6" t="str">
        <f t="shared" si="1"/>
        <v>2014.5</v>
      </c>
      <c r="H29" s="6">
        <f t="shared" si="2"/>
        <v>7388.9483025746185</v>
      </c>
      <c r="I29" s="6">
        <f>+VLOOKUP(G29,'Scale-CWT correction factors'!J$4:L$333,3,FALSE)</f>
        <v>0</v>
      </c>
      <c r="J29" s="6">
        <f t="shared" si="3"/>
        <v>0</v>
      </c>
      <c r="K29" s="6">
        <f t="shared" si="4"/>
        <v>0</v>
      </c>
      <c r="L29" s="6">
        <f t="shared" si="5"/>
        <v>7388.9483025746185</v>
      </c>
    </row>
    <row r="30" spans="1:12" x14ac:dyDescent="0.25">
      <c r="A30" s="21" t="s">
        <v>59</v>
      </c>
      <c r="B30" s="20">
        <v>0</v>
      </c>
      <c r="C30" s="20">
        <v>129.9447645086743</v>
      </c>
      <c r="D30" s="6">
        <v>2014</v>
      </c>
      <c r="E30" s="6">
        <v>6</v>
      </c>
      <c r="F30" s="6">
        <f t="shared" si="0"/>
        <v>2008</v>
      </c>
      <c r="G30" s="6" t="str">
        <f t="shared" si="1"/>
        <v>2014.6</v>
      </c>
      <c r="H30" s="6">
        <f t="shared" si="2"/>
        <v>129.9447645086743</v>
      </c>
      <c r="I30" s="6">
        <f>+VLOOKUP(G30,'Scale-CWT correction factors'!J$4:L$333,3,FALSE)</f>
        <v>0</v>
      </c>
      <c r="J30" s="6">
        <f t="shared" si="3"/>
        <v>0</v>
      </c>
      <c r="K30" s="6">
        <f t="shared" si="4"/>
        <v>0</v>
      </c>
      <c r="L30" s="6">
        <f t="shared" si="5"/>
        <v>129.9447645086743</v>
      </c>
    </row>
    <row r="31" spans="1:12" x14ac:dyDescent="0.25">
      <c r="A31" s="11">
        <v>2015</v>
      </c>
      <c r="B31" s="20"/>
      <c r="C31" s="20"/>
    </row>
    <row r="32" spans="1:12" x14ac:dyDescent="0.25">
      <c r="A32" s="21" t="s">
        <v>57</v>
      </c>
      <c r="B32" s="20">
        <v>0</v>
      </c>
      <c r="C32" s="20">
        <v>19.136842105263156</v>
      </c>
      <c r="D32" s="6">
        <v>2015</v>
      </c>
      <c r="E32" s="6">
        <v>3</v>
      </c>
      <c r="F32" s="6">
        <f t="shared" si="0"/>
        <v>2012</v>
      </c>
      <c r="G32" s="6" t="str">
        <f t="shared" si="1"/>
        <v>2015.3</v>
      </c>
      <c r="H32" s="6">
        <f t="shared" si="2"/>
        <v>19.136842105263156</v>
      </c>
      <c r="I32" s="6">
        <f>+VLOOKUP(G32,'Scale-CWT correction factors'!J$4:L$333,3,FALSE)</f>
        <v>0</v>
      </c>
      <c r="J32" s="6">
        <f t="shared" si="3"/>
        <v>0</v>
      </c>
      <c r="K32" s="6">
        <f t="shared" si="4"/>
        <v>0</v>
      </c>
      <c r="L32" s="6">
        <f t="shared" si="5"/>
        <v>19.136842105263156</v>
      </c>
    </row>
    <row r="33" spans="1:12" x14ac:dyDescent="0.25">
      <c r="A33" s="21" t="s">
        <v>56</v>
      </c>
      <c r="B33" s="20">
        <v>0</v>
      </c>
      <c r="C33" s="20">
        <v>3350.2609958074904</v>
      </c>
      <c r="D33" s="6">
        <v>2015</v>
      </c>
      <c r="E33" s="6">
        <v>4</v>
      </c>
      <c r="F33" s="6">
        <f t="shared" si="0"/>
        <v>2011</v>
      </c>
      <c r="G33" s="6" t="str">
        <f t="shared" si="1"/>
        <v>2015.4</v>
      </c>
      <c r="H33" s="6">
        <f t="shared" si="2"/>
        <v>3350.2609958074904</v>
      </c>
      <c r="I33" s="6">
        <f>+VLOOKUP(G33,'Scale-CWT correction factors'!J$4:L$333,3,FALSE)</f>
        <v>0</v>
      </c>
      <c r="J33" s="6">
        <f t="shared" si="3"/>
        <v>0</v>
      </c>
      <c r="K33" s="6">
        <f t="shared" si="4"/>
        <v>0</v>
      </c>
      <c r="L33" s="6">
        <f t="shared" si="5"/>
        <v>3350.2609958074904</v>
      </c>
    </row>
    <row r="34" spans="1:12" x14ac:dyDescent="0.25">
      <c r="A34" s="21" t="s">
        <v>58</v>
      </c>
      <c r="B34" s="20">
        <v>0</v>
      </c>
      <c r="C34" s="20">
        <v>7530.9114601018682</v>
      </c>
      <c r="D34" s="6">
        <v>2015</v>
      </c>
      <c r="E34" s="6">
        <v>5</v>
      </c>
      <c r="F34" s="6">
        <f t="shared" si="0"/>
        <v>2010</v>
      </c>
      <c r="G34" s="6" t="str">
        <f t="shared" si="1"/>
        <v>2015.5</v>
      </c>
      <c r="H34" s="6">
        <f t="shared" si="2"/>
        <v>7530.9114601018682</v>
      </c>
      <c r="I34" s="6">
        <f>+VLOOKUP(G34,'Scale-CWT correction factors'!J$4:L$333,3,FALSE)</f>
        <v>0</v>
      </c>
      <c r="J34" s="6">
        <f t="shared" si="3"/>
        <v>0</v>
      </c>
      <c r="K34" s="6">
        <f t="shared" si="4"/>
        <v>0</v>
      </c>
      <c r="L34" s="6">
        <f t="shared" si="5"/>
        <v>7530.9114601018682</v>
      </c>
    </row>
    <row r="35" spans="1:12" x14ac:dyDescent="0.25">
      <c r="A35" s="21" t="s">
        <v>59</v>
      </c>
      <c r="B35" s="20">
        <v>0</v>
      </c>
      <c r="C35" s="20">
        <v>97.690701985378183</v>
      </c>
      <c r="D35" s="6">
        <v>2015</v>
      </c>
      <c r="E35" s="6">
        <v>6</v>
      </c>
      <c r="F35" s="6">
        <f t="shared" si="0"/>
        <v>2009</v>
      </c>
      <c r="G35" s="6" t="str">
        <f t="shared" si="1"/>
        <v>2015.6</v>
      </c>
      <c r="H35" s="6">
        <f t="shared" si="2"/>
        <v>97.690701985378183</v>
      </c>
      <c r="I35" s="6">
        <f>+VLOOKUP(G35,'Scale-CWT correction factors'!J$4:L$333,3,FALSE)</f>
        <v>0</v>
      </c>
      <c r="J35" s="6">
        <f t="shared" si="3"/>
        <v>0</v>
      </c>
      <c r="K35" s="6">
        <f t="shared" si="4"/>
        <v>0</v>
      </c>
      <c r="L35" s="6">
        <f t="shared" si="5"/>
        <v>97.690701985378183</v>
      </c>
    </row>
    <row r="36" spans="1:12" x14ac:dyDescent="0.25">
      <c r="A36" s="11">
        <v>2016</v>
      </c>
      <c r="B36" s="20"/>
      <c r="C36" s="20"/>
    </row>
    <row r="37" spans="1:12" x14ac:dyDescent="0.25">
      <c r="A37" s="21" t="s">
        <v>57</v>
      </c>
      <c r="B37" s="20">
        <v>0</v>
      </c>
      <c r="C37" s="20">
        <v>109</v>
      </c>
      <c r="D37" s="6">
        <v>2016</v>
      </c>
      <c r="E37" s="6">
        <v>3</v>
      </c>
      <c r="F37" s="6">
        <f t="shared" si="0"/>
        <v>2013</v>
      </c>
      <c r="G37" s="6" t="str">
        <f t="shared" si="1"/>
        <v>2016.3</v>
      </c>
      <c r="H37" s="6">
        <f t="shared" si="2"/>
        <v>109</v>
      </c>
      <c r="I37" s="6">
        <f>+VLOOKUP(G37,'Scale-CWT correction factors'!J$4:L$333,3,FALSE)</f>
        <v>0</v>
      </c>
      <c r="J37" s="6">
        <f t="shared" si="3"/>
        <v>0</v>
      </c>
      <c r="K37" s="6">
        <f t="shared" si="4"/>
        <v>0</v>
      </c>
      <c r="L37" s="6">
        <f t="shared" si="5"/>
        <v>109</v>
      </c>
    </row>
    <row r="38" spans="1:12" x14ac:dyDescent="0.25">
      <c r="A38" s="21" t="s">
        <v>56</v>
      </c>
      <c r="B38" s="20">
        <v>0</v>
      </c>
      <c r="C38" s="20">
        <v>1251.3861111111112</v>
      </c>
      <c r="D38" s="6">
        <v>2016</v>
      </c>
      <c r="E38" s="6">
        <v>4</v>
      </c>
      <c r="F38" s="6">
        <f t="shared" si="0"/>
        <v>2012</v>
      </c>
      <c r="G38" s="6" t="str">
        <f t="shared" si="1"/>
        <v>2016.4</v>
      </c>
      <c r="H38" s="6">
        <f t="shared" si="2"/>
        <v>1251.3861111111112</v>
      </c>
      <c r="I38" s="6">
        <f>+VLOOKUP(G38,'Scale-CWT correction factors'!J$4:L$333,3,FALSE)</f>
        <v>0</v>
      </c>
      <c r="J38" s="6">
        <f t="shared" si="3"/>
        <v>0</v>
      </c>
      <c r="K38" s="6">
        <f t="shared" si="4"/>
        <v>0</v>
      </c>
      <c r="L38" s="6">
        <f t="shared" si="5"/>
        <v>1251.3861111111112</v>
      </c>
    </row>
    <row r="39" spans="1:12" x14ac:dyDescent="0.25">
      <c r="A39" s="21" t="s">
        <v>58</v>
      </c>
      <c r="B39" s="20">
        <v>0</v>
      </c>
      <c r="C39" s="20">
        <v>2613.9068888888892</v>
      </c>
      <c r="D39" s="6">
        <v>2016</v>
      </c>
      <c r="E39" s="6">
        <v>5</v>
      </c>
      <c r="F39" s="6">
        <f t="shared" si="0"/>
        <v>2011</v>
      </c>
      <c r="G39" s="6" t="str">
        <f t="shared" si="1"/>
        <v>2016.5</v>
      </c>
      <c r="H39" s="6">
        <f t="shared" si="2"/>
        <v>2613.9068888888892</v>
      </c>
      <c r="I39" s="6">
        <f>+VLOOKUP(G39,'Scale-CWT correction factors'!J$4:L$333,3,FALSE)</f>
        <v>0</v>
      </c>
      <c r="J39" s="6">
        <f t="shared" si="3"/>
        <v>0</v>
      </c>
      <c r="K39" s="6">
        <f t="shared" si="4"/>
        <v>0</v>
      </c>
      <c r="L39" s="6">
        <f t="shared" si="5"/>
        <v>2613.9068888888892</v>
      </c>
    </row>
    <row r="40" spans="1:12" x14ac:dyDescent="0.25">
      <c r="A40" s="21" t="s">
        <v>59</v>
      </c>
      <c r="B40" s="20">
        <v>0</v>
      </c>
      <c r="C40" s="20">
        <v>308.70699999999999</v>
      </c>
      <c r="D40" s="6">
        <v>2016</v>
      </c>
      <c r="E40" s="6">
        <v>6</v>
      </c>
      <c r="F40" s="6">
        <f t="shared" si="0"/>
        <v>2010</v>
      </c>
      <c r="G40" s="6" t="str">
        <f t="shared" si="1"/>
        <v>2016.6</v>
      </c>
      <c r="H40" s="6">
        <f t="shared" si="2"/>
        <v>308.70699999999999</v>
      </c>
      <c r="I40" s="6">
        <f>+VLOOKUP(G40,'Scale-CWT correction factors'!J$4:L$333,3,FALSE)</f>
        <v>0</v>
      </c>
      <c r="J40" s="6">
        <f t="shared" si="3"/>
        <v>0</v>
      </c>
      <c r="K40" s="6">
        <f t="shared" si="4"/>
        <v>0</v>
      </c>
      <c r="L40" s="6">
        <f t="shared" si="5"/>
        <v>308.70699999999999</v>
      </c>
    </row>
    <row r="41" spans="1:12" x14ac:dyDescent="0.25">
      <c r="A41" s="11">
        <v>2017</v>
      </c>
      <c r="B41" s="20"/>
      <c r="C41" s="20"/>
    </row>
    <row r="42" spans="1:12" x14ac:dyDescent="0.25">
      <c r="A42" s="21" t="s">
        <v>57</v>
      </c>
      <c r="B42" s="20">
        <v>8</v>
      </c>
      <c r="C42" s="20">
        <v>8.5</v>
      </c>
      <c r="D42" s="6">
        <v>2017</v>
      </c>
      <c r="E42" s="6">
        <v>3</v>
      </c>
      <c r="F42" s="6">
        <f t="shared" si="0"/>
        <v>2014</v>
      </c>
      <c r="G42" s="6" t="str">
        <f t="shared" si="1"/>
        <v>2017.3</v>
      </c>
      <c r="H42" s="6">
        <f>C42</f>
        <v>8.5</v>
      </c>
      <c r="I42" s="6">
        <f>+VLOOKUP(G42,'Scale-CWT correction factors'!J$4:L$333,3,FALSE)</f>
        <v>3426.4285714285716</v>
      </c>
      <c r="J42" s="6">
        <f>I42+B42</f>
        <v>3434.4285714285716</v>
      </c>
      <c r="K42" s="6">
        <f t="shared" si="4"/>
        <v>8</v>
      </c>
      <c r="L42" s="6">
        <f t="shared" si="5"/>
        <v>16.5</v>
      </c>
    </row>
    <row r="43" spans="1:12" x14ac:dyDescent="0.25">
      <c r="A43" s="21" t="s">
        <v>56</v>
      </c>
      <c r="B43" s="20">
        <v>0</v>
      </c>
      <c r="C43" s="20">
        <v>1540.0465320538451</v>
      </c>
      <c r="D43" s="6">
        <v>2017</v>
      </c>
      <c r="E43" s="6">
        <v>4</v>
      </c>
      <c r="F43" s="6">
        <f t="shared" si="0"/>
        <v>2013</v>
      </c>
      <c r="G43" s="6" t="str">
        <f t="shared" si="1"/>
        <v>2017.4</v>
      </c>
      <c r="H43" s="6">
        <f t="shared" si="2"/>
        <v>1540.0465320538451</v>
      </c>
      <c r="I43" s="6">
        <f>+VLOOKUP(G43,'Scale-CWT correction factors'!J$4:L$333,3,FALSE)</f>
        <v>263.57142857142856</v>
      </c>
      <c r="J43" s="6">
        <f>I43+B43</f>
        <v>263.57142857142856</v>
      </c>
      <c r="K43" s="6">
        <f t="shared" si="4"/>
        <v>0</v>
      </c>
      <c r="L43" s="6">
        <f t="shared" si="5"/>
        <v>1540.0465320538451</v>
      </c>
    </row>
    <row r="44" spans="1:12" x14ac:dyDescent="0.25">
      <c r="A44" s="21" t="s">
        <v>58</v>
      </c>
      <c r="B44" s="20">
        <v>0</v>
      </c>
      <c r="C44" s="20">
        <v>1940.5082900173263</v>
      </c>
      <c r="D44" s="6">
        <v>2017</v>
      </c>
      <c r="E44" s="6">
        <v>5</v>
      </c>
      <c r="F44" s="6">
        <f t="shared" si="0"/>
        <v>2012</v>
      </c>
      <c r="G44" s="6" t="str">
        <f t="shared" si="1"/>
        <v>2017.5</v>
      </c>
      <c r="H44" s="6">
        <f t="shared" si="2"/>
        <v>1940.5082900173263</v>
      </c>
      <c r="I44" s="6">
        <f>+VLOOKUP(G44,'Scale-CWT correction factors'!J$4:L$333,3,FALSE)</f>
        <v>0</v>
      </c>
      <c r="J44" s="6">
        <f t="shared" si="3"/>
        <v>0</v>
      </c>
      <c r="K44" s="6">
        <f t="shared" si="4"/>
        <v>0</v>
      </c>
      <c r="L44" s="6">
        <f t="shared" si="5"/>
        <v>1940.5082900173263</v>
      </c>
    </row>
    <row r="45" spans="1:12" x14ac:dyDescent="0.25">
      <c r="A45" s="21" t="s">
        <v>59</v>
      </c>
      <c r="B45" s="20">
        <v>0</v>
      </c>
      <c r="C45" s="20">
        <v>200.94517792882843</v>
      </c>
      <c r="D45" s="6">
        <v>2017</v>
      </c>
      <c r="E45" s="6">
        <v>6</v>
      </c>
      <c r="F45" s="6">
        <f t="shared" si="0"/>
        <v>2011</v>
      </c>
      <c r="G45" s="6" t="str">
        <f t="shared" si="1"/>
        <v>2017.6</v>
      </c>
      <c r="H45" s="6">
        <f t="shared" si="2"/>
        <v>200.94517792882843</v>
      </c>
      <c r="I45" s="6">
        <f>+VLOOKUP(G45,'Scale-CWT correction factors'!J$4:L$333,3,FALSE)</f>
        <v>0</v>
      </c>
      <c r="J45" s="6">
        <f t="shared" si="3"/>
        <v>0</v>
      </c>
      <c r="K45" s="6">
        <f t="shared" si="4"/>
        <v>0</v>
      </c>
      <c r="L45" s="6">
        <f t="shared" si="5"/>
        <v>200.94517792882843</v>
      </c>
    </row>
    <row r="46" spans="1:12" x14ac:dyDescent="0.25">
      <c r="A46" s="11">
        <v>2018</v>
      </c>
      <c r="B46" s="20"/>
      <c r="C46" s="20"/>
      <c r="K46" s="6">
        <f t="shared" si="4"/>
        <v>0</v>
      </c>
    </row>
    <row r="47" spans="1:12" x14ac:dyDescent="0.25">
      <c r="A47" s="21" t="s">
        <v>57</v>
      </c>
      <c r="B47" s="20">
        <v>0</v>
      </c>
      <c r="C47" s="20">
        <v>0</v>
      </c>
      <c r="D47" s="6">
        <v>2018</v>
      </c>
      <c r="E47" s="6">
        <v>3</v>
      </c>
      <c r="F47" s="6">
        <f t="shared" si="0"/>
        <v>2015</v>
      </c>
      <c r="G47" s="6" t="str">
        <f t="shared" si="1"/>
        <v>2018.3</v>
      </c>
      <c r="H47" s="6">
        <f t="shared" si="2"/>
        <v>0</v>
      </c>
      <c r="I47" s="6">
        <f>+VLOOKUP(G47,'Scale-CWT correction factors'!J$4:L$333,3,FALSE)</f>
        <v>0</v>
      </c>
      <c r="J47" s="6">
        <f t="shared" si="3"/>
        <v>0</v>
      </c>
      <c r="K47" s="6">
        <f t="shared" si="4"/>
        <v>0</v>
      </c>
    </row>
    <row r="48" spans="1:12" x14ac:dyDescent="0.25">
      <c r="A48" s="21" t="s">
        <v>56</v>
      </c>
      <c r="B48" s="20">
        <v>78</v>
      </c>
      <c r="C48" s="20">
        <v>1125.4591301230801</v>
      </c>
      <c r="D48" s="6">
        <v>2018</v>
      </c>
      <c r="E48" s="6">
        <v>4</v>
      </c>
      <c r="F48" s="6">
        <f t="shared" ref="F48:F80" si="6">D48-E48</f>
        <v>2014</v>
      </c>
      <c r="G48" s="6" t="str">
        <f t="shared" ref="G48:G80" si="7">CONCATENATE(D48,".",E48)</f>
        <v>2018.4</v>
      </c>
      <c r="H48" s="6">
        <f t="shared" si="2"/>
        <v>1125.4591301230801</v>
      </c>
      <c r="I48" s="6">
        <f>+VLOOKUP(G48,'Scale-CWT correction factors'!J$4:L$333,3,FALSE)</f>
        <v>1186.3231038694498</v>
      </c>
      <c r="J48" s="6">
        <f>I48+B48</f>
        <v>1264.3231038694498</v>
      </c>
      <c r="K48" s="6">
        <f t="shared" si="4"/>
        <v>78</v>
      </c>
    </row>
    <row r="49" spans="1:50" x14ac:dyDescent="0.25">
      <c r="A49" s="21" t="s">
        <v>58</v>
      </c>
      <c r="B49" s="20">
        <v>0</v>
      </c>
      <c r="C49" s="20">
        <v>1049.9035471248776</v>
      </c>
      <c r="D49" s="6">
        <v>2018</v>
      </c>
      <c r="E49" s="6">
        <v>5</v>
      </c>
      <c r="F49" s="6">
        <f t="shared" si="6"/>
        <v>2013</v>
      </c>
      <c r="G49" s="6" t="str">
        <f t="shared" si="7"/>
        <v>2018.5</v>
      </c>
      <c r="H49" s="6">
        <f t="shared" si="2"/>
        <v>1049.9035471248776</v>
      </c>
      <c r="I49" s="6">
        <f>+VLOOKUP(G49,'Scale-CWT correction factors'!J$4:L$333,3,FALSE)</f>
        <v>1031.6768961305502</v>
      </c>
      <c r="J49" s="6">
        <f t="shared" si="3"/>
        <v>1031.6768961305502</v>
      </c>
      <c r="K49" s="6">
        <f t="shared" si="4"/>
        <v>0</v>
      </c>
    </row>
    <row r="50" spans="1:50" x14ac:dyDescent="0.25">
      <c r="A50" s="21" t="s">
        <v>59</v>
      </c>
      <c r="B50" s="20">
        <v>0</v>
      </c>
      <c r="C50" s="20">
        <v>42.637322752042408</v>
      </c>
      <c r="D50" s="6">
        <v>2018</v>
      </c>
      <c r="E50" s="6">
        <v>6</v>
      </c>
      <c r="F50" s="6">
        <f t="shared" si="6"/>
        <v>2012</v>
      </c>
      <c r="G50" s="6" t="str">
        <f t="shared" si="7"/>
        <v>2018.6</v>
      </c>
      <c r="H50" s="6">
        <f t="shared" si="2"/>
        <v>42.637322752042408</v>
      </c>
      <c r="I50" s="6">
        <f>+VLOOKUP(G50,'Scale-CWT correction factors'!J$4:L$333,3,FALSE)</f>
        <v>0</v>
      </c>
      <c r="J50" s="6">
        <f t="shared" si="3"/>
        <v>0</v>
      </c>
      <c r="K50" s="6">
        <f t="shared" si="4"/>
        <v>0</v>
      </c>
    </row>
    <row r="51" spans="1:50" s="64" customFormat="1" x14ac:dyDescent="0.25">
      <c r="A51" s="65">
        <v>2019</v>
      </c>
      <c r="B51" s="66"/>
      <c r="C51" s="66"/>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row>
    <row r="52" spans="1:50" x14ac:dyDescent="0.25">
      <c r="A52" s="21" t="s">
        <v>57</v>
      </c>
      <c r="B52" s="20">
        <v>0</v>
      </c>
      <c r="C52" s="20">
        <v>0</v>
      </c>
      <c r="D52" s="6">
        <v>2019</v>
      </c>
      <c r="E52" s="6">
        <v>3</v>
      </c>
      <c r="F52" s="6">
        <f t="shared" si="6"/>
        <v>2016</v>
      </c>
      <c r="G52" s="6" t="str">
        <f t="shared" si="7"/>
        <v>2019.3</v>
      </c>
      <c r="H52" s="6">
        <f t="shared" si="2"/>
        <v>0</v>
      </c>
      <c r="I52" s="6">
        <f>+VLOOKUP(G52,'Scale-CWT correction factors'!J$4:L$333,3,FALSE)</f>
        <v>0</v>
      </c>
      <c r="J52" s="6">
        <f t="shared" si="3"/>
        <v>0</v>
      </c>
      <c r="K52" s="6">
        <f t="shared" si="4"/>
        <v>0</v>
      </c>
    </row>
    <row r="53" spans="1:50" x14ac:dyDescent="0.25">
      <c r="A53" s="21" t="s">
        <v>56</v>
      </c>
      <c r="B53" s="20">
        <v>65.099999999999994</v>
      </c>
      <c r="C53" s="20">
        <v>1284.0487804878051</v>
      </c>
      <c r="D53" s="6">
        <v>2019</v>
      </c>
      <c r="E53" s="6">
        <v>4</v>
      </c>
      <c r="F53" s="6">
        <f t="shared" si="6"/>
        <v>2015</v>
      </c>
      <c r="G53" s="6" t="str">
        <f t="shared" si="7"/>
        <v>2019.4</v>
      </c>
      <c r="H53" s="6">
        <f t="shared" si="2"/>
        <v>1284.0487804878051</v>
      </c>
      <c r="I53" s="6">
        <f>+VLOOKUP(G53,'Scale-CWT correction factors'!J$4:L$333,3,FALSE)</f>
        <v>1027.2390243902441</v>
      </c>
      <c r="J53" s="6">
        <f t="shared" si="3"/>
        <v>1092.339024390244</v>
      </c>
      <c r="K53" s="6">
        <f t="shared" si="4"/>
        <v>65.099999999999994</v>
      </c>
    </row>
    <row r="54" spans="1:50" x14ac:dyDescent="0.25">
      <c r="A54" s="21" t="s">
        <v>58</v>
      </c>
      <c r="B54" s="20">
        <v>27.9</v>
      </c>
      <c r="C54" s="20">
        <v>1031.1300813008131</v>
      </c>
      <c r="D54" s="6">
        <v>2019</v>
      </c>
      <c r="E54" s="6">
        <v>5</v>
      </c>
      <c r="F54" s="6">
        <f>D54-E54</f>
        <v>2014</v>
      </c>
      <c r="G54" s="6" t="str">
        <f t="shared" si="7"/>
        <v>2019.5</v>
      </c>
      <c r="H54" s="6">
        <f t="shared" si="2"/>
        <v>1031.1300813008131</v>
      </c>
      <c r="I54" s="6">
        <f>+VLOOKUP(G54,'Scale-CWT correction factors'!J$4:L$333,3,FALSE)</f>
        <v>1365.7609756097561</v>
      </c>
      <c r="J54" s="6">
        <f t="shared" si="3"/>
        <v>1393.6609756097562</v>
      </c>
      <c r="K54" s="6">
        <f t="shared" si="4"/>
        <v>27.9</v>
      </c>
    </row>
    <row r="55" spans="1:50" x14ac:dyDescent="0.25">
      <c r="A55" s="21" t="s">
        <v>59</v>
      </c>
      <c r="B55" s="20">
        <v>0</v>
      </c>
      <c r="C55" s="20">
        <v>77.82113821138212</v>
      </c>
      <c r="D55" s="6">
        <v>2019</v>
      </c>
      <c r="E55" s="6">
        <v>6</v>
      </c>
      <c r="F55" s="6">
        <f t="shared" si="6"/>
        <v>2013</v>
      </c>
      <c r="G55" s="6" t="str">
        <f t="shared" si="7"/>
        <v>2019.6</v>
      </c>
      <c r="H55" s="6">
        <f t="shared" si="2"/>
        <v>77.82113821138212</v>
      </c>
      <c r="I55" s="6">
        <f>+VLOOKUP(G55,'Scale-CWT correction factors'!J$4:L$333,3,FALSE)</f>
        <v>0</v>
      </c>
      <c r="J55" s="6">
        <f t="shared" si="3"/>
        <v>0</v>
      </c>
      <c r="K55" s="6">
        <f t="shared" si="4"/>
        <v>0</v>
      </c>
    </row>
    <row r="56" spans="1:50" s="64" customFormat="1" x14ac:dyDescent="0.25">
      <c r="A56" s="65">
        <v>2020</v>
      </c>
      <c r="B56" s="66"/>
      <c r="C56" s="66"/>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row>
    <row r="57" spans="1:50" x14ac:dyDescent="0.25">
      <c r="A57" s="21" t="s">
        <v>57</v>
      </c>
      <c r="B57" s="20">
        <v>7</v>
      </c>
      <c r="C57" s="20">
        <v>136</v>
      </c>
      <c r="D57" s="6">
        <v>2020</v>
      </c>
      <c r="E57" s="6">
        <v>3</v>
      </c>
      <c r="F57" s="6">
        <f>D57-E57</f>
        <v>2017</v>
      </c>
      <c r="G57" s="6" t="str">
        <f t="shared" si="7"/>
        <v>2020.3</v>
      </c>
      <c r="H57" s="6">
        <f>C57</f>
        <v>136</v>
      </c>
      <c r="I57" s="6">
        <f>+VLOOKUP(G57,'Scale-CWT correction factors'!J$4:L$333,3,FALSE)</f>
        <v>136</v>
      </c>
      <c r="J57" s="6">
        <f t="shared" ref="J57:J60" si="8">I57+B57</f>
        <v>143</v>
      </c>
      <c r="K57" s="6">
        <f t="shared" ref="K57:K60" si="9">+B57</f>
        <v>7</v>
      </c>
    </row>
    <row r="58" spans="1:50" x14ac:dyDescent="0.25">
      <c r="A58" s="21" t="s">
        <v>56</v>
      </c>
      <c r="B58" s="20">
        <v>104.91978609625667</v>
      </c>
      <c r="C58" s="20">
        <v>2013.3042768049138</v>
      </c>
      <c r="D58" s="6">
        <v>2020</v>
      </c>
      <c r="E58" s="6">
        <v>4</v>
      </c>
      <c r="F58" s="6">
        <f t="shared" si="6"/>
        <v>2016</v>
      </c>
      <c r="G58" s="6" t="str">
        <f t="shared" si="7"/>
        <v>2020.4</v>
      </c>
      <c r="H58" s="6">
        <f>C58</f>
        <v>2013.3042768049138</v>
      </c>
      <c r="I58" s="6">
        <f>+VLOOKUP(G58,'Scale-CWT correction factors'!J$4:L$333,3,FALSE)</f>
        <v>1797.5931042901018</v>
      </c>
      <c r="J58" s="6">
        <f t="shared" si="8"/>
        <v>1902.5128903863585</v>
      </c>
      <c r="K58" s="6">
        <f t="shared" si="9"/>
        <v>104.91978609625667</v>
      </c>
    </row>
    <row r="59" spans="1:50" x14ac:dyDescent="0.25">
      <c r="A59" s="21" t="s">
        <v>58</v>
      </c>
      <c r="B59" s="20">
        <v>85.080213903743314</v>
      </c>
      <c r="C59" s="20">
        <v>4108.6957231950864</v>
      </c>
      <c r="D59" s="6">
        <v>2020</v>
      </c>
      <c r="E59" s="6">
        <v>5</v>
      </c>
      <c r="F59" s="6">
        <f t="shared" si="6"/>
        <v>2015</v>
      </c>
      <c r="G59" s="6" t="str">
        <f t="shared" si="7"/>
        <v>2020.5</v>
      </c>
      <c r="H59" s="6">
        <f t="shared" ref="H59:H60" si="10">C59</f>
        <v>4108.6957231950864</v>
      </c>
      <c r="I59" s="6">
        <f>+VLOOKUP(G59,'Scale-CWT correction factors'!J$4:L$333,3,FALSE)</f>
        <v>4324.4068957098989</v>
      </c>
      <c r="J59" s="6">
        <f t="shared" si="8"/>
        <v>4409.4871096136421</v>
      </c>
      <c r="K59" s="6">
        <f t="shared" si="9"/>
        <v>85.080213903743314</v>
      </c>
    </row>
    <row r="60" spans="1:50" x14ac:dyDescent="0.25">
      <c r="A60" s="21" t="s">
        <v>59</v>
      </c>
      <c r="B60" s="20">
        <v>0</v>
      </c>
      <c r="C60" s="20">
        <v>0</v>
      </c>
      <c r="D60" s="6">
        <v>2020</v>
      </c>
      <c r="E60" s="6">
        <v>6</v>
      </c>
      <c r="F60" s="6">
        <f t="shared" si="6"/>
        <v>2014</v>
      </c>
      <c r="G60" s="6" t="str">
        <f t="shared" si="7"/>
        <v>2020.6</v>
      </c>
      <c r="H60" s="6">
        <f t="shared" si="10"/>
        <v>0</v>
      </c>
      <c r="I60" s="6">
        <f>+VLOOKUP(G60,'Scale-CWT correction factors'!J$4:L$333,3,FALSE)</f>
        <v>0</v>
      </c>
      <c r="J60" s="6">
        <f t="shared" si="8"/>
        <v>0</v>
      </c>
      <c r="K60" s="6">
        <f t="shared" si="9"/>
        <v>0</v>
      </c>
    </row>
    <row r="61" spans="1:50" x14ac:dyDescent="0.25">
      <c r="A61" s="11">
        <v>2021</v>
      </c>
      <c r="B61" s="20"/>
      <c r="C61" s="20"/>
    </row>
    <row r="62" spans="1:50" x14ac:dyDescent="0.25">
      <c r="A62" s="21" t="s">
        <v>57</v>
      </c>
      <c r="B62" s="20">
        <v>61.514285714285712</v>
      </c>
      <c r="C62" s="20">
        <v>38.18181818181818</v>
      </c>
      <c r="D62" s="6">
        <v>2021</v>
      </c>
      <c r="E62" s="6">
        <v>3</v>
      </c>
      <c r="F62" s="6">
        <f t="shared" si="6"/>
        <v>2018</v>
      </c>
      <c r="G62" s="6" t="str">
        <f t="shared" si="7"/>
        <v>2021.3</v>
      </c>
      <c r="H62" s="6">
        <f>C62</f>
        <v>38.18181818181818</v>
      </c>
      <c r="I62" s="6">
        <f>+VLOOKUP(G62,'Scale-CWT correction factors'!J$4:L$333,3,FALSE)</f>
        <v>165.81784502480292</v>
      </c>
      <c r="J62" s="6">
        <f t="shared" ref="J62:J80" si="11">I62+B62</f>
        <v>227.33213073908863</v>
      </c>
      <c r="K62" s="6">
        <f t="shared" ref="K62:K80" si="12">+B62</f>
        <v>61.514285714285712</v>
      </c>
    </row>
    <row r="63" spans="1:50" x14ac:dyDescent="0.25">
      <c r="A63" s="21" t="s">
        <v>56</v>
      </c>
      <c r="B63" s="20">
        <v>361.29442508710804</v>
      </c>
      <c r="C63" s="20">
        <v>3318.5366979176029</v>
      </c>
      <c r="D63" s="6">
        <v>2021</v>
      </c>
      <c r="E63" s="6">
        <v>4</v>
      </c>
      <c r="F63" s="6">
        <f t="shared" si="6"/>
        <v>2017</v>
      </c>
      <c r="G63" s="6" t="str">
        <f t="shared" si="7"/>
        <v>2021.4</v>
      </c>
      <c r="H63" s="6">
        <f t="shared" ref="H63:H80" si="13">C63</f>
        <v>3318.5366979176029</v>
      </c>
      <c r="I63" s="6">
        <f>+VLOOKUP(G63,'Scale-CWT correction factors'!J$4:L$333,3,FALSE)</f>
        <v>3105.8099865126283</v>
      </c>
      <c r="J63" s="6">
        <f>I63+B63</f>
        <v>3467.1044115997365</v>
      </c>
      <c r="K63" s="6">
        <f t="shared" si="12"/>
        <v>361.29442508710804</v>
      </c>
    </row>
    <row r="64" spans="1:50" x14ac:dyDescent="0.25">
      <c r="A64" s="21" t="s">
        <v>58</v>
      </c>
      <c r="B64" s="20">
        <v>30.19128919860627</v>
      </c>
      <c r="C64" s="20">
        <v>1848.9064839005791</v>
      </c>
      <c r="D64" s="6">
        <v>2021</v>
      </c>
      <c r="E64" s="6">
        <v>5</v>
      </c>
      <c r="F64" s="6">
        <f t="shared" si="6"/>
        <v>2016</v>
      </c>
      <c r="G64" s="6" t="str">
        <f t="shared" si="7"/>
        <v>2021.5</v>
      </c>
      <c r="H64" s="6">
        <f t="shared" si="13"/>
        <v>1848.9064839005791</v>
      </c>
      <c r="I64" s="6">
        <f>+VLOOKUP(G64,'Scale-CWT correction factors'!J$4:L$333,3,FALSE)</f>
        <v>1949.3721684625689</v>
      </c>
      <c r="J64" s="6">
        <f t="shared" si="11"/>
        <v>1979.5634576611751</v>
      </c>
      <c r="K64" s="6">
        <f t="shared" si="12"/>
        <v>30.19128919860627</v>
      </c>
    </row>
    <row r="65" spans="1:11" x14ac:dyDescent="0.25">
      <c r="A65" s="21" t="s">
        <v>59</v>
      </c>
      <c r="B65" s="20">
        <v>0</v>
      </c>
      <c r="C65" s="20">
        <v>15.375</v>
      </c>
      <c r="D65" s="6">
        <v>2021</v>
      </c>
      <c r="E65" s="6">
        <v>6</v>
      </c>
      <c r="F65" s="6">
        <f t="shared" si="6"/>
        <v>2015</v>
      </c>
      <c r="G65" s="6" t="str">
        <f t="shared" si="7"/>
        <v>2021.6</v>
      </c>
      <c r="H65" s="6">
        <f t="shared" si="13"/>
        <v>15.375</v>
      </c>
      <c r="I65" s="6">
        <f>+VLOOKUP(G65,'Scale-CWT correction factors'!J$4:L$333,3,FALSE)</f>
        <v>0</v>
      </c>
      <c r="J65" s="6">
        <f t="shared" si="11"/>
        <v>0</v>
      </c>
      <c r="K65" s="6">
        <f t="shared" si="12"/>
        <v>0</v>
      </c>
    </row>
    <row r="66" spans="1:11" x14ac:dyDescent="0.25">
      <c r="A66" s="11">
        <v>2022</v>
      </c>
      <c r="B66" s="20"/>
      <c r="C66" s="20"/>
    </row>
    <row r="67" spans="1:11" x14ac:dyDescent="0.25">
      <c r="A67" s="21" t="s">
        <v>57</v>
      </c>
      <c r="B67" s="20">
        <v>15</v>
      </c>
      <c r="C67" s="20">
        <v>316.81131549609808</v>
      </c>
      <c r="D67" s="6">
        <v>2022</v>
      </c>
      <c r="E67" s="6">
        <v>3</v>
      </c>
      <c r="F67" s="6">
        <f t="shared" si="6"/>
        <v>2019</v>
      </c>
      <c r="G67" s="6" t="str">
        <f t="shared" si="7"/>
        <v>2022.3</v>
      </c>
      <c r="H67" s="6">
        <f>C67</f>
        <v>316.81131549609808</v>
      </c>
      <c r="I67" s="6">
        <f>+VLOOKUP(G67,'Scale-CWT correction factors'!J$4:L$333,3,FALSE)</f>
        <v>0</v>
      </c>
      <c r="J67" s="6">
        <f t="shared" si="11"/>
        <v>15</v>
      </c>
      <c r="K67" s="6">
        <f t="shared" si="12"/>
        <v>15</v>
      </c>
    </row>
    <row r="68" spans="1:11" x14ac:dyDescent="0.25">
      <c r="A68" s="21" t="s">
        <v>56</v>
      </c>
      <c r="B68" s="20">
        <v>590.2158415841584</v>
      </c>
      <c r="C68" s="20">
        <v>4246.8915639111292</v>
      </c>
      <c r="D68" s="6">
        <v>2022</v>
      </c>
      <c r="E68" s="6">
        <v>4</v>
      </c>
      <c r="F68" s="6">
        <f t="shared" si="6"/>
        <v>2018</v>
      </c>
      <c r="G68" s="6" t="str">
        <f t="shared" si="7"/>
        <v>2022.4</v>
      </c>
      <c r="H68" s="6">
        <f>C68</f>
        <v>4246.8915639111292</v>
      </c>
      <c r="I68" s="6">
        <f>+VLOOKUP(G68,'Scale-CWT correction factors'!J$4:L$333,3,FALSE)</f>
        <v>4971.6483983918115</v>
      </c>
      <c r="J68" s="6">
        <f t="shared" si="11"/>
        <v>5561.8642399759701</v>
      </c>
      <c r="K68" s="6">
        <f t="shared" si="12"/>
        <v>590.2158415841584</v>
      </c>
    </row>
    <row r="69" spans="1:11" x14ac:dyDescent="0.25">
      <c r="A69" s="21" t="s">
        <v>58</v>
      </c>
      <c r="B69" s="20">
        <v>273.7841584158416</v>
      </c>
      <c r="C69" s="20">
        <v>8373.4677983851889</v>
      </c>
      <c r="D69" s="6">
        <v>2022</v>
      </c>
      <c r="E69" s="6">
        <v>5</v>
      </c>
      <c r="F69" s="6">
        <f t="shared" si="6"/>
        <v>2017</v>
      </c>
      <c r="G69" s="6" t="str">
        <f t="shared" si="7"/>
        <v>2022.5</v>
      </c>
      <c r="H69" s="6">
        <f t="shared" si="13"/>
        <v>8373.4677983851889</v>
      </c>
      <c r="I69" s="6">
        <f>+VLOOKUP(G69,'Scale-CWT correction factors'!J$4:L$333,3,FALSE)</f>
        <v>8024.3516016081876</v>
      </c>
      <c r="J69" s="6">
        <f t="shared" si="11"/>
        <v>8298.1357600240299</v>
      </c>
      <c r="K69" s="6">
        <f t="shared" si="12"/>
        <v>273.7841584158416</v>
      </c>
    </row>
    <row r="70" spans="1:11" x14ac:dyDescent="0.25">
      <c r="A70" s="21" t="s">
        <v>59</v>
      </c>
      <c r="B70" s="20">
        <v>0</v>
      </c>
      <c r="C70" s="20">
        <v>58.829322207583061</v>
      </c>
      <c r="D70" s="6">
        <v>2022</v>
      </c>
      <c r="E70" s="6">
        <v>6</v>
      </c>
      <c r="F70" s="6">
        <f t="shared" si="6"/>
        <v>2016</v>
      </c>
      <c r="G70" s="6" t="str">
        <f t="shared" si="7"/>
        <v>2022.6</v>
      </c>
      <c r="H70" s="6">
        <f t="shared" si="13"/>
        <v>58.829322207583061</v>
      </c>
      <c r="I70" s="6">
        <f>+VLOOKUP(G70,'Scale-CWT correction factors'!J$4:L$333,3,FALSE)</f>
        <v>0</v>
      </c>
      <c r="J70" s="6">
        <f t="shared" si="11"/>
        <v>0</v>
      </c>
      <c r="K70" s="6">
        <f t="shared" si="12"/>
        <v>0</v>
      </c>
    </row>
    <row r="71" spans="1:11" x14ac:dyDescent="0.25">
      <c r="A71" s="11">
        <v>2023</v>
      </c>
      <c r="B71" s="20"/>
      <c r="C71" s="20"/>
    </row>
    <row r="72" spans="1:11" x14ac:dyDescent="0.25">
      <c r="A72" s="21" t="s">
        <v>57</v>
      </c>
      <c r="B72" s="20">
        <v>164</v>
      </c>
      <c r="C72" s="20">
        <v>187.42857142857142</v>
      </c>
      <c r="D72" s="6">
        <v>2023</v>
      </c>
      <c r="E72" s="6">
        <v>3</v>
      </c>
      <c r="F72" s="6">
        <f t="shared" si="6"/>
        <v>2020</v>
      </c>
      <c r="G72" s="6" t="str">
        <f t="shared" si="7"/>
        <v>2023.3</v>
      </c>
      <c r="H72" s="6">
        <f t="shared" si="13"/>
        <v>187.42857142857142</v>
      </c>
      <c r="I72" s="6">
        <f>+VLOOKUP(G72,'Scale-CWT correction factors'!J$4:L$333,3,FALSE)</f>
        <v>233.54608227432547</v>
      </c>
      <c r="J72" s="6">
        <f t="shared" si="11"/>
        <v>397.5460822743255</v>
      </c>
      <c r="K72" s="6">
        <f t="shared" si="12"/>
        <v>164</v>
      </c>
    </row>
    <row r="73" spans="1:11" x14ac:dyDescent="0.25">
      <c r="A73" s="21" t="s">
        <v>56</v>
      </c>
      <c r="B73" s="20">
        <v>304.60897435897436</v>
      </c>
      <c r="C73" s="20">
        <v>2628.6981182079817</v>
      </c>
      <c r="D73" s="6">
        <v>2023</v>
      </c>
      <c r="E73" s="6">
        <v>4</v>
      </c>
      <c r="F73" s="6">
        <f t="shared" si="6"/>
        <v>2019</v>
      </c>
      <c r="G73" s="6" t="str">
        <f t="shared" si="7"/>
        <v>2023.4</v>
      </c>
      <c r="H73" s="6">
        <f t="shared" si="13"/>
        <v>2628.6981182079817</v>
      </c>
      <c r="I73" s="6">
        <f>+VLOOKUP(G73,'Scale-CWT correction factors'!J$4:L$333,3,FALSE)</f>
        <v>2490.3455856707192</v>
      </c>
      <c r="J73" s="6">
        <f t="shared" si="11"/>
        <v>2794.9545600296933</v>
      </c>
      <c r="K73" s="6">
        <f t="shared" si="12"/>
        <v>304.60897435897436</v>
      </c>
    </row>
    <row r="74" spans="1:11" x14ac:dyDescent="0.25">
      <c r="A74" s="21" t="s">
        <v>58</v>
      </c>
      <c r="B74" s="20">
        <v>99.391025641025635</v>
      </c>
      <c r="C74" s="20">
        <v>4324.2639488099767</v>
      </c>
      <c r="D74" s="6">
        <v>2023</v>
      </c>
      <c r="E74" s="6">
        <v>5</v>
      </c>
      <c r="F74" s="6">
        <f t="shared" si="6"/>
        <v>2018</v>
      </c>
      <c r="G74" s="6" t="str">
        <f t="shared" si="7"/>
        <v>2023.5</v>
      </c>
      <c r="H74" s="6">
        <f t="shared" si="13"/>
        <v>4324.2639488099767</v>
      </c>
      <c r="I74" s="6">
        <f>+VLOOKUP(G74,'Scale-CWT correction factors'!J$4:L$333,3,FALSE)</f>
        <v>4457.108332054956</v>
      </c>
      <c r="J74" s="6">
        <f t="shared" si="11"/>
        <v>4556.4993576959814</v>
      </c>
      <c r="K74" s="6">
        <f t="shared" si="12"/>
        <v>99.391025641025635</v>
      </c>
    </row>
    <row r="75" spans="1:11" x14ac:dyDescent="0.25">
      <c r="A75" s="21" t="s">
        <v>59</v>
      </c>
      <c r="B75" s="20">
        <v>0</v>
      </c>
      <c r="C75" s="20">
        <v>40.609361553470855</v>
      </c>
      <c r="D75" s="6">
        <v>2023</v>
      </c>
      <c r="E75" s="6">
        <v>6</v>
      </c>
      <c r="F75" s="6">
        <f t="shared" si="6"/>
        <v>2017</v>
      </c>
      <c r="G75" s="6" t="str">
        <f t="shared" si="7"/>
        <v>2023.6</v>
      </c>
      <c r="H75" s="6">
        <f t="shared" si="13"/>
        <v>40.609361553470855</v>
      </c>
      <c r="I75" s="6">
        <f>+VLOOKUP(G75,'Scale-CWT correction factors'!J$4:L$333,3,FALSE)</f>
        <v>0</v>
      </c>
      <c r="J75" s="6">
        <f t="shared" si="11"/>
        <v>0</v>
      </c>
      <c r="K75" s="6">
        <f t="shared" si="12"/>
        <v>0</v>
      </c>
    </row>
    <row r="76" spans="1:11" x14ac:dyDescent="0.25">
      <c r="A76" s="11">
        <v>2024</v>
      </c>
      <c r="B76" s="20"/>
      <c r="C76" s="20"/>
    </row>
    <row r="77" spans="1:11" x14ac:dyDescent="0.25">
      <c r="A77" s="21" t="s">
        <v>57</v>
      </c>
      <c r="B77" s="20">
        <v>0</v>
      </c>
      <c r="C77" s="20">
        <v>230.63636363636363</v>
      </c>
      <c r="D77" s="6">
        <v>2024</v>
      </c>
      <c r="E77" s="6">
        <v>3</v>
      </c>
      <c r="F77" s="6">
        <f t="shared" si="6"/>
        <v>2021</v>
      </c>
      <c r="G77" s="6" t="str">
        <f t="shared" si="7"/>
        <v>2024.3</v>
      </c>
      <c r="H77" s="6">
        <f t="shared" si="13"/>
        <v>230.63636363636363</v>
      </c>
      <c r="I77" s="6">
        <f>+VLOOKUP(G77,'Scale-CWT correction factors'!J$4:L$333,3,FALSE)</f>
        <v>214.16233766233765</v>
      </c>
      <c r="J77" s="6">
        <f t="shared" si="11"/>
        <v>214.16233766233765</v>
      </c>
      <c r="K77" s="6">
        <f t="shared" si="12"/>
        <v>0</v>
      </c>
    </row>
    <row r="78" spans="1:11" x14ac:dyDescent="0.25">
      <c r="A78" s="21" t="s">
        <v>56</v>
      </c>
      <c r="B78" s="20">
        <v>653.25</v>
      </c>
      <c r="C78" s="20">
        <v>2012.2426573426576</v>
      </c>
      <c r="D78" s="6">
        <v>2024</v>
      </c>
      <c r="E78" s="6">
        <v>4</v>
      </c>
      <c r="F78" s="6">
        <f t="shared" si="6"/>
        <v>2020</v>
      </c>
      <c r="G78" s="6" t="str">
        <f t="shared" si="7"/>
        <v>2024.4</v>
      </c>
      <c r="H78" s="6">
        <f t="shared" si="13"/>
        <v>2012.2426573426576</v>
      </c>
      <c r="I78" s="6">
        <f>+VLOOKUP(G78,'Scale-CWT correction factors'!J$4:L$333,3,FALSE)</f>
        <v>3284.8608724608725</v>
      </c>
      <c r="J78" s="6">
        <f t="shared" si="11"/>
        <v>3938.1108724608725</v>
      </c>
      <c r="K78" s="6">
        <f t="shared" si="12"/>
        <v>653.25</v>
      </c>
    </row>
    <row r="79" spans="1:11" x14ac:dyDescent="0.25">
      <c r="A79" s="21" t="s">
        <v>58</v>
      </c>
      <c r="B79" s="20">
        <v>27.75</v>
      </c>
      <c r="C79" s="20">
        <v>2027.9479020979022</v>
      </c>
      <c r="D79" s="6">
        <v>2024</v>
      </c>
      <c r="E79" s="6">
        <v>5</v>
      </c>
      <c r="F79" s="6">
        <f t="shared" si="6"/>
        <v>2019</v>
      </c>
      <c r="G79" s="6" t="str">
        <f t="shared" si="7"/>
        <v>2024.5</v>
      </c>
      <c r="H79" s="6">
        <f t="shared" si="13"/>
        <v>2027.9479020979022</v>
      </c>
      <c r="I79" s="6">
        <f>+VLOOKUP(G79,'Scale-CWT correction factors'!J$4:L$333,3,FALSE)</f>
        <v>795.97678987678978</v>
      </c>
      <c r="J79" s="6">
        <f t="shared" si="11"/>
        <v>823.72678987678978</v>
      </c>
      <c r="K79" s="6">
        <f t="shared" si="12"/>
        <v>27.75</v>
      </c>
    </row>
    <row r="80" spans="1:11" x14ac:dyDescent="0.25">
      <c r="A80" s="21" t="s">
        <v>59</v>
      </c>
      <c r="B80" s="20">
        <v>0</v>
      </c>
      <c r="C80" s="20">
        <v>24.173076923076923</v>
      </c>
      <c r="D80" s="6">
        <v>2024</v>
      </c>
      <c r="E80" s="6">
        <v>6</v>
      </c>
      <c r="F80" s="6">
        <f t="shared" si="6"/>
        <v>2018</v>
      </c>
      <c r="G80" s="6" t="str">
        <f t="shared" si="7"/>
        <v>2024.6</v>
      </c>
      <c r="H80" s="6">
        <f t="shared" si="13"/>
        <v>24.173076923076923</v>
      </c>
      <c r="I80" s="6">
        <f>+VLOOKUP(G80,'Scale-CWT correction factors'!J$4:L$333,3,FALSE)</f>
        <v>0</v>
      </c>
      <c r="J80" s="6">
        <f t="shared" si="11"/>
        <v>0</v>
      </c>
      <c r="K80" s="6">
        <f t="shared" si="12"/>
        <v>0</v>
      </c>
    </row>
    <row r="81" spans="1:10" x14ac:dyDescent="0.25">
      <c r="A81"/>
      <c r="B81"/>
      <c r="C81"/>
    </row>
    <row r="82" spans="1:10" x14ac:dyDescent="0.25">
      <c r="A82"/>
      <c r="B82"/>
      <c r="C82"/>
    </row>
    <row r="83" spans="1:10" x14ac:dyDescent="0.25">
      <c r="A83"/>
      <c r="B83"/>
      <c r="C83"/>
    </row>
    <row r="84" spans="1:10" x14ac:dyDescent="0.25">
      <c r="A84"/>
      <c r="B84"/>
      <c r="C84"/>
    </row>
    <row r="85" spans="1:10" x14ac:dyDescent="0.25">
      <c r="A85"/>
      <c r="B85"/>
      <c r="C85"/>
    </row>
    <row r="86" spans="1:10" x14ac:dyDescent="0.25">
      <c r="A86"/>
      <c r="B86"/>
      <c r="C86"/>
    </row>
    <row r="87" spans="1:10" x14ac:dyDescent="0.25">
      <c r="A87"/>
      <c r="B87"/>
      <c r="C87"/>
    </row>
    <row r="88" spans="1:10" x14ac:dyDescent="0.25">
      <c r="A88"/>
      <c r="B88"/>
      <c r="C88"/>
    </row>
    <row r="89" spans="1:10" x14ac:dyDescent="0.25">
      <c r="A89"/>
      <c r="B89"/>
      <c r="C89"/>
    </row>
    <row r="90" spans="1:10" x14ac:dyDescent="0.25">
      <c r="A90"/>
      <c r="B90"/>
      <c r="C90"/>
    </row>
    <row r="91" spans="1:10" x14ac:dyDescent="0.25">
      <c r="A91"/>
      <c r="B91"/>
      <c r="C91"/>
    </row>
    <row r="92" spans="1:10" x14ac:dyDescent="0.25">
      <c r="A92"/>
      <c r="B92"/>
      <c r="C92"/>
    </row>
    <row r="93" spans="1:10" x14ac:dyDescent="0.25">
      <c r="A93"/>
      <c r="B93"/>
      <c r="C93"/>
    </row>
    <row r="94" spans="1:10" x14ac:dyDescent="0.25">
      <c r="A94"/>
      <c r="B94"/>
      <c r="C94"/>
      <c r="J94" s="14"/>
    </row>
    <row r="95" spans="1:10" x14ac:dyDescent="0.25">
      <c r="A95"/>
      <c r="B95"/>
      <c r="C95"/>
    </row>
    <row r="96" spans="1:10"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row r="114" spans="1:3" x14ac:dyDescent="0.25">
      <c r="A114"/>
      <c r="B114"/>
      <c r="C114"/>
    </row>
    <row r="115" spans="1:3" x14ac:dyDescent="0.25">
      <c r="A115"/>
      <c r="B115"/>
      <c r="C115"/>
    </row>
    <row r="116" spans="1:3" x14ac:dyDescent="0.25">
      <c r="A116"/>
      <c r="B116"/>
      <c r="C116"/>
    </row>
    <row r="117" spans="1:3" x14ac:dyDescent="0.25">
      <c r="A117"/>
      <c r="B117"/>
      <c r="C117"/>
    </row>
    <row r="118" spans="1:3" x14ac:dyDescent="0.25">
      <c r="A118"/>
      <c r="B118"/>
      <c r="C118"/>
    </row>
    <row r="119" spans="1:3" x14ac:dyDescent="0.25">
      <c r="A119"/>
      <c r="B119"/>
      <c r="C119"/>
    </row>
    <row r="120" spans="1:3" x14ac:dyDescent="0.25">
      <c r="A120"/>
      <c r="B120"/>
      <c r="C120"/>
    </row>
    <row r="121" spans="1:3" x14ac:dyDescent="0.25">
      <c r="A121"/>
      <c r="B121"/>
      <c r="C121"/>
    </row>
    <row r="122" spans="1:3" x14ac:dyDescent="0.25">
      <c r="A122"/>
      <c r="B122"/>
      <c r="C122"/>
    </row>
    <row r="123" spans="1:3" x14ac:dyDescent="0.25">
      <c r="A123"/>
      <c r="B123"/>
      <c r="C123"/>
    </row>
    <row r="124" spans="1:3" x14ac:dyDescent="0.25">
      <c r="A124"/>
      <c r="B124"/>
      <c r="C124"/>
    </row>
    <row r="125" spans="1:3" x14ac:dyDescent="0.25">
      <c r="A125"/>
      <c r="B125"/>
      <c r="C125"/>
    </row>
    <row r="126" spans="1:3" x14ac:dyDescent="0.25">
      <c r="A126"/>
      <c r="B126"/>
      <c r="C126"/>
    </row>
    <row r="127" spans="1:3" x14ac:dyDescent="0.25">
      <c r="A127"/>
      <c r="B127"/>
      <c r="C127"/>
    </row>
    <row r="128" spans="1:3" x14ac:dyDescent="0.25">
      <c r="A128"/>
      <c r="B128"/>
      <c r="C128"/>
    </row>
    <row r="129" spans="1:3" x14ac:dyDescent="0.25">
      <c r="A129"/>
      <c r="B129"/>
      <c r="C129"/>
    </row>
    <row r="130" spans="1:3" x14ac:dyDescent="0.25">
      <c r="A130"/>
      <c r="B130"/>
      <c r="C130"/>
    </row>
    <row r="131" spans="1:3" x14ac:dyDescent="0.25">
      <c r="A131"/>
      <c r="B131"/>
      <c r="C131"/>
    </row>
    <row r="132" spans="1:3" x14ac:dyDescent="0.25">
      <c r="A132"/>
      <c r="B132"/>
      <c r="C132"/>
    </row>
    <row r="133" spans="1:3" x14ac:dyDescent="0.25">
      <c r="A133"/>
      <c r="B133"/>
      <c r="C133"/>
    </row>
    <row r="134" spans="1:3" x14ac:dyDescent="0.25">
      <c r="A134"/>
      <c r="B134"/>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3" x14ac:dyDescent="0.25">
      <c r="A145"/>
      <c r="B145"/>
      <c r="C145"/>
    </row>
    <row r="146" spans="1:3" x14ac:dyDescent="0.25">
      <c r="A146"/>
      <c r="B146"/>
      <c r="C146"/>
    </row>
    <row r="147" spans="1:3" x14ac:dyDescent="0.25">
      <c r="A147"/>
      <c r="B147"/>
      <c r="C147"/>
    </row>
    <row r="148" spans="1:3" x14ac:dyDescent="0.25">
      <c r="A148"/>
      <c r="B148"/>
      <c r="C148"/>
    </row>
    <row r="149" spans="1:3" x14ac:dyDescent="0.25">
      <c r="A149"/>
      <c r="B149"/>
      <c r="C149"/>
    </row>
    <row r="150" spans="1:3" x14ac:dyDescent="0.25">
      <c r="A150"/>
      <c r="B150"/>
      <c r="C150"/>
    </row>
    <row r="151" spans="1:3" x14ac:dyDescent="0.25">
      <c r="A151"/>
      <c r="B151"/>
      <c r="C151"/>
    </row>
    <row r="152" spans="1:3" x14ac:dyDescent="0.25">
      <c r="A152"/>
      <c r="B152"/>
      <c r="C152"/>
    </row>
    <row r="153" spans="1:3" x14ac:dyDescent="0.25">
      <c r="A153"/>
      <c r="B153"/>
      <c r="C153"/>
    </row>
    <row r="154" spans="1:3" x14ac:dyDescent="0.25">
      <c r="A154"/>
      <c r="B154"/>
      <c r="C154"/>
    </row>
    <row r="155" spans="1:3" x14ac:dyDescent="0.25">
      <c r="A155"/>
      <c r="B155"/>
      <c r="C155"/>
    </row>
    <row r="156" spans="1:3" x14ac:dyDescent="0.25">
      <c r="A156"/>
      <c r="B156"/>
      <c r="C156"/>
    </row>
    <row r="157" spans="1:3" x14ac:dyDescent="0.25">
      <c r="A157"/>
      <c r="B157"/>
      <c r="C157"/>
    </row>
    <row r="158" spans="1:3" x14ac:dyDescent="0.25">
      <c r="A158"/>
      <c r="B158"/>
      <c r="C158"/>
    </row>
    <row r="159" spans="1:3" x14ac:dyDescent="0.25">
      <c r="A159"/>
      <c r="B159"/>
      <c r="C159"/>
    </row>
    <row r="160" spans="1:3"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sheetData>
  <pageMargins left="0.7" right="0.7" top="0.75" bottom="0.75" header="0.3" footer="0.3"/>
  <pageSetup orientation="portrait" r:id="rId2"/>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Q64"/>
  <sheetViews>
    <sheetView workbookViewId="0">
      <selection activeCell="H22" sqref="H22"/>
    </sheetView>
  </sheetViews>
  <sheetFormatPr defaultRowHeight="15" x14ac:dyDescent="0.25"/>
  <cols>
    <col min="1" max="1" width="27" bestFit="1" customWidth="1"/>
    <col min="2" max="2" width="16.28515625" bestFit="1" customWidth="1"/>
    <col min="3" max="4" width="12" bestFit="1" customWidth="1"/>
    <col min="5" max="5" width="2" bestFit="1" customWidth="1"/>
    <col min="6" max="6" width="11.28515625" style="6" bestFit="1" customWidth="1"/>
    <col min="7" max="7" width="8.42578125" style="6" bestFit="1" customWidth="1"/>
    <col min="8" max="8" width="16.42578125" style="6" bestFit="1" customWidth="1"/>
    <col min="9" max="10" width="10.5703125" bestFit="1" customWidth="1"/>
    <col min="11" max="11" width="18" bestFit="1" customWidth="1"/>
    <col min="16" max="16" width="16.5703125" bestFit="1" customWidth="1"/>
  </cols>
  <sheetData>
    <row r="3" spans="1:17" x14ac:dyDescent="0.25">
      <c r="M3" t="s">
        <v>3131</v>
      </c>
    </row>
    <row r="5" spans="1:17" x14ac:dyDescent="0.25">
      <c r="M5" t="s">
        <v>77</v>
      </c>
      <c r="N5" t="s">
        <v>78</v>
      </c>
      <c r="O5" t="s">
        <v>67</v>
      </c>
      <c r="P5" t="s">
        <v>3118</v>
      </c>
      <c r="Q5" t="s">
        <v>3119</v>
      </c>
    </row>
    <row r="6" spans="1:17" s="6" customFormat="1" x14ac:dyDescent="0.25">
      <c r="M6" s="6">
        <v>2010</v>
      </c>
      <c r="N6" s="6">
        <v>3</v>
      </c>
      <c r="O6" s="6">
        <v>44.751014357053684</v>
      </c>
      <c r="P6" s="109">
        <f>O6/SUM(O$6:$O$9)</f>
        <v>5.9525158761710145E-3</v>
      </c>
    </row>
    <row r="7" spans="1:17" s="6" customFormat="1" ht="15.75" thickBot="1" x14ac:dyDescent="0.3">
      <c r="A7" s="10" t="s">
        <v>3132</v>
      </c>
      <c r="B7" s="10" t="s">
        <v>76</v>
      </c>
      <c r="C7"/>
      <c r="D7"/>
      <c r="E7"/>
      <c r="F7"/>
      <c r="G7"/>
      <c r="H7"/>
      <c r="M7" s="6">
        <v>2010</v>
      </c>
      <c r="N7" s="6">
        <v>4</v>
      </c>
      <c r="O7" s="6">
        <v>3880.8798690109156</v>
      </c>
      <c r="P7" s="109">
        <f>O7/SUM(O$6:$O$9)</f>
        <v>0.51621174102300027</v>
      </c>
    </row>
    <row r="8" spans="1:17" s="6" customFormat="1" x14ac:dyDescent="0.25">
      <c r="A8" s="10" t="s">
        <v>71</v>
      </c>
      <c r="B8" s="6">
        <v>3</v>
      </c>
      <c r="C8" s="6">
        <v>4</v>
      </c>
      <c r="D8" s="6">
        <v>5</v>
      </c>
      <c r="E8" s="6">
        <v>6</v>
      </c>
      <c r="F8" s="6" t="s">
        <v>8</v>
      </c>
      <c r="G8" t="s">
        <v>0</v>
      </c>
      <c r="H8" s="124" t="s">
        <v>3133</v>
      </c>
      <c r="I8" s="124" t="s">
        <v>3134</v>
      </c>
      <c r="J8" s="124" t="s">
        <v>3135</v>
      </c>
      <c r="K8" s="125" t="s">
        <v>3136</v>
      </c>
      <c r="M8" s="6">
        <v>2010</v>
      </c>
      <c r="N8" s="6">
        <v>5</v>
      </c>
      <c r="O8" s="6">
        <v>3241.3351428742781</v>
      </c>
      <c r="P8" s="109">
        <f>O8/SUM(O$6:$O$9)</f>
        <v>0.43114327518944906</v>
      </c>
    </row>
    <row r="9" spans="1:17" s="6" customFormat="1" x14ac:dyDescent="0.25">
      <c r="A9" s="11">
        <v>2017</v>
      </c>
      <c r="B9" s="20">
        <v>3426.4285714285716</v>
      </c>
      <c r="C9" s="20">
        <v>263.57142857142856</v>
      </c>
      <c r="D9" s="20">
        <v>0</v>
      </c>
      <c r="E9" s="20">
        <v>0</v>
      </c>
      <c r="F9" s="20">
        <v>3690</v>
      </c>
      <c r="G9" s="6">
        <f>A11</f>
        <v>2019</v>
      </c>
      <c r="H9" s="18">
        <f t="shared" ref="H9:K11" si="0">B11/$F11</f>
        <v>0</v>
      </c>
      <c r="I9" s="18">
        <f t="shared" si="0"/>
        <v>0.42926829268292693</v>
      </c>
      <c r="J9" s="18">
        <f t="shared" si="0"/>
        <v>0.57073170731707312</v>
      </c>
      <c r="K9" s="109">
        <f t="shared" si="0"/>
        <v>0</v>
      </c>
      <c r="M9" s="6">
        <v>2010</v>
      </c>
      <c r="N9" s="6">
        <v>6</v>
      </c>
      <c r="O9" s="6">
        <v>351.03397375775205</v>
      </c>
      <c r="P9" s="109">
        <f>O9/SUM(O$6:$O$9)</f>
        <v>4.6692467911379626E-2</v>
      </c>
    </row>
    <row r="10" spans="1:17" s="6" customFormat="1" x14ac:dyDescent="0.25">
      <c r="A10" s="11">
        <v>2018</v>
      </c>
      <c r="B10" s="20">
        <v>0</v>
      </c>
      <c r="C10" s="20">
        <v>1186.3231038694498</v>
      </c>
      <c r="D10" s="20">
        <v>1031.6768961305502</v>
      </c>
      <c r="E10" s="20">
        <v>0</v>
      </c>
      <c r="F10" s="20">
        <v>2218</v>
      </c>
      <c r="G10" s="6">
        <f>A12</f>
        <v>2020</v>
      </c>
      <c r="H10" s="18">
        <f t="shared" si="0"/>
        <v>2.1732182806008308E-2</v>
      </c>
      <c r="I10" s="18">
        <f t="shared" si="0"/>
        <v>0.28724722024450328</v>
      </c>
      <c r="J10" s="18">
        <f t="shared" si="0"/>
        <v>0.69102059694948836</v>
      </c>
      <c r="K10" s="109">
        <f t="shared" si="0"/>
        <v>0</v>
      </c>
    </row>
    <row r="11" spans="1:17" s="6" customFormat="1" x14ac:dyDescent="0.25">
      <c r="A11" s="11">
        <v>2019</v>
      </c>
      <c r="B11" s="20">
        <v>0</v>
      </c>
      <c r="C11" s="20">
        <v>1027.2390243902441</v>
      </c>
      <c r="D11" s="20">
        <v>1365.7609756097561</v>
      </c>
      <c r="E11" s="20">
        <v>0</v>
      </c>
      <c r="F11" s="20">
        <v>2393</v>
      </c>
      <c r="G11" s="6">
        <f>A13</f>
        <v>2021</v>
      </c>
      <c r="H11" s="18">
        <f t="shared" si="0"/>
        <v>3.1759786444130036E-2</v>
      </c>
      <c r="I11" s="18">
        <f t="shared" si="0"/>
        <v>0.59486879649734303</v>
      </c>
      <c r="J11" s="18">
        <f t="shared" si="0"/>
        <v>0.37337141705852689</v>
      </c>
      <c r="K11" s="109">
        <f t="shared" si="0"/>
        <v>0</v>
      </c>
      <c r="M11" s="6">
        <v>2011</v>
      </c>
      <c r="N11" s="6">
        <v>3</v>
      </c>
      <c r="O11" s="6">
        <v>19</v>
      </c>
      <c r="P11" s="109">
        <f>O11/SUM(O$11:$O$14)</f>
        <v>2.2578728461081403E-3</v>
      </c>
    </row>
    <row r="12" spans="1:17" s="6" customFormat="1" x14ac:dyDescent="0.25">
      <c r="A12" s="11">
        <v>2020</v>
      </c>
      <c r="B12" s="20">
        <v>136</v>
      </c>
      <c r="C12" s="20">
        <v>1797.5931042901018</v>
      </c>
      <c r="D12" s="20">
        <v>4324.4068957098989</v>
      </c>
      <c r="E12" s="20">
        <v>0</v>
      </c>
      <c r="F12" s="20">
        <v>6258.0000000000009</v>
      </c>
      <c r="G12" s="20">
        <v>2022</v>
      </c>
      <c r="H12" s="18">
        <f t="shared" ref="H12:H13" si="1">B14/$F14</f>
        <v>0</v>
      </c>
      <c r="I12" s="18">
        <f t="shared" ref="I12:I13" si="2">C14/$F14</f>
        <v>0.38255220055338657</v>
      </c>
      <c r="J12" s="18">
        <f t="shared" ref="J12:J13" si="3">D14/$F14</f>
        <v>0.61744779944661343</v>
      </c>
      <c r="K12" s="109">
        <f t="shared" ref="K12:K13" si="4">E14/$F14</f>
        <v>0</v>
      </c>
      <c r="M12" s="6">
        <v>2011</v>
      </c>
      <c r="N12" s="6">
        <v>4</v>
      </c>
      <c r="O12" s="6">
        <v>1405.2216040009296</v>
      </c>
      <c r="P12" s="109">
        <f>O12/SUM(O$11:$O$14)</f>
        <v>0.16699008960201184</v>
      </c>
    </row>
    <row r="13" spans="1:17" s="6" customFormat="1" x14ac:dyDescent="0.25">
      <c r="A13" s="11">
        <v>2021</v>
      </c>
      <c r="B13" s="20">
        <v>165.81784502480292</v>
      </c>
      <c r="C13" s="20">
        <v>3105.8099865126283</v>
      </c>
      <c r="D13" s="20">
        <v>1949.3721684625689</v>
      </c>
      <c r="E13" s="20">
        <v>0</v>
      </c>
      <c r="F13" s="20">
        <v>5221</v>
      </c>
      <c r="G13" s="20">
        <v>2023</v>
      </c>
      <c r="H13" s="18">
        <f t="shared" si="1"/>
        <v>3.2522779873879054E-2</v>
      </c>
      <c r="I13" s="18">
        <f t="shared" si="2"/>
        <v>0.3467964887440077</v>
      </c>
      <c r="J13" s="18">
        <f t="shared" si="3"/>
        <v>0.62068073138211333</v>
      </c>
      <c r="K13" s="109">
        <f t="shared" si="4"/>
        <v>0</v>
      </c>
      <c r="M13" s="6">
        <v>2011</v>
      </c>
      <c r="N13" s="6">
        <v>5</v>
      </c>
      <c r="O13" s="6">
        <v>6811.3083797317649</v>
      </c>
      <c r="P13" s="109">
        <f>O13/SUM(O$11:$O$14)</f>
        <v>0.8094246440560624</v>
      </c>
    </row>
    <row r="14" spans="1:17" s="6" customFormat="1" x14ac:dyDescent="0.25">
      <c r="A14" s="11">
        <v>2022</v>
      </c>
      <c r="B14" s="20">
        <v>0</v>
      </c>
      <c r="C14" s="20">
        <v>4971.6483983918115</v>
      </c>
      <c r="D14" s="20">
        <v>8024.3516016081876</v>
      </c>
      <c r="E14" s="20">
        <v>0</v>
      </c>
      <c r="F14" s="20">
        <v>12996</v>
      </c>
      <c r="G14" s="20">
        <v>2024</v>
      </c>
      <c r="H14" s="18">
        <f t="shared" ref="H14" si="5">B16/$F16</f>
        <v>4.9863175241522152E-2</v>
      </c>
      <c r="I14" s="18">
        <f t="shared" ref="I14" si="6">C16/$F16</f>
        <v>0.76481044760439409</v>
      </c>
      <c r="J14" s="18">
        <f t="shared" ref="J14" si="7">D16/$F16</f>
        <v>0.18532637715408376</v>
      </c>
      <c r="K14" s="109">
        <f t="shared" ref="K14" si="8">E16/$F16</f>
        <v>0</v>
      </c>
      <c r="M14" s="6">
        <v>2011</v>
      </c>
      <c r="N14" s="6">
        <v>6</v>
      </c>
      <c r="O14" s="6">
        <v>179.47001626730588</v>
      </c>
      <c r="P14" s="109">
        <f>O14/SUM(O$11:$O$14)</f>
        <v>2.1327393495817693E-2</v>
      </c>
    </row>
    <row r="15" spans="1:17" s="6" customFormat="1" x14ac:dyDescent="0.25">
      <c r="A15" s="11">
        <v>2023</v>
      </c>
      <c r="B15" s="20">
        <v>233.54608227432547</v>
      </c>
      <c r="C15" s="20">
        <v>2490.3455856707192</v>
      </c>
      <c r="D15" s="20">
        <v>4457.108332054956</v>
      </c>
      <c r="E15" s="20">
        <v>0</v>
      </c>
      <c r="F15" s="20">
        <v>7181</v>
      </c>
      <c r="G15" s="6" t="s">
        <v>3138</v>
      </c>
      <c r="H15" s="126">
        <f>AVERAGE(H9:H13)</f>
        <v>1.7202949824803478E-2</v>
      </c>
      <c r="I15" s="126">
        <f>AVERAGE(I9:I13)</f>
        <v>0.40814659974443346</v>
      </c>
      <c r="J15" s="126">
        <f>AVERAGE(J9:J13)</f>
        <v>0.57465045043076302</v>
      </c>
      <c r="K15" s="128">
        <f>AVERAGE(K9:K13)</f>
        <v>0</v>
      </c>
    </row>
    <row r="16" spans="1:17" s="6" customFormat="1" x14ac:dyDescent="0.25">
      <c r="A16" s="11">
        <v>2024</v>
      </c>
      <c r="B16" s="20">
        <v>214.16233766233765</v>
      </c>
      <c r="C16" s="20">
        <v>3284.8608724608725</v>
      </c>
      <c r="D16" s="20">
        <v>795.97678987678978</v>
      </c>
      <c r="E16" s="20">
        <v>0</v>
      </c>
      <c r="F16" s="20">
        <v>4295</v>
      </c>
      <c r="G16"/>
      <c r="H16"/>
      <c r="J16"/>
      <c r="M16" s="6">
        <v>2012</v>
      </c>
      <c r="N16" s="6">
        <v>3</v>
      </c>
      <c r="O16" s="6">
        <v>176.92207269381183</v>
      </c>
      <c r="P16" s="109">
        <f>O16/SUM(O$16:$O$19)</f>
        <v>4.1269436131050115E-2</v>
      </c>
    </row>
    <row r="17" spans="1:16" s="6" customFormat="1" x14ac:dyDescent="0.25">
      <c r="A17" s="11" t="s">
        <v>8</v>
      </c>
      <c r="B17" s="20">
        <v>4175.9548363900376</v>
      </c>
      <c r="C17" s="20">
        <v>18127.391504157255</v>
      </c>
      <c r="D17" s="20">
        <v>21948.653659452706</v>
      </c>
      <c r="E17" s="20">
        <v>0</v>
      </c>
      <c r="F17" s="20">
        <v>44252</v>
      </c>
      <c r="G17"/>
      <c r="H17"/>
      <c r="J17"/>
      <c r="M17" s="6">
        <v>2012</v>
      </c>
      <c r="N17" s="6">
        <v>4</v>
      </c>
      <c r="O17" s="6">
        <v>1411.3554609481762</v>
      </c>
      <c r="P17" s="109">
        <f>O17/SUM(O$16:$O$19)</f>
        <v>0.32921750896855057</v>
      </c>
    </row>
    <row r="18" spans="1:16" s="6" customFormat="1" x14ac:dyDescent="0.25">
      <c r="A18"/>
      <c r="B18"/>
      <c r="C18"/>
      <c r="D18"/>
      <c r="E18"/>
      <c r="F18"/>
      <c r="G18"/>
      <c r="H18"/>
      <c r="J18"/>
      <c r="M18" s="6">
        <v>2012</v>
      </c>
      <c r="N18" s="6">
        <v>5</v>
      </c>
      <c r="O18" s="6">
        <v>2626.4035134225169</v>
      </c>
      <c r="P18" s="109">
        <f>O18/SUM(O$16:$O$19)</f>
        <v>0.61264369335724678</v>
      </c>
    </row>
    <row r="19" spans="1:16" s="6" customFormat="1" x14ac:dyDescent="0.25">
      <c r="A19"/>
      <c r="B19"/>
      <c r="C19"/>
      <c r="D19"/>
      <c r="E19"/>
      <c r="F19"/>
      <c r="G19"/>
      <c r="H19"/>
      <c r="J19"/>
      <c r="M19" s="6">
        <v>2012</v>
      </c>
      <c r="N19" s="6">
        <v>6</v>
      </c>
      <c r="O19" s="6">
        <v>72.318952935494821</v>
      </c>
      <c r="P19" s="109">
        <f>O19/SUM(O$16:$O$19)</f>
        <v>1.6869361543152512E-2</v>
      </c>
    </row>
    <row r="20" spans="1:16" s="6" customFormat="1" x14ac:dyDescent="0.25">
      <c r="A20"/>
      <c r="B20"/>
      <c r="C20"/>
      <c r="D20"/>
      <c r="E20"/>
      <c r="F20"/>
      <c r="G20"/>
      <c r="H20"/>
      <c r="J20"/>
      <c r="P20" s="109"/>
    </row>
    <row r="21" spans="1:16" s="6" customFormat="1" x14ac:dyDescent="0.25">
      <c r="A21"/>
      <c r="B21"/>
      <c r="C21"/>
      <c r="D21"/>
      <c r="E21"/>
      <c r="F21"/>
      <c r="G21"/>
      <c r="H21"/>
      <c r="J21"/>
      <c r="M21" s="6">
        <v>2013</v>
      </c>
      <c r="N21" s="6">
        <v>3</v>
      </c>
      <c r="O21" s="6">
        <v>400.75590451345658</v>
      </c>
      <c r="P21" s="109">
        <f>O21/SUM(O$21:$O$24)</f>
        <v>9.0607258537973454E-2</v>
      </c>
    </row>
    <row r="22" spans="1:16" s="6" customFormat="1" x14ac:dyDescent="0.25">
      <c r="A22"/>
      <c r="B22"/>
      <c r="C22"/>
      <c r="D22"/>
      <c r="E22"/>
      <c r="F22"/>
      <c r="G22"/>
      <c r="H22"/>
      <c r="J22"/>
      <c r="M22" s="6">
        <v>2013</v>
      </c>
      <c r="N22" s="6">
        <v>4</v>
      </c>
      <c r="O22" s="6">
        <v>2495.8152482962564</v>
      </c>
      <c r="P22" s="109">
        <f>O22/SUM(O$21:$O$24)</f>
        <v>0.564281087111973</v>
      </c>
    </row>
    <row r="23" spans="1:16" s="6" customFormat="1" x14ac:dyDescent="0.25">
      <c r="A23"/>
      <c r="B23"/>
      <c r="C23"/>
      <c r="D23"/>
      <c r="E23"/>
      <c r="F23"/>
      <c r="J23"/>
      <c r="M23" s="6">
        <v>2013</v>
      </c>
      <c r="N23" s="6">
        <v>5</v>
      </c>
      <c r="O23" s="6">
        <v>1486.2444547810755</v>
      </c>
      <c r="P23" s="109">
        <f>O23/SUM(O$21:$O$24)</f>
        <v>0.33602632936492777</v>
      </c>
    </row>
    <row r="24" spans="1:16" s="6" customFormat="1" x14ac:dyDescent="0.25">
      <c r="A24"/>
      <c r="B24"/>
      <c r="C24"/>
      <c r="D24"/>
      <c r="E24"/>
      <c r="F24"/>
      <c r="J24"/>
      <c r="M24" s="6">
        <v>2013</v>
      </c>
      <c r="N24" s="6">
        <v>6</v>
      </c>
      <c r="O24" s="6">
        <v>40.184392409211426</v>
      </c>
      <c r="P24" s="109">
        <f>O24/SUM(O$21:$O$24)</f>
        <v>9.0853249851258026E-3</v>
      </c>
    </row>
    <row r="25" spans="1:16" s="6" customFormat="1" x14ac:dyDescent="0.25">
      <c r="P25" s="109"/>
    </row>
    <row r="26" spans="1:16" s="6" customFormat="1" x14ac:dyDescent="0.25">
      <c r="M26" s="6">
        <v>2014</v>
      </c>
      <c r="N26" s="6">
        <v>3</v>
      </c>
      <c r="O26" s="6">
        <v>30.842105263157894</v>
      </c>
      <c r="P26" s="109">
        <f>O26/SUM(O$26:$O$29)</f>
        <v>2.3075045086905503E-3</v>
      </c>
    </row>
    <row r="27" spans="1:16" s="6" customFormat="1" x14ac:dyDescent="0.25">
      <c r="M27" s="6">
        <v>2014</v>
      </c>
      <c r="N27" s="6">
        <v>4</v>
      </c>
      <c r="O27" s="6">
        <v>5816.2648276535492</v>
      </c>
      <c r="P27" s="109">
        <f>O27/SUM(O$26:$O$29)</f>
        <v>0.43515373542223174</v>
      </c>
    </row>
    <row r="28" spans="1:16" s="6" customFormat="1" x14ac:dyDescent="0.25">
      <c r="M28" s="6">
        <v>2014</v>
      </c>
      <c r="N28" s="6">
        <v>5</v>
      </c>
      <c r="O28" s="6">
        <v>7388.9483025746185</v>
      </c>
      <c r="P28" s="109">
        <f>O28/SUM(O$26:$O$29)</f>
        <v>0.55281672172487051</v>
      </c>
    </row>
    <row r="29" spans="1:16" s="6" customFormat="1" x14ac:dyDescent="0.25">
      <c r="M29" s="6">
        <v>2014</v>
      </c>
      <c r="N29" s="6">
        <v>6</v>
      </c>
      <c r="O29" s="6">
        <v>129.9447645086743</v>
      </c>
      <c r="P29" s="109">
        <f>O29/SUM(O$26:$O$29)</f>
        <v>9.7220383442072639E-3</v>
      </c>
    </row>
    <row r="30" spans="1:16" s="6" customFormat="1" x14ac:dyDescent="0.25">
      <c r="P30" s="109"/>
    </row>
    <row r="31" spans="1:16" s="6" customFormat="1" x14ac:dyDescent="0.25">
      <c r="M31" s="6">
        <v>2015</v>
      </c>
      <c r="N31" s="6">
        <v>3</v>
      </c>
      <c r="O31" s="6">
        <v>19.136842105263156</v>
      </c>
      <c r="P31" s="109">
        <f>O31/SUM(O$31:$O$34)</f>
        <v>1.7400292876216727E-3</v>
      </c>
    </row>
    <row r="32" spans="1:16" s="6" customFormat="1" x14ac:dyDescent="0.25">
      <c r="M32" s="6">
        <v>2015</v>
      </c>
      <c r="N32" s="6">
        <v>4</v>
      </c>
      <c r="O32" s="6">
        <v>3350.2609958074904</v>
      </c>
      <c r="P32" s="109">
        <f>O32/SUM(O$31:$O$34)</f>
        <v>0.30462456772208496</v>
      </c>
    </row>
    <row r="33" spans="9:17" s="6" customFormat="1" x14ac:dyDescent="0.25">
      <c r="M33" s="6">
        <v>2015</v>
      </c>
      <c r="N33" s="6">
        <v>5</v>
      </c>
      <c r="O33" s="6">
        <v>7530.9114601018682</v>
      </c>
      <c r="P33" s="109">
        <f>O33/SUM(O$31:$O$34)</f>
        <v>0.68475281506654562</v>
      </c>
    </row>
    <row r="34" spans="9:17" s="6" customFormat="1" x14ac:dyDescent="0.25">
      <c r="M34" s="6">
        <v>2015</v>
      </c>
      <c r="N34" s="6">
        <v>6</v>
      </c>
      <c r="O34" s="6">
        <v>97.690701985378183</v>
      </c>
      <c r="P34" s="109">
        <f>O34/SUM(O$31:$O$34)</f>
        <v>8.8825879237477891E-3</v>
      </c>
    </row>
    <row r="35" spans="9:17" s="6" customFormat="1" x14ac:dyDescent="0.25"/>
    <row r="36" spans="9:17" s="6" customFormat="1" x14ac:dyDescent="0.25">
      <c r="M36" s="6">
        <v>2016</v>
      </c>
      <c r="N36" s="6">
        <v>3</v>
      </c>
      <c r="O36" s="6">
        <v>109</v>
      </c>
      <c r="P36" s="109">
        <f>O36/SUM(O$36:$O$39)</f>
        <v>2.54494513191688E-2</v>
      </c>
    </row>
    <row r="37" spans="9:17" s="6" customFormat="1" x14ac:dyDescent="0.25">
      <c r="M37" s="6">
        <v>2016</v>
      </c>
      <c r="N37" s="6">
        <v>4</v>
      </c>
      <c r="O37" s="6">
        <v>1251.3861111111112</v>
      </c>
      <c r="P37" s="109">
        <f>O37/SUM(O$36:$O$39)</f>
        <v>0.29217513684592827</v>
      </c>
    </row>
    <row r="38" spans="9:17" s="6" customFormat="1" x14ac:dyDescent="0.25">
      <c r="I38"/>
      <c r="J38"/>
      <c r="K38"/>
      <c r="M38" s="6">
        <v>2016</v>
      </c>
      <c r="N38" s="6">
        <v>5</v>
      </c>
      <c r="O38" s="6">
        <v>2613.9068888888892</v>
      </c>
      <c r="P38" s="109">
        <f>O38/SUM(O$36:$O$39)</f>
        <v>0.61029812955612628</v>
      </c>
    </row>
    <row r="39" spans="9:17" s="6" customFormat="1" x14ac:dyDescent="0.25">
      <c r="I39"/>
      <c r="J39"/>
      <c r="K39"/>
      <c r="M39" s="6">
        <v>2016</v>
      </c>
      <c r="N39" s="6">
        <v>6</v>
      </c>
      <c r="O39" s="6">
        <v>308.70699999999999</v>
      </c>
      <c r="P39" s="109">
        <f>O39/SUM(O$36:$O$39)</f>
        <v>7.2077282278776536E-2</v>
      </c>
    </row>
    <row r="41" spans="9:17" x14ac:dyDescent="0.25">
      <c r="M41">
        <v>2017</v>
      </c>
      <c r="N41">
        <v>3</v>
      </c>
      <c r="O41" s="6">
        <v>9.5</v>
      </c>
      <c r="P41" s="109">
        <f>O41/SUM(O$41:$O$44)</f>
        <v>2.5689561925365061E-3</v>
      </c>
      <c r="Q41">
        <v>0.125</v>
      </c>
    </row>
    <row r="42" spans="9:17" x14ac:dyDescent="0.25">
      <c r="M42">
        <v>2017</v>
      </c>
      <c r="N42">
        <v>4</v>
      </c>
      <c r="O42" s="6">
        <v>1542.2316413434626</v>
      </c>
      <c r="P42" s="109">
        <f>O42/SUM(O$41:$O$44)</f>
        <v>0.41704479214263457</v>
      </c>
      <c r="Q42">
        <v>0.27313866120218599</v>
      </c>
    </row>
    <row r="43" spans="9:17" x14ac:dyDescent="0.25">
      <c r="M43">
        <v>2017</v>
      </c>
      <c r="N43">
        <v>5</v>
      </c>
      <c r="O43" s="6">
        <v>1944.9279621484739</v>
      </c>
      <c r="P43" s="109">
        <f>O43/SUM(O$41:$O$44)</f>
        <v>0.52594049814723465</v>
      </c>
      <c r="Q43">
        <v>0.55245901639344264</v>
      </c>
    </row>
    <row r="44" spans="9:17" x14ac:dyDescent="0.25">
      <c r="M44">
        <v>2017</v>
      </c>
      <c r="N44">
        <v>6</v>
      </c>
      <c r="O44" s="6">
        <v>201.34039650806346</v>
      </c>
      <c r="P44" s="109">
        <f>O44/SUM(O$41:$O$44)</f>
        <v>5.4445753517594231E-2</v>
      </c>
      <c r="Q44">
        <v>4.940232240437159E-2</v>
      </c>
    </row>
    <row r="45" spans="9:17" x14ac:dyDescent="0.25">
      <c r="P45" s="109"/>
    </row>
    <row r="46" spans="9:17" x14ac:dyDescent="0.25">
      <c r="M46">
        <v>2018</v>
      </c>
      <c r="N46">
        <v>3</v>
      </c>
      <c r="O46">
        <v>0</v>
      </c>
      <c r="P46" s="109">
        <f>O46/SUM(O$46:$O$49)</f>
        <v>0</v>
      </c>
      <c r="Q46">
        <v>0</v>
      </c>
    </row>
    <row r="47" spans="9:17" x14ac:dyDescent="0.25">
      <c r="M47">
        <v>2018</v>
      </c>
      <c r="N47">
        <v>4</v>
      </c>
      <c r="O47">
        <v>1203.4591301230801</v>
      </c>
      <c r="P47" s="109">
        <f>O47/SUM(O$46:$O$49)</f>
        <v>0.52415467339855404</v>
      </c>
      <c r="Q47">
        <v>0.52415467339855404</v>
      </c>
    </row>
    <row r="48" spans="9:17" x14ac:dyDescent="0.25">
      <c r="M48">
        <v>2018</v>
      </c>
      <c r="N48">
        <v>5</v>
      </c>
      <c r="O48">
        <v>1049.9035471248776</v>
      </c>
      <c r="P48" s="109">
        <f>O48/SUM(O$46:$O$49)</f>
        <v>0.45727506407877944</v>
      </c>
      <c r="Q48">
        <v>0.45727506407877944</v>
      </c>
    </row>
    <row r="49" spans="13:17" x14ac:dyDescent="0.25">
      <c r="M49">
        <v>2018</v>
      </c>
      <c r="N49">
        <v>6</v>
      </c>
      <c r="O49">
        <v>42.637322752042415</v>
      </c>
      <c r="P49" s="109">
        <f>O49/SUM(O$46:$O$49)</f>
        <v>1.8570262522666556E-2</v>
      </c>
      <c r="Q49">
        <v>1.8570262522666556E-2</v>
      </c>
    </row>
    <row r="50" spans="13:17" x14ac:dyDescent="0.25">
      <c r="P50" s="109"/>
    </row>
    <row r="51" spans="13:17" x14ac:dyDescent="0.25">
      <c r="M51">
        <v>2019</v>
      </c>
      <c r="N51">
        <v>3</v>
      </c>
      <c r="O51">
        <v>0</v>
      </c>
      <c r="P51" s="109">
        <f>O51/SUM(O$51:$O$54)</f>
        <v>0</v>
      </c>
      <c r="Q51">
        <v>0</v>
      </c>
    </row>
    <row r="52" spans="13:17" x14ac:dyDescent="0.25">
      <c r="M52">
        <v>2019</v>
      </c>
      <c r="N52">
        <v>4</v>
      </c>
      <c r="O52">
        <v>1092.339024390244</v>
      </c>
      <c r="P52" s="109">
        <f>O52/SUM(O$51:$O$54)</f>
        <v>0.43906636240245533</v>
      </c>
      <c r="Q52">
        <v>0.43906636240245533</v>
      </c>
    </row>
    <row r="53" spans="13:17" x14ac:dyDescent="0.25">
      <c r="M53">
        <v>2019</v>
      </c>
      <c r="N53">
        <v>5</v>
      </c>
      <c r="O53">
        <v>1317.7075447154473</v>
      </c>
      <c r="P53" s="109">
        <f>O53/SUM(O$51:$O$54)</f>
        <v>0.52965338182570332</v>
      </c>
      <c r="Q53">
        <v>0.52965338182570332</v>
      </c>
    </row>
    <row r="54" spans="13:17" x14ac:dyDescent="0.25">
      <c r="M54">
        <v>2019</v>
      </c>
      <c r="N54">
        <v>6</v>
      </c>
      <c r="O54">
        <v>77.82113821138212</v>
      </c>
      <c r="P54" s="109">
        <f>O54/SUM(O$51:$O$54)</f>
        <v>3.1280255771841153E-2</v>
      </c>
      <c r="Q54">
        <v>3.1280255771841153E-2</v>
      </c>
    </row>
    <row r="55" spans="13:17" x14ac:dyDescent="0.25">
      <c r="P55" s="109"/>
    </row>
    <row r="56" spans="13:17" x14ac:dyDescent="0.25">
      <c r="M56">
        <v>2020</v>
      </c>
      <c r="N56">
        <v>3</v>
      </c>
      <c r="O56">
        <v>133</v>
      </c>
      <c r="P56" s="109">
        <f>O56/SUM(O$56:$O$59)</f>
        <v>2.3636040518926604E-2</v>
      </c>
      <c r="Q56">
        <v>2.3636040518926604E-2</v>
      </c>
    </row>
    <row r="57" spans="13:17" x14ac:dyDescent="0.25">
      <c r="M57">
        <v>2020</v>
      </c>
      <c r="N57">
        <v>4</v>
      </c>
      <c r="O57">
        <v>1627.3671211946798</v>
      </c>
      <c r="P57" s="109">
        <f>O57/SUM(O$56:$O$59)</f>
        <v>0.28920688132125111</v>
      </c>
      <c r="Q57">
        <v>0.28920688132125111</v>
      </c>
    </row>
    <row r="58" spans="13:17" x14ac:dyDescent="0.25">
      <c r="M58">
        <v>2020</v>
      </c>
      <c r="N58">
        <v>5</v>
      </c>
      <c r="O58">
        <v>3866.6328788053202</v>
      </c>
      <c r="P58" s="109">
        <f>O58/SUM(O$56:$O$59)</f>
        <v>0.6871570781598223</v>
      </c>
      <c r="Q58">
        <v>0.6871570781598223</v>
      </c>
    </row>
    <row r="59" spans="13:17" x14ac:dyDescent="0.25">
      <c r="M59">
        <v>2020</v>
      </c>
      <c r="N59">
        <v>6</v>
      </c>
      <c r="O59">
        <v>0</v>
      </c>
      <c r="P59" s="109">
        <f>O59/SUM(O$56:$O$59)</f>
        <v>0</v>
      </c>
      <c r="Q59">
        <v>0</v>
      </c>
    </row>
    <row r="60" spans="13:17" x14ac:dyDescent="0.25">
      <c r="P60" s="109"/>
    </row>
    <row r="61" spans="13:17" x14ac:dyDescent="0.25">
      <c r="M61">
        <v>2021</v>
      </c>
      <c r="N61">
        <v>3</v>
      </c>
      <c r="O61">
        <v>202.93929762476574</v>
      </c>
      <c r="P61" s="109">
        <f>O61/SUM(O$61:$O$64)</f>
        <v>4.3211902291611239E-2</v>
      </c>
      <c r="Q61">
        <v>4.3211902291611239E-2</v>
      </c>
    </row>
    <row r="62" spans="13:17" x14ac:dyDescent="0.25">
      <c r="M62">
        <v>2021</v>
      </c>
      <c r="N62">
        <v>4</v>
      </c>
      <c r="O62">
        <v>2880.1318269751259</v>
      </c>
      <c r="P62" s="109">
        <f>O62/SUM(O$61:$O$64)</f>
        <v>0.613267004226691</v>
      </c>
      <c r="Q62">
        <v>0.613267004226691</v>
      </c>
    </row>
    <row r="63" spans="13:17" x14ac:dyDescent="0.25">
      <c r="M63">
        <v>2021</v>
      </c>
      <c r="N63">
        <v>5</v>
      </c>
      <c r="O63">
        <v>1597.9288754001082</v>
      </c>
      <c r="P63" s="109">
        <f>O63/SUM(O$61:$O$64)</f>
        <v>0.34024729187939806</v>
      </c>
      <c r="Q63">
        <v>0.34024729187939806</v>
      </c>
    </row>
    <row r="64" spans="13:17" x14ac:dyDescent="0.25">
      <c r="M64">
        <v>2021</v>
      </c>
      <c r="N64">
        <v>6</v>
      </c>
      <c r="O64">
        <v>15.375</v>
      </c>
      <c r="P64" s="109">
        <f>O64/SUM(O$61:$O$64)</f>
        <v>3.2738016022996461E-3</v>
      </c>
      <c r="Q64">
        <v>3.2738016022996461E-3</v>
      </c>
    </row>
  </sheetData>
  <pageMargins left="0.7" right="0.7" top="0.75" bottom="0.75" header="0.3" footer="0.3"/>
  <pageSetup orientation="portrait" r:id="rId2"/>
  <headerFooter>
    <oddHeader>&amp;R&amp;"Calibri"&amp;12&amp;K000000 Unclassified - Non-Classifié&amp;1#_x000D_</oddHeader>
  </headerFooter>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64"/>
  <sheetViews>
    <sheetView zoomScaleNormal="100" workbookViewId="0">
      <pane ySplit="3" topLeftCell="A32" activePane="bottomLeft" state="frozen"/>
      <selection pane="bottomLeft" activeCell="L67" sqref="L67"/>
    </sheetView>
  </sheetViews>
  <sheetFormatPr defaultColWidth="9.140625" defaultRowHeight="15" x14ac:dyDescent="0.25"/>
  <cols>
    <col min="1" max="10" width="9.140625" style="6"/>
    <col min="11" max="11" width="18.140625" style="6" customWidth="1"/>
    <col min="12" max="12" width="10.140625" style="6" customWidth="1"/>
    <col min="13" max="18" width="9.140625" style="6"/>
    <col min="19" max="19" width="22.85546875" style="6" bestFit="1" customWidth="1"/>
    <col min="20" max="20" width="20.5703125" style="6" bestFit="1" customWidth="1"/>
    <col min="21" max="21" width="13.140625" style="6" bestFit="1" customWidth="1"/>
    <col min="22" max="25" width="8.5703125" style="6" bestFit="1" customWidth="1"/>
    <col min="26" max="26" width="8.5703125" style="6" customWidth="1"/>
    <col min="27" max="16384" width="9.140625" style="6"/>
  </cols>
  <sheetData>
    <row r="1" spans="1:27" x14ac:dyDescent="0.25">
      <c r="A1" s="6" t="s">
        <v>60</v>
      </c>
      <c r="K1" s="14"/>
      <c r="L1" s="6" t="s">
        <v>61</v>
      </c>
      <c r="N1" s="32" t="s">
        <v>62</v>
      </c>
      <c r="O1" s="32"/>
      <c r="P1" s="32"/>
      <c r="Q1" s="32"/>
    </row>
    <row r="2" spans="1:27" x14ac:dyDescent="0.25">
      <c r="D2" s="6" t="s">
        <v>63</v>
      </c>
      <c r="K2" s="14" t="s">
        <v>61</v>
      </c>
      <c r="L2" s="6" t="s">
        <v>64</v>
      </c>
      <c r="M2" s="6" t="s">
        <v>65</v>
      </c>
    </row>
    <row r="3" spans="1:27" x14ac:dyDescent="0.25">
      <c r="A3" s="6" t="s">
        <v>2</v>
      </c>
      <c r="B3" s="6" t="s">
        <v>0</v>
      </c>
      <c r="C3" s="37" t="s">
        <v>66</v>
      </c>
      <c r="D3" s="6">
        <v>2</v>
      </c>
      <c r="E3" s="6">
        <v>3</v>
      </c>
      <c r="F3" s="6">
        <v>4</v>
      </c>
      <c r="G3" s="6">
        <v>5</v>
      </c>
      <c r="H3" s="6">
        <v>6</v>
      </c>
      <c r="I3" s="6" t="s">
        <v>67</v>
      </c>
      <c r="J3" s="6" t="s">
        <v>68</v>
      </c>
      <c r="K3" s="6" t="s">
        <v>69</v>
      </c>
      <c r="M3" s="6">
        <v>3</v>
      </c>
      <c r="N3" s="6">
        <v>4</v>
      </c>
      <c r="O3" s="6">
        <v>5</v>
      </c>
      <c r="P3" s="6">
        <v>6</v>
      </c>
      <c r="Q3" s="6" t="s">
        <v>70</v>
      </c>
    </row>
    <row r="4" spans="1:27" x14ac:dyDescent="0.25">
      <c r="A4" s="13" t="s">
        <v>11</v>
      </c>
      <c r="B4" s="13">
        <v>2010</v>
      </c>
      <c r="C4" s="38">
        <v>3</v>
      </c>
      <c r="D4" s="44"/>
      <c r="E4" s="46"/>
      <c r="F4" s="46"/>
      <c r="G4" s="46"/>
      <c r="H4" s="13"/>
      <c r="I4" s="6">
        <f t="shared" ref="I4:I35" si="0">SUM(D4:H4)</f>
        <v>0</v>
      </c>
      <c r="J4" s="6" t="str">
        <f t="shared" ref="J4:J15" si="1">+CONCATENATE(B4,".",C4)</f>
        <v>2010.3</v>
      </c>
      <c r="K4" s="6">
        <f>+VLOOKUP(J4,'Corrected Esc by age'!G$7:H$402,2,FALSE)</f>
        <v>44.751014357053684</v>
      </c>
      <c r="L4" s="6">
        <f>+SUM(M4:M7)</f>
        <v>0</v>
      </c>
    </row>
    <row r="5" spans="1:27" x14ac:dyDescent="0.25">
      <c r="A5" s="13" t="s">
        <v>11</v>
      </c>
      <c r="B5" s="13">
        <v>2010</v>
      </c>
      <c r="C5" s="38">
        <v>4</v>
      </c>
      <c r="D5" s="44"/>
      <c r="E5" s="46"/>
      <c r="F5" s="46"/>
      <c r="G5" s="46"/>
      <c r="H5" s="13"/>
      <c r="I5" s="6">
        <f t="shared" si="0"/>
        <v>0</v>
      </c>
      <c r="J5" s="6" t="str">
        <f t="shared" si="1"/>
        <v>2010.4</v>
      </c>
      <c r="K5" s="6">
        <f>+VLOOKUP(J5,'Corrected Esc by age'!G$7:H$402,2,FALSE)</f>
        <v>3880.8798690109156</v>
      </c>
      <c r="L5" s="6">
        <f>+SUM(N4:N7)</f>
        <v>0</v>
      </c>
    </row>
    <row r="6" spans="1:27" s="13" customFormat="1" x14ac:dyDescent="0.25">
      <c r="A6" s="13" t="s">
        <v>11</v>
      </c>
      <c r="B6" s="13">
        <v>2010</v>
      </c>
      <c r="C6" s="38">
        <v>5</v>
      </c>
      <c r="D6" s="45"/>
      <c r="E6" s="45"/>
      <c r="F6" s="45"/>
      <c r="G6" s="45"/>
      <c r="I6" s="13">
        <f t="shared" si="0"/>
        <v>0</v>
      </c>
      <c r="J6" s="13" t="str">
        <f t="shared" si="1"/>
        <v>2010.5</v>
      </c>
      <c r="K6" s="6">
        <f>+VLOOKUP(J6,'Corrected Esc by age'!G$7:H$402,2,FALSE)</f>
        <v>3241.3351428742781</v>
      </c>
      <c r="L6" s="13">
        <f>+SUM(O4:O7)</f>
        <v>0</v>
      </c>
    </row>
    <row r="7" spans="1:27" s="39" customFormat="1" ht="15.75" thickBot="1" x14ac:dyDescent="0.3">
      <c r="A7" s="39" t="s">
        <v>11</v>
      </c>
      <c r="B7" s="39">
        <v>2010</v>
      </c>
      <c r="C7" s="40">
        <v>6</v>
      </c>
      <c r="D7" s="47"/>
      <c r="E7" s="48"/>
      <c r="F7" s="48"/>
      <c r="G7" s="48"/>
      <c r="I7" s="39">
        <f t="shared" si="0"/>
        <v>0</v>
      </c>
      <c r="J7" s="39" t="str">
        <f t="shared" si="1"/>
        <v>2010.6</v>
      </c>
      <c r="K7" s="39">
        <f>+VLOOKUP(J7,'Corrected Esc by age'!G$7:H$402,2,FALSE)</f>
        <v>351.03397375775205</v>
      </c>
      <c r="L7" s="39">
        <f>+SUM(P4:P7)</f>
        <v>0</v>
      </c>
    </row>
    <row r="8" spans="1:27" ht="15.75" thickTop="1" x14ac:dyDescent="0.25">
      <c r="A8" s="13" t="s">
        <v>11</v>
      </c>
      <c r="B8" s="13">
        <v>2011</v>
      </c>
      <c r="C8" s="38">
        <v>3</v>
      </c>
      <c r="D8" s="44"/>
      <c r="E8" s="46"/>
      <c r="F8" s="46"/>
      <c r="G8" s="13"/>
      <c r="H8" s="13"/>
      <c r="I8" s="6">
        <f t="shared" si="0"/>
        <v>0</v>
      </c>
      <c r="J8" s="6" t="str">
        <f t="shared" si="1"/>
        <v>2011.3</v>
      </c>
      <c r="K8" s="6">
        <f>+VLOOKUP(J8,'Corrected Esc by age'!G$7:H$402,2,FALSE)</f>
        <v>19</v>
      </c>
      <c r="L8" s="6">
        <f>+SUM(M8:M11)</f>
        <v>0</v>
      </c>
    </row>
    <row r="9" spans="1:27" x14ac:dyDescent="0.25">
      <c r="A9" s="13" t="s">
        <v>11</v>
      </c>
      <c r="B9" s="13">
        <v>2011</v>
      </c>
      <c r="C9" s="38">
        <v>4</v>
      </c>
      <c r="D9" s="44"/>
      <c r="E9" s="46"/>
      <c r="F9" s="46"/>
      <c r="G9" s="13"/>
      <c r="H9" s="13"/>
      <c r="I9" s="6">
        <f t="shared" si="0"/>
        <v>0</v>
      </c>
      <c r="J9" s="6" t="str">
        <f t="shared" si="1"/>
        <v>2011.4</v>
      </c>
      <c r="K9" s="6">
        <f>+VLOOKUP(J9,'Corrected Esc by age'!G$7:H$402,2,FALSE)</f>
        <v>1405.2216040009296</v>
      </c>
      <c r="L9" s="6">
        <f>+SUM(N8:N11)</f>
        <v>0</v>
      </c>
    </row>
    <row r="10" spans="1:27" s="15" customFormat="1" x14ac:dyDescent="0.25">
      <c r="A10" s="13" t="s">
        <v>11</v>
      </c>
      <c r="B10" s="15">
        <v>2011</v>
      </c>
      <c r="C10" s="38">
        <v>5</v>
      </c>
      <c r="D10" s="49"/>
      <c r="E10" s="49"/>
      <c r="F10" s="49"/>
      <c r="I10" s="15">
        <f t="shared" si="0"/>
        <v>0</v>
      </c>
      <c r="J10" s="15" t="str">
        <f t="shared" si="1"/>
        <v>2011.5</v>
      </c>
      <c r="K10" s="6">
        <f>+VLOOKUP(J10,'Corrected Esc by age'!G$7:H$402,2,FALSE)</f>
        <v>6811.3083797317649</v>
      </c>
      <c r="L10" s="15">
        <f>+SUM(O8:O11)</f>
        <v>0</v>
      </c>
    </row>
    <row r="11" spans="1:27" s="39" customFormat="1" ht="15.75" thickBot="1" x14ac:dyDescent="0.3">
      <c r="A11" s="39" t="s">
        <v>11</v>
      </c>
      <c r="B11" s="39">
        <v>2011</v>
      </c>
      <c r="C11" s="40">
        <v>6</v>
      </c>
      <c r="I11" s="39">
        <f t="shared" si="0"/>
        <v>0</v>
      </c>
      <c r="J11" s="39" t="str">
        <f t="shared" si="1"/>
        <v>2011.6</v>
      </c>
      <c r="K11" s="39">
        <f>+VLOOKUP(J11,'Corrected Esc by age'!G$7:H$402,2,FALSE)</f>
        <v>179.47001626730588</v>
      </c>
      <c r="L11" s="39">
        <f>+SUM(P8:P11)</f>
        <v>0</v>
      </c>
    </row>
    <row r="12" spans="1:27" ht="15.75" thickTop="1" x14ac:dyDescent="0.25">
      <c r="A12" s="13" t="s">
        <v>11</v>
      </c>
      <c r="B12" s="13">
        <v>2012</v>
      </c>
      <c r="C12" s="38">
        <v>3</v>
      </c>
      <c r="D12" s="13"/>
      <c r="E12" s="13"/>
      <c r="F12" s="13"/>
      <c r="G12" s="13"/>
      <c r="H12" s="13"/>
      <c r="I12" s="6">
        <f t="shared" si="0"/>
        <v>0</v>
      </c>
      <c r="J12" s="6" t="str">
        <f t="shared" si="1"/>
        <v>2012.3</v>
      </c>
      <c r="K12" s="6">
        <f>+VLOOKUP(J12,'Corrected Esc by age'!G$7:H$402,2,FALSE)</f>
        <v>176.92207269381183</v>
      </c>
      <c r="L12" s="13">
        <f>+SUM(M12:M15)</f>
        <v>0</v>
      </c>
      <c r="U12" s="10" t="s">
        <v>71</v>
      </c>
      <c r="V12" s="6" t="s">
        <v>72</v>
      </c>
      <c r="W12" s="6" t="s">
        <v>73</v>
      </c>
      <c r="X12" s="6" t="s">
        <v>74</v>
      </c>
      <c r="Y12" s="6" t="s">
        <v>75</v>
      </c>
      <c r="Z12"/>
      <c r="AA12" s="13"/>
    </row>
    <row r="13" spans="1:27" x14ac:dyDescent="0.25">
      <c r="A13" s="13" t="s">
        <v>11</v>
      </c>
      <c r="B13" s="13">
        <v>2012</v>
      </c>
      <c r="C13" s="38">
        <v>4</v>
      </c>
      <c r="D13" s="13"/>
      <c r="E13" s="13"/>
      <c r="F13" s="13"/>
      <c r="G13" s="13"/>
      <c r="H13" s="13"/>
      <c r="I13" s="6">
        <f t="shared" si="0"/>
        <v>0</v>
      </c>
      <c r="J13" s="6" t="str">
        <f t="shared" si="1"/>
        <v>2012.4</v>
      </c>
      <c r="K13" s="6">
        <f>+VLOOKUP(J13,'Corrected Esc by age'!G$7:H$402,2,FALSE)</f>
        <v>1411.3554609481762</v>
      </c>
      <c r="L13" s="13">
        <f>+SUM(N12:N15)</f>
        <v>0</v>
      </c>
      <c r="U13" s="11">
        <v>3</v>
      </c>
      <c r="V13" s="20">
        <v>13</v>
      </c>
      <c r="W13" s="20">
        <v>1</v>
      </c>
      <c r="X13" s="20">
        <v>0</v>
      </c>
      <c r="Y13" s="20"/>
      <c r="Z13"/>
      <c r="AA13" s="13">
        <f>SUM(V13:Z13)</f>
        <v>14</v>
      </c>
    </row>
    <row r="14" spans="1:27" s="15" customFormat="1" x14ac:dyDescent="0.25">
      <c r="A14" s="13" t="s">
        <v>11</v>
      </c>
      <c r="B14" s="15">
        <v>2012</v>
      </c>
      <c r="C14" s="38">
        <v>5</v>
      </c>
      <c r="I14" s="15">
        <f t="shared" si="0"/>
        <v>0</v>
      </c>
      <c r="J14" s="15" t="str">
        <f t="shared" si="1"/>
        <v>2012.5</v>
      </c>
      <c r="K14" s="6">
        <f>+VLOOKUP(J14,'Corrected Esc by age'!G$7:H$402,2,FALSE)</f>
        <v>2626.4035134225169</v>
      </c>
      <c r="L14" s="15">
        <f>+SUM(O12:O15)</f>
        <v>0</v>
      </c>
      <c r="U14" s="11">
        <v>4</v>
      </c>
      <c r="V14" s="20">
        <v>4</v>
      </c>
      <c r="W14" s="20">
        <v>253</v>
      </c>
      <c r="X14" s="20">
        <v>12</v>
      </c>
      <c r="Y14" s="20"/>
      <c r="Z14"/>
      <c r="AA14" s="13">
        <f t="shared" ref="AA14:AA16" si="2">SUM(V14:Z14)</f>
        <v>269</v>
      </c>
    </row>
    <row r="15" spans="1:27" s="39" customFormat="1" ht="15.75" thickBot="1" x14ac:dyDescent="0.3">
      <c r="A15" s="39" t="s">
        <v>11</v>
      </c>
      <c r="B15" s="39">
        <v>2012</v>
      </c>
      <c r="C15" s="40">
        <v>6</v>
      </c>
      <c r="I15" s="39">
        <f t="shared" si="0"/>
        <v>0</v>
      </c>
      <c r="J15" s="39" t="str">
        <f t="shared" si="1"/>
        <v>2012.6</v>
      </c>
      <c r="K15" s="39">
        <f>+VLOOKUP(J15,'Corrected Esc by age'!G$7:H$402,2,FALSE)</f>
        <v>72.318952935494821</v>
      </c>
      <c r="L15" s="39">
        <f>+SUM(P12:P15)</f>
        <v>0</v>
      </c>
      <c r="U15" s="55">
        <v>5</v>
      </c>
      <c r="V15" s="56">
        <v>0</v>
      </c>
      <c r="W15" s="56">
        <v>4</v>
      </c>
      <c r="X15" s="56">
        <v>65</v>
      </c>
      <c r="Y15" s="56"/>
      <c r="AA15" s="39">
        <f t="shared" si="2"/>
        <v>69</v>
      </c>
    </row>
    <row r="16" spans="1:27" ht="15.75" thickTop="1" x14ac:dyDescent="0.25">
      <c r="A16" s="13" t="s">
        <v>11</v>
      </c>
      <c r="B16" s="13">
        <v>2013</v>
      </c>
      <c r="C16" s="38">
        <v>3</v>
      </c>
      <c r="D16" s="13"/>
      <c r="E16" s="13"/>
      <c r="F16" s="13"/>
      <c r="G16" s="13"/>
      <c r="H16" s="13"/>
      <c r="I16" s="6">
        <f t="shared" si="0"/>
        <v>0</v>
      </c>
      <c r="J16" s="6" t="str">
        <f t="shared" ref="J16:J35" si="3">+CONCATENATE(B16,".",C16)</f>
        <v>2013.3</v>
      </c>
      <c r="K16" s="6">
        <f>+VLOOKUP(J16,'Corrected Esc by age'!G$7:H$402,2,FALSE)</f>
        <v>400.75590451345658</v>
      </c>
      <c r="L16" s="13">
        <f>+SUM(M16:M19)</f>
        <v>0</v>
      </c>
      <c r="U16" s="11">
        <v>6</v>
      </c>
      <c r="V16" s="20">
        <v>0</v>
      </c>
      <c r="W16" s="20">
        <v>0</v>
      </c>
      <c r="X16" s="20">
        <v>3</v>
      </c>
      <c r="Y16" s="20"/>
      <c r="Z16"/>
      <c r="AA16" s="13">
        <f t="shared" si="2"/>
        <v>3</v>
      </c>
    </row>
    <row r="17" spans="1:27" x14ac:dyDescent="0.25">
      <c r="A17" s="13" t="s">
        <v>11</v>
      </c>
      <c r="B17" s="13">
        <v>2013</v>
      </c>
      <c r="C17" s="38">
        <v>4</v>
      </c>
      <c r="D17" s="13"/>
      <c r="E17" s="13"/>
      <c r="F17" s="13"/>
      <c r="G17" s="13"/>
      <c r="H17" s="13"/>
      <c r="I17" s="6">
        <f t="shared" si="0"/>
        <v>0</v>
      </c>
      <c r="J17" s="6" t="str">
        <f t="shared" si="3"/>
        <v>2013.4</v>
      </c>
      <c r="K17" s="6">
        <f>+VLOOKUP(J17,'Corrected Esc by age'!G$7:H$402,2,FALSE)</f>
        <v>2495.8152482962564</v>
      </c>
      <c r="L17" s="13">
        <f>+SUM(N16:N19)</f>
        <v>0</v>
      </c>
      <c r="U17" s="11" t="s">
        <v>103</v>
      </c>
      <c r="V17" s="20"/>
      <c r="W17" s="20"/>
      <c r="X17" s="20"/>
      <c r="Y17" s="20"/>
      <c r="Z17"/>
      <c r="AA17" s="13"/>
    </row>
    <row r="18" spans="1:27" s="15" customFormat="1" x14ac:dyDescent="0.25">
      <c r="A18" s="13" t="s">
        <v>11</v>
      </c>
      <c r="B18" s="15">
        <v>2013</v>
      </c>
      <c r="C18" s="38">
        <v>5</v>
      </c>
      <c r="I18" s="15">
        <f t="shared" si="0"/>
        <v>0</v>
      </c>
      <c r="J18" s="15" t="str">
        <f t="shared" si="3"/>
        <v>2013.5</v>
      </c>
      <c r="K18" s="6">
        <f>+VLOOKUP(J18,'Corrected Esc by age'!G$7:H$402,2,FALSE)</f>
        <v>1486.2444547810755</v>
      </c>
      <c r="L18" s="15">
        <f>+SUM(O16:O19)</f>
        <v>0</v>
      </c>
      <c r="U18" s="41" t="s">
        <v>8</v>
      </c>
      <c r="V18" s="42">
        <v>17</v>
      </c>
      <c r="W18" s="42">
        <v>258</v>
      </c>
      <c r="X18" s="42">
        <v>80</v>
      </c>
      <c r="Y18" s="42"/>
      <c r="Z18"/>
      <c r="AA18" s="13"/>
    </row>
    <row r="19" spans="1:27" s="39" customFormat="1" ht="15.75" thickBot="1" x14ac:dyDescent="0.3">
      <c r="A19" s="39" t="s">
        <v>11</v>
      </c>
      <c r="B19" s="39">
        <v>2013</v>
      </c>
      <c r="C19" s="40">
        <v>6</v>
      </c>
      <c r="I19" s="39">
        <f t="shared" si="0"/>
        <v>0</v>
      </c>
      <c r="J19" s="39" t="str">
        <f t="shared" si="3"/>
        <v>2013.6</v>
      </c>
      <c r="K19" s="39">
        <f>+VLOOKUP(J19,'Corrected Esc by age'!G$7:H$402,2,FALSE)</f>
        <v>40.184392409211426</v>
      </c>
      <c r="L19" s="39">
        <f>+SUM(P16:P19)</f>
        <v>0</v>
      </c>
    </row>
    <row r="20" spans="1:27" ht="15.75" thickTop="1" x14ac:dyDescent="0.25">
      <c r="A20" s="13" t="s">
        <v>11</v>
      </c>
      <c r="B20" s="13">
        <v>2014</v>
      </c>
      <c r="C20" s="38">
        <v>3</v>
      </c>
      <c r="D20" s="13"/>
      <c r="E20" s="13"/>
      <c r="F20" s="13"/>
      <c r="G20" s="13"/>
      <c r="H20" s="13"/>
      <c r="I20" s="6">
        <f t="shared" si="0"/>
        <v>0</v>
      </c>
      <c r="J20" s="6" t="str">
        <f t="shared" si="3"/>
        <v>2014.3</v>
      </c>
      <c r="K20" s="6">
        <f>+VLOOKUP(J20,'Corrected Esc by age'!G$7:H$402,2,FALSE)</f>
        <v>30.842105263157894</v>
      </c>
      <c r="L20" s="6">
        <f>+SUM(M20:M23)</f>
        <v>0</v>
      </c>
    </row>
    <row r="21" spans="1:27" x14ac:dyDescent="0.25">
      <c r="A21" s="13" t="s">
        <v>11</v>
      </c>
      <c r="B21" s="13">
        <v>2014</v>
      </c>
      <c r="C21" s="38">
        <v>4</v>
      </c>
      <c r="D21" s="13"/>
      <c r="E21" s="13"/>
      <c r="F21" s="13"/>
      <c r="G21" s="13"/>
      <c r="H21" s="13"/>
      <c r="I21" s="6">
        <f t="shared" si="0"/>
        <v>0</v>
      </c>
      <c r="J21" s="6" t="str">
        <f t="shared" si="3"/>
        <v>2014.4</v>
      </c>
      <c r="K21" s="6">
        <f>+VLOOKUP(J21,'Corrected Esc by age'!G$7:H$402,2,FALSE)</f>
        <v>5816.2648276535492</v>
      </c>
      <c r="L21" s="6">
        <f>+SUM(N20:N23)</f>
        <v>0</v>
      </c>
    </row>
    <row r="22" spans="1:27" s="13" customFormat="1" x14ac:dyDescent="0.25">
      <c r="A22" s="13" t="s">
        <v>11</v>
      </c>
      <c r="B22" s="13">
        <v>2014</v>
      </c>
      <c r="C22" s="38">
        <v>5</v>
      </c>
      <c r="I22" s="13">
        <f t="shared" si="0"/>
        <v>0</v>
      </c>
      <c r="J22" s="13" t="str">
        <f t="shared" si="3"/>
        <v>2014.5</v>
      </c>
      <c r="K22" s="6">
        <f>+VLOOKUP(J22,'Corrected Esc by age'!G$7:H$402,2,FALSE)</f>
        <v>7388.9483025746185</v>
      </c>
      <c r="L22" s="13">
        <f>+SUM(O20:O23)</f>
        <v>0</v>
      </c>
    </row>
    <row r="23" spans="1:27" s="39" customFormat="1" ht="15.75" thickBot="1" x14ac:dyDescent="0.3">
      <c r="A23" s="39" t="s">
        <v>11</v>
      </c>
      <c r="B23" s="39">
        <v>2014</v>
      </c>
      <c r="C23" s="40">
        <v>6</v>
      </c>
      <c r="I23" s="39">
        <f t="shared" si="0"/>
        <v>0</v>
      </c>
      <c r="J23" s="39" t="str">
        <f t="shared" si="3"/>
        <v>2014.6</v>
      </c>
      <c r="K23" s="39">
        <f>+VLOOKUP(J23,'Corrected Esc by age'!G$7:H$402,2,FALSE)</f>
        <v>129.9447645086743</v>
      </c>
      <c r="L23" s="39">
        <f>+SUM(P20:P23)</f>
        <v>0</v>
      </c>
    </row>
    <row r="24" spans="1:27" ht="15.75" thickTop="1" x14ac:dyDescent="0.25">
      <c r="A24" s="13" t="s">
        <v>11</v>
      </c>
      <c r="B24" s="13">
        <v>2015</v>
      </c>
      <c r="C24" s="38">
        <v>3</v>
      </c>
      <c r="D24" s="15"/>
      <c r="E24" s="15"/>
      <c r="F24" s="15"/>
      <c r="G24" s="15"/>
      <c r="H24" s="15"/>
      <c r="I24" s="6">
        <f t="shared" si="0"/>
        <v>0</v>
      </c>
      <c r="J24" s="6" t="str">
        <f t="shared" si="3"/>
        <v>2015.3</v>
      </c>
      <c r="K24" s="6">
        <f>+VLOOKUP(J24,'Corrected Esc by age'!G$7:H$402,2,FALSE)</f>
        <v>19.136842105263156</v>
      </c>
      <c r="L24" s="6">
        <f>+SUM(M24:M27)</f>
        <v>0</v>
      </c>
    </row>
    <row r="25" spans="1:27" x14ac:dyDescent="0.25">
      <c r="A25" s="13" t="s">
        <v>11</v>
      </c>
      <c r="B25" s="13">
        <v>2015</v>
      </c>
      <c r="C25" s="38">
        <v>4</v>
      </c>
      <c r="D25" s="15"/>
      <c r="E25" s="15"/>
      <c r="F25" s="15"/>
      <c r="G25" s="15"/>
      <c r="H25" s="15"/>
      <c r="I25" s="6">
        <f t="shared" si="0"/>
        <v>0</v>
      </c>
      <c r="J25" s="6" t="str">
        <f t="shared" si="3"/>
        <v>2015.4</v>
      </c>
      <c r="K25" s="6">
        <f>+VLOOKUP(J25,'Corrected Esc by age'!G$7:H$402,2,FALSE)</f>
        <v>3350.2609958074904</v>
      </c>
      <c r="L25" s="6">
        <f>+SUM(N24:N27)</f>
        <v>0</v>
      </c>
    </row>
    <row r="26" spans="1:27" x14ac:dyDescent="0.25">
      <c r="A26" s="13" t="s">
        <v>11</v>
      </c>
      <c r="B26" s="13">
        <v>2015</v>
      </c>
      <c r="C26" s="38">
        <v>5</v>
      </c>
      <c r="D26" s="13"/>
      <c r="E26" s="13"/>
      <c r="F26" s="13"/>
      <c r="G26" s="13"/>
      <c r="H26" s="15"/>
      <c r="I26" s="6">
        <f t="shared" si="0"/>
        <v>0</v>
      </c>
      <c r="J26" s="6" t="str">
        <f t="shared" si="3"/>
        <v>2015.5</v>
      </c>
      <c r="K26" s="6">
        <f>+VLOOKUP(J26,'Corrected Esc by age'!G$7:H$402,2,FALSE)</f>
        <v>7530.9114601018682</v>
      </c>
      <c r="L26" s="14">
        <f>+SUM(O24:O27)</f>
        <v>0</v>
      </c>
    </row>
    <row r="27" spans="1:27" s="39" customFormat="1" ht="15.75" thickBot="1" x14ac:dyDescent="0.3">
      <c r="A27" s="39" t="s">
        <v>11</v>
      </c>
      <c r="B27" s="39">
        <v>2015</v>
      </c>
      <c r="C27" s="40">
        <v>6</v>
      </c>
      <c r="I27" s="39">
        <f t="shared" si="0"/>
        <v>0</v>
      </c>
      <c r="J27" s="39" t="str">
        <f t="shared" si="3"/>
        <v>2015.6</v>
      </c>
      <c r="K27" s="39">
        <f>+VLOOKUP(J27,'Corrected Esc by age'!G$7:H$402,2,FALSE)</f>
        <v>97.690701985378183</v>
      </c>
      <c r="L27" s="39">
        <f>+SUM(P24:P27)</f>
        <v>0</v>
      </c>
    </row>
    <row r="28" spans="1:27" ht="15.75" thickTop="1" x14ac:dyDescent="0.25">
      <c r="A28" s="13" t="s">
        <v>11</v>
      </c>
      <c r="B28" s="15">
        <v>2016</v>
      </c>
      <c r="C28" s="38">
        <v>3</v>
      </c>
      <c r="D28" s="15"/>
      <c r="E28" s="15"/>
      <c r="F28" s="15"/>
      <c r="G28" s="15"/>
      <c r="H28" s="15"/>
      <c r="I28" s="6">
        <f t="shared" si="0"/>
        <v>0</v>
      </c>
      <c r="J28" s="6" t="str">
        <f t="shared" si="3"/>
        <v>2016.3</v>
      </c>
      <c r="K28" s="6">
        <f>+VLOOKUP(J28,'Corrected Esc by age'!G$7:H$402,2,FALSE)</f>
        <v>109</v>
      </c>
      <c r="L28" s="36">
        <f>+SUM(M28:M31)</f>
        <v>0</v>
      </c>
      <c r="M28" s="36"/>
      <c r="N28" s="36"/>
      <c r="O28" s="36"/>
      <c r="P28" s="36"/>
    </row>
    <row r="29" spans="1:27" x14ac:dyDescent="0.25">
      <c r="A29" s="13" t="s">
        <v>11</v>
      </c>
      <c r="B29" s="15">
        <v>2016</v>
      </c>
      <c r="C29" s="38">
        <v>4</v>
      </c>
      <c r="D29" s="15"/>
      <c r="E29" s="15"/>
      <c r="F29" s="15"/>
      <c r="G29" s="15"/>
      <c r="H29" s="15"/>
      <c r="I29" s="6">
        <f t="shared" si="0"/>
        <v>0</v>
      </c>
      <c r="J29" s="6" t="str">
        <f t="shared" si="3"/>
        <v>2016.4</v>
      </c>
      <c r="K29" s="6">
        <f>+VLOOKUP(J29,'Corrected Esc by age'!G$7:H$402,2,FALSE)</f>
        <v>1251.3861111111112</v>
      </c>
      <c r="L29" s="36">
        <f>+SUM(N28:N31)</f>
        <v>0</v>
      </c>
      <c r="M29" s="36"/>
      <c r="N29" s="36"/>
      <c r="O29" s="36"/>
      <c r="P29" s="36"/>
    </row>
    <row r="30" spans="1:27" x14ac:dyDescent="0.25">
      <c r="A30" s="13" t="s">
        <v>11</v>
      </c>
      <c r="B30" s="15">
        <v>2016</v>
      </c>
      <c r="C30" s="38">
        <v>5</v>
      </c>
      <c r="D30" s="15"/>
      <c r="E30" s="15"/>
      <c r="F30" s="15"/>
      <c r="G30" s="15"/>
      <c r="H30" s="15"/>
      <c r="I30" s="6">
        <f t="shared" si="0"/>
        <v>0</v>
      </c>
      <c r="J30" s="6" t="str">
        <f t="shared" si="3"/>
        <v>2016.5</v>
      </c>
      <c r="K30" s="6">
        <f>+VLOOKUP(J30,'Corrected Esc by age'!G$7:H$402,2,FALSE)</f>
        <v>2613.9068888888892</v>
      </c>
      <c r="L30" s="36">
        <f>+SUM(O28:O31)</f>
        <v>0</v>
      </c>
      <c r="M30" s="36"/>
      <c r="N30" s="36"/>
      <c r="O30" s="36"/>
      <c r="P30" s="36"/>
    </row>
    <row r="31" spans="1:27" s="39" customFormat="1" ht="15.75" thickBot="1" x14ac:dyDescent="0.3">
      <c r="A31" s="39" t="s">
        <v>11</v>
      </c>
      <c r="B31" s="50">
        <v>2016</v>
      </c>
      <c r="C31" s="40">
        <v>6</v>
      </c>
      <c r="D31" s="50"/>
      <c r="E31" s="50"/>
      <c r="F31" s="50"/>
      <c r="G31" s="50"/>
      <c r="H31" s="50"/>
      <c r="I31" s="39">
        <f t="shared" si="0"/>
        <v>0</v>
      </c>
      <c r="J31" s="39" t="str">
        <f t="shared" si="3"/>
        <v>2016.6</v>
      </c>
      <c r="K31" s="39">
        <f>+VLOOKUP(J31,'Corrected Esc by age'!G$7:H$402,2,FALSE)</f>
        <v>308.70699999999999</v>
      </c>
      <c r="L31" s="43">
        <f>+SUM(P28:P31)</f>
        <v>0</v>
      </c>
      <c r="M31" s="43"/>
      <c r="N31" s="43"/>
      <c r="O31" s="43"/>
      <c r="P31" s="43"/>
    </row>
    <row r="32" spans="1:27" ht="15.75" thickTop="1" x14ac:dyDescent="0.25">
      <c r="A32" s="13" t="s">
        <v>11</v>
      </c>
      <c r="B32" s="15">
        <v>2017</v>
      </c>
      <c r="C32" s="38">
        <v>3</v>
      </c>
      <c r="D32" s="15"/>
      <c r="E32" s="15"/>
      <c r="F32" s="15"/>
      <c r="G32" s="15"/>
      <c r="H32" s="15"/>
      <c r="I32" s="6">
        <f t="shared" si="0"/>
        <v>0</v>
      </c>
      <c r="J32" s="6" t="str">
        <f t="shared" si="3"/>
        <v>2017.3</v>
      </c>
      <c r="K32" s="6">
        <f>+VLOOKUP(J32,'Corrected Esc by age'!G$7:H$402,2,FALSE)</f>
        <v>8.5</v>
      </c>
      <c r="L32" s="36">
        <f>+SUM(M32:M35)</f>
        <v>3426.4285714285716</v>
      </c>
      <c r="M32" s="117">
        <f t="shared" ref="M32:M35" si="4">+IF((SUM($D32:$H32)=0),(V$13/$AA$13)*$K32,(E32/$I32)*$K32)</f>
        <v>7.8928571428571432</v>
      </c>
      <c r="N32" s="117">
        <f t="shared" ref="N32" si="5">+IF((SUM($D32:$H32)=0),(W$13/$AA$13)*$K32,(F32/$I32)*$K32)</f>
        <v>0.6071428571428571</v>
      </c>
      <c r="O32" s="117">
        <f t="shared" ref="O32" si="6">+IF((SUM($D32:$H32)=0),(X$13/$AA$13)*$K32,(G32/$I32)*$K32)</f>
        <v>0</v>
      </c>
      <c r="P32" s="117">
        <f t="shared" ref="P32" si="7">+IF((SUM($D32:$H32)=0),(Y$13/$AA$13)*$K32,(H32/$I32)*$K32)</f>
        <v>0</v>
      </c>
    </row>
    <row r="33" spans="1:18" x14ac:dyDescent="0.25">
      <c r="A33" s="13" t="s">
        <v>11</v>
      </c>
      <c r="B33" s="15">
        <v>2017</v>
      </c>
      <c r="C33" s="38">
        <v>4</v>
      </c>
      <c r="D33" s="15"/>
      <c r="E33" s="15"/>
      <c r="F33" s="15"/>
      <c r="G33" s="15"/>
      <c r="H33" s="15"/>
      <c r="I33" s="6">
        <f t="shared" si="0"/>
        <v>0</v>
      </c>
      <c r="J33" s="6" t="str">
        <f t="shared" si="3"/>
        <v>2017.4</v>
      </c>
      <c r="K33" s="6">
        <f>+VLOOKUP(J33,'Corrected Esc by age'!G$7:H$402,2,FALSE)</f>
        <v>1540.0465320538451</v>
      </c>
      <c r="L33" s="36">
        <f>+SUM(N32:N35)</f>
        <v>263.57142857142856</v>
      </c>
      <c r="M33" s="117">
        <f t="shared" si="4"/>
        <v>1430.0432083357134</v>
      </c>
      <c r="N33" s="117">
        <f t="shared" ref="N33" si="8">+IF((SUM($D33:$H33)=0),(W$13/$AA$13)*$K33,(F33/$I33)*$K33)</f>
        <v>110.00332371813178</v>
      </c>
      <c r="O33" s="117">
        <f t="shared" ref="O33" si="9">+IF((SUM($D33:$H33)=0),(X$13/$AA$13)*$K33,(G33/$I33)*$K33)</f>
        <v>0</v>
      </c>
      <c r="P33" s="117">
        <f t="shared" ref="P33" si="10">+IF((SUM($D33:$H33)=0),(Y$13/$AA$13)*$K33,(H33/$I33)*$K33)</f>
        <v>0</v>
      </c>
    </row>
    <row r="34" spans="1:18" x14ac:dyDescent="0.25">
      <c r="A34" s="13" t="s">
        <v>11</v>
      </c>
      <c r="B34" s="15">
        <v>2017</v>
      </c>
      <c r="C34" s="38">
        <v>5</v>
      </c>
      <c r="D34" s="15"/>
      <c r="E34" s="15"/>
      <c r="F34" s="15"/>
      <c r="G34" s="15"/>
      <c r="H34" s="15"/>
      <c r="I34" s="6">
        <f t="shared" si="0"/>
        <v>0</v>
      </c>
      <c r="J34" s="6" t="str">
        <f t="shared" si="3"/>
        <v>2017.5</v>
      </c>
      <c r="K34" s="6">
        <f>+VLOOKUP(J34,'Corrected Esc by age'!G$7:H$402,2,FALSE)</f>
        <v>1940.5082900173263</v>
      </c>
      <c r="L34" s="36">
        <f>+SUM(O32:O35)</f>
        <v>0</v>
      </c>
      <c r="M34" s="117">
        <f t="shared" si="4"/>
        <v>1801.9005550160887</v>
      </c>
      <c r="N34" s="117">
        <f t="shared" ref="N34" si="11">+IF((SUM($D34:$H34)=0),(W$13/$AA$13)*$K34,(F34/$I34)*$K34)</f>
        <v>138.60773500123759</v>
      </c>
      <c r="O34" s="117">
        <f t="shared" ref="O34" si="12">+IF((SUM($D34:$H34)=0),(X$13/$AA$13)*$K34,(G34/$I34)*$K34)</f>
        <v>0</v>
      </c>
      <c r="P34" s="117">
        <f t="shared" ref="P34" si="13">+IF((SUM($D34:$H34)=0),(Y$13/$AA$13)*$K34,(H34/$I34)*$K34)</f>
        <v>0</v>
      </c>
    </row>
    <row r="35" spans="1:18" s="39" customFormat="1" ht="15.75" thickBot="1" x14ac:dyDescent="0.3">
      <c r="A35" s="39" t="s">
        <v>11</v>
      </c>
      <c r="B35" s="50">
        <v>2017</v>
      </c>
      <c r="C35" s="40">
        <v>6</v>
      </c>
      <c r="D35" s="50"/>
      <c r="E35" s="50"/>
      <c r="F35" s="50"/>
      <c r="G35" s="50"/>
      <c r="H35" s="50"/>
      <c r="I35" s="39">
        <f t="shared" si="0"/>
        <v>0</v>
      </c>
      <c r="J35" s="39" t="str">
        <f t="shared" si="3"/>
        <v>2017.6</v>
      </c>
      <c r="K35" s="39">
        <f>+VLOOKUP(J35,'Corrected Esc by age'!G$7:H$402,2,FALSE)</f>
        <v>200.94517792882843</v>
      </c>
      <c r="L35" s="43">
        <f>+SUM(P32:P35)</f>
        <v>0</v>
      </c>
      <c r="M35" s="118">
        <f t="shared" si="4"/>
        <v>186.59195093391213</v>
      </c>
      <c r="N35" s="118">
        <f t="shared" ref="N35" si="14">+IF((SUM($D35:$H35)=0),(W$13/$AA$13)*$K35,(F35/$I35)*$K35)</f>
        <v>14.353226994916316</v>
      </c>
      <c r="O35" s="118">
        <f t="shared" ref="O35" si="15">+IF((SUM($D35:$H35)=0),(X$13/$AA$13)*$K35,(G35/$I35)*$K35)</f>
        <v>0</v>
      </c>
      <c r="P35" s="118">
        <f t="shared" ref="P35" si="16">+IF((SUM($D35:$H35)=0),(Y$13/$AA$13)*$K35,(H35/$I35)*$K35)</f>
        <v>0</v>
      </c>
    </row>
    <row r="36" spans="1:18" ht="15.75" thickTop="1" x14ac:dyDescent="0.25">
      <c r="A36" s="13" t="s">
        <v>11</v>
      </c>
      <c r="B36" s="15">
        <v>2018</v>
      </c>
      <c r="C36" s="38">
        <v>3</v>
      </c>
      <c r="D36" s="15"/>
      <c r="E36" s="15"/>
      <c r="F36" s="15"/>
      <c r="G36" s="119"/>
      <c r="H36" s="119"/>
      <c r="I36" s="6">
        <f t="shared" ref="I36:I43" si="17">SUM(D36:H36)</f>
        <v>0</v>
      </c>
      <c r="J36" s="6" t="str">
        <f t="shared" ref="J36:J43" si="18">+CONCATENATE(B36,".",C36)</f>
        <v>2018.3</v>
      </c>
      <c r="K36" s="6">
        <f>+VLOOKUP(J36,'Corrected Esc by age'!G$7:H$402,2,FALSE)</f>
        <v>0</v>
      </c>
      <c r="L36" s="36">
        <f>+SUM(M36:M39)</f>
        <v>0</v>
      </c>
      <c r="M36" s="117">
        <f>+IF((SUM($D36:$H36)=0),(V$13/$AA$13)*$K36,(E36/$I36)*$K36)</f>
        <v>0</v>
      </c>
      <c r="N36" s="117">
        <f>+IF((SUM($D36:$H36)=0),(W$13/$AA$13)*$K36,(F36/$I36)*$K36)</f>
        <v>0</v>
      </c>
      <c r="O36" s="117">
        <f>+IF((SUM($D36:$H36)=0),(X$13/$AA$13)*$K36,(G36/$I36)*$K36)</f>
        <v>0</v>
      </c>
      <c r="P36" s="117">
        <f>+IF((SUM($D36:$H36)=0),(Y$13/$AA$13)*$K36,(H36/$I36)*$K36)</f>
        <v>0</v>
      </c>
    </row>
    <row r="37" spans="1:18" x14ac:dyDescent="0.25">
      <c r="A37" s="13" t="s">
        <v>11</v>
      </c>
      <c r="B37" s="15">
        <v>2018</v>
      </c>
      <c r="C37" s="38">
        <v>4</v>
      </c>
      <c r="D37" s="15"/>
      <c r="E37" s="15"/>
      <c r="F37" s="15">
        <v>14</v>
      </c>
      <c r="G37" s="119"/>
      <c r="H37" s="119"/>
      <c r="I37" s="6">
        <f t="shared" si="17"/>
        <v>14</v>
      </c>
      <c r="J37" s="6" t="str">
        <f t="shared" si="18"/>
        <v>2018.4</v>
      </c>
      <c r="K37" s="6">
        <f>+VLOOKUP(J37,'Corrected Esc by age'!G$7:H$402,2,FALSE)</f>
        <v>1125.4591301230801</v>
      </c>
      <c r="L37" s="36">
        <f>+SUM(N36:N39)</f>
        <v>1186.3231038694498</v>
      </c>
      <c r="M37" s="117">
        <f>+IF((SUM($D37:$H37)=0),(V$14/$AA$14)*$K37,(E37/$I37)*$K37)</f>
        <v>0</v>
      </c>
      <c r="N37" s="117">
        <f>+IF((SUM($D37:$H37)=0),(W$14/$AA$14)*$K37,(F37/$I37)*$K37)</f>
        <v>1125.4591301230801</v>
      </c>
      <c r="O37" s="117">
        <f t="shared" ref="O37" si="19">+IF((SUM($D37:$H37)=0),(X$14/$AA$14)*$K37,(G37/$I37)*$K37)</f>
        <v>0</v>
      </c>
      <c r="P37" s="117">
        <f t="shared" ref="P37" si="20">+IF((SUM($D37:$H37)=0),(Y$14/$AA$14)*$K37,(H37/$I37)*$K37)</f>
        <v>0</v>
      </c>
      <c r="R37" s="36"/>
    </row>
    <row r="38" spans="1:18" x14ac:dyDescent="0.25">
      <c r="A38" s="13" t="s">
        <v>11</v>
      </c>
      <c r="B38" s="15">
        <v>2018</v>
      </c>
      <c r="C38" s="38">
        <v>5</v>
      </c>
      <c r="D38" s="15"/>
      <c r="E38" s="15"/>
      <c r="F38" s="15"/>
      <c r="G38" s="119"/>
      <c r="H38" s="119"/>
      <c r="I38" s="6">
        <f t="shared" si="17"/>
        <v>0</v>
      </c>
      <c r="J38" s="6" t="str">
        <f t="shared" si="18"/>
        <v>2018.5</v>
      </c>
      <c r="K38" s="6">
        <f>+VLOOKUP(J38,'Corrected Esc by age'!G$7:H$402,2,FALSE)</f>
        <v>1049.9035471248776</v>
      </c>
      <c r="L38" s="36">
        <f>+SUM(O36:O39)</f>
        <v>1031.6768961305502</v>
      </c>
      <c r="M38" s="117">
        <f>+IF((SUM($D38:$H38)=0),(V$15/$AA$15)*$K38,(E38/$I38)*$K38)</f>
        <v>0</v>
      </c>
      <c r="N38" s="117">
        <f>+IF((SUM($D38:$H38)=0),(W$15/$AA$15)*$K38,(F38/$I38)*$K38)</f>
        <v>60.863973746369716</v>
      </c>
      <c r="O38" s="117">
        <f>+IF((SUM($D38:$H38)=0),(X$15/$AA$15)*$K38,(G38/$I38)*$K38)</f>
        <v>989.03957337850784</v>
      </c>
      <c r="P38" s="117">
        <f t="shared" ref="P38" si="21">+IF((SUM($D38:$H38)=0),(Y$15/$AA$15)*$K38,(H38/$I38)*$K38)</f>
        <v>0</v>
      </c>
    </row>
    <row r="39" spans="1:18" s="39" customFormat="1" ht="15.75" thickBot="1" x14ac:dyDescent="0.3">
      <c r="A39" s="39" t="s">
        <v>11</v>
      </c>
      <c r="B39" s="50">
        <v>2018</v>
      </c>
      <c r="C39" s="40">
        <v>6</v>
      </c>
      <c r="D39" s="50"/>
      <c r="E39" s="50"/>
      <c r="F39" s="50"/>
      <c r="G39" s="120"/>
      <c r="H39" s="120"/>
      <c r="I39" s="39">
        <f t="shared" si="17"/>
        <v>0</v>
      </c>
      <c r="J39" s="39" t="str">
        <f t="shared" si="18"/>
        <v>2018.6</v>
      </c>
      <c r="K39" s="39">
        <f>+VLOOKUP(J39,'Corrected Esc by age'!G$7:H$402,2,FALSE)</f>
        <v>42.637322752042408</v>
      </c>
      <c r="L39" s="118">
        <f>SUM(P36:P39)</f>
        <v>0</v>
      </c>
      <c r="M39" s="118">
        <f>+IF((SUM($D39:$H39)=0),(V$16/$AA$16)*$K39,(E39/$I39)*$K39)</f>
        <v>0</v>
      </c>
      <c r="N39" s="118">
        <f>+IF((SUM($D39:$H39)=0),(W$16/$AA$16)*$K39,(F39/$I39)*$K39)</f>
        <v>0</v>
      </c>
      <c r="O39" s="118">
        <f>+IF((SUM($D39:$H39)=0),(X$16/$AA$16)*$K39,(G39/$I39)*$K39)</f>
        <v>42.637322752042408</v>
      </c>
      <c r="P39" s="118">
        <f>+IF((SUM($D39:$H39)=0),(Y$16/$AA$16)*$K39,(H39/$I39)*$K39)</f>
        <v>0</v>
      </c>
    </row>
    <row r="40" spans="1:18" ht="15.75" thickTop="1" x14ac:dyDescent="0.25">
      <c r="A40" s="13" t="s">
        <v>11</v>
      </c>
      <c r="B40" s="15">
        <v>2019</v>
      </c>
      <c r="C40" s="38">
        <v>3</v>
      </c>
      <c r="D40" s="15"/>
      <c r="E40" s="15"/>
      <c r="F40" s="15"/>
      <c r="G40" s="15"/>
      <c r="H40" s="119"/>
      <c r="I40" s="6">
        <f t="shared" si="17"/>
        <v>0</v>
      </c>
      <c r="J40" s="6" t="str">
        <f t="shared" si="18"/>
        <v>2019.3</v>
      </c>
      <c r="K40" s="6">
        <f>+VLOOKUP(J40,'Corrected Esc by age'!G$7:H$402,2,FALSE)</f>
        <v>0</v>
      </c>
      <c r="L40" s="36">
        <f>+SUM(M40:M43)</f>
        <v>0</v>
      </c>
      <c r="M40" s="117">
        <f>+IF((SUM($D40:$H40)=0),(V$13/$AA$13)*$K40,(E40/$I40)*$K40)</f>
        <v>0</v>
      </c>
      <c r="N40" s="117">
        <f t="shared" ref="N40" si="22">+IF((SUM($D40:$H40)=0),(W$13/$AA$13)*$K40,(F40/$I40)*$K40)</f>
        <v>0</v>
      </c>
      <c r="O40" s="117">
        <f t="shared" ref="O40" si="23">+IF((SUM($D40:$H40)=0),(X$13/$AA$13)*$K40,(G40/$I40)*$K40)</f>
        <v>0</v>
      </c>
      <c r="P40" s="117">
        <f t="shared" ref="P40" si="24">+IF((SUM($D40:$H40)=0),(Y$13/$AA$13)*$K40,(H40/$I40)*$K40)</f>
        <v>0</v>
      </c>
    </row>
    <row r="41" spans="1:18" x14ac:dyDescent="0.25">
      <c r="A41" s="13" t="s">
        <v>11</v>
      </c>
      <c r="B41" s="15">
        <v>2019</v>
      </c>
      <c r="C41" s="38">
        <v>4</v>
      </c>
      <c r="D41" s="15"/>
      <c r="E41" s="15"/>
      <c r="F41" s="15">
        <v>4</v>
      </c>
      <c r="G41" s="15">
        <v>1</v>
      </c>
      <c r="H41" s="119"/>
      <c r="I41" s="6">
        <f t="shared" si="17"/>
        <v>5</v>
      </c>
      <c r="J41" s="6" t="str">
        <f t="shared" si="18"/>
        <v>2019.4</v>
      </c>
      <c r="K41" s="6">
        <f>+VLOOKUP(J41,'Corrected Esc by age'!G$7:H$402,2,FALSE)</f>
        <v>1284.0487804878051</v>
      </c>
      <c r="L41" s="36">
        <f>+SUM(N40:N43)</f>
        <v>1027.2390243902441</v>
      </c>
      <c r="M41" s="117">
        <f>+IF((SUM($D41:$H41)=0),(V$14/$AA$14)*$K41,(E41/$I41)*$K41)</f>
        <v>0</v>
      </c>
      <c r="N41" s="117">
        <f t="shared" ref="N41" si="25">+IF((SUM($D41:$H41)=0),(W$14/$AA$14)*$K41,(F41/$I41)*$K41)</f>
        <v>1027.2390243902441</v>
      </c>
      <c r="O41" s="117">
        <f t="shared" ref="O41" si="26">+IF((SUM($D41:$H41)=0),(X$14/$AA$14)*$K41,(G41/$I41)*$K41)</f>
        <v>256.80975609756103</v>
      </c>
      <c r="P41" s="117">
        <f t="shared" ref="P41" si="27">+IF((SUM($D41:$H41)=0),(Y$14/$AA$14)*$K41,(H41/$I41)*$K41)</f>
        <v>0</v>
      </c>
    </row>
    <row r="42" spans="1:18" x14ac:dyDescent="0.25">
      <c r="A42" s="13" t="s">
        <v>11</v>
      </c>
      <c r="B42" s="15">
        <v>2019</v>
      </c>
      <c r="C42" s="38">
        <v>5</v>
      </c>
      <c r="D42" s="15"/>
      <c r="E42" s="15"/>
      <c r="F42" s="15"/>
      <c r="G42" s="15">
        <v>2</v>
      </c>
      <c r="H42" s="119"/>
      <c r="I42" s="6">
        <f t="shared" si="17"/>
        <v>2</v>
      </c>
      <c r="J42" s="6" t="str">
        <f t="shared" si="18"/>
        <v>2019.5</v>
      </c>
      <c r="K42" s="6">
        <f>+VLOOKUP(J42,'Corrected Esc by age'!G$7:H$402,2,FALSE)</f>
        <v>1031.1300813008131</v>
      </c>
      <c r="L42" s="36">
        <f>+SUM(O40:O43)</f>
        <v>1365.7609756097561</v>
      </c>
      <c r="M42" s="117">
        <f>+IF((SUM($D42:$H42)=0),(V$15/$AA$15)*$K42,(E42/$I42)*$K42)</f>
        <v>0</v>
      </c>
      <c r="N42" s="117">
        <f>+IF((SUM($D42:$H42)=0),(W$15/$AA$15)*$K42,(F42/$I42)*$K42)</f>
        <v>0</v>
      </c>
      <c r="O42" s="117">
        <f>+IF((SUM($D42:$H42)=0),(X$15/$AA$15)*$K42,(G42/$I42)*$K42)</f>
        <v>1031.1300813008131</v>
      </c>
      <c r="P42" s="117">
        <f t="shared" ref="P42" si="28">+IF((SUM($D42:$H42)=0),(Y$15/$AA$15)*$K42,(H42/$I42)*$K42)</f>
        <v>0</v>
      </c>
    </row>
    <row r="43" spans="1:18" s="39" customFormat="1" ht="15.75" thickBot="1" x14ac:dyDescent="0.3">
      <c r="A43" s="39" t="s">
        <v>11</v>
      </c>
      <c r="B43" s="50">
        <v>2019</v>
      </c>
      <c r="C43" s="40">
        <v>6</v>
      </c>
      <c r="D43" s="50"/>
      <c r="E43" s="50"/>
      <c r="F43" s="50"/>
      <c r="G43" s="50"/>
      <c r="H43" s="120"/>
      <c r="I43" s="39">
        <f t="shared" si="17"/>
        <v>0</v>
      </c>
      <c r="J43" s="39" t="str">
        <f t="shared" si="18"/>
        <v>2019.6</v>
      </c>
      <c r="K43" s="39">
        <f>+VLOOKUP(J43,'Corrected Esc by age'!G$7:H$402,2,FALSE)</f>
        <v>77.82113821138212</v>
      </c>
      <c r="L43" s="118">
        <f>SUM(P40:P43)</f>
        <v>0</v>
      </c>
      <c r="M43" s="118">
        <f>+IF((SUM($D43:$H43)=0),(V$16/$AA$16)*$K43,(E43/$I43)*$K43)</f>
        <v>0</v>
      </c>
      <c r="N43" s="118">
        <f>+IF((SUM($D43:$H43)=0),(W$16/$AA$16)*$K43,(F43/$I43)*$K43)</f>
        <v>0</v>
      </c>
      <c r="O43" s="118">
        <f t="shared" ref="O43" si="29">+IF((SUM($D43:$H43)=0),(X$16/$AA$16)*$K43,(G43/$I43)*$K43)</f>
        <v>77.82113821138212</v>
      </c>
      <c r="P43" s="118">
        <f t="shared" ref="P43" si="30">+IF((SUM($D43:$H43)=0),(Y$16/$AA$16)*$K43,(H43/$I43)*$K43)</f>
        <v>0</v>
      </c>
    </row>
    <row r="44" spans="1:18" ht="15.75" thickTop="1" x14ac:dyDescent="0.25">
      <c r="A44" s="13" t="s">
        <v>11</v>
      </c>
      <c r="B44" s="15">
        <v>2020</v>
      </c>
      <c r="C44" s="38">
        <v>3</v>
      </c>
      <c r="D44" s="15"/>
      <c r="E44" s="15">
        <v>1</v>
      </c>
      <c r="F44" s="15"/>
      <c r="G44" s="15"/>
      <c r="H44" s="15"/>
      <c r="I44" s="6">
        <f t="shared" ref="I44:I47" si="31">SUM(D44:H44)</f>
        <v>1</v>
      </c>
      <c r="J44" s="6" t="str">
        <f t="shared" ref="J44:J47" si="32">+CONCATENATE(B44,".",C44)</f>
        <v>2020.3</v>
      </c>
      <c r="K44" s="6">
        <f>+VLOOKUP(J44,'Corrected Esc by age'!G$7:H$402,2,FALSE)</f>
        <v>136</v>
      </c>
      <c r="L44" s="36">
        <f>+SUM(M44:M47)</f>
        <v>136</v>
      </c>
      <c r="M44" s="117">
        <f>+IF((SUM($D44:$H44)=0),(V$13/$AA$13)*$K44,(E44/$I44)*$K44)</f>
        <v>136</v>
      </c>
      <c r="N44" s="117">
        <f t="shared" ref="N44" si="33">+IF((SUM($D44:$H44)=0),(W$13/$AA$13)*$K44,(F44/$I44)*$K44)</f>
        <v>0</v>
      </c>
      <c r="O44" s="117">
        <f t="shared" ref="O44" si="34">+IF((SUM($D44:$H44)=0),(X$13/$AA$13)*$K44,(G44/$I44)*$K44)</f>
        <v>0</v>
      </c>
      <c r="P44" s="117">
        <f t="shared" ref="P44" si="35">+IF((SUM($D44:$H44)=0),(Y$13/$AA$13)*$K44,(H44/$I44)*$K44)</f>
        <v>0</v>
      </c>
    </row>
    <row r="45" spans="1:18" x14ac:dyDescent="0.25">
      <c r="A45" s="13" t="s">
        <v>11</v>
      </c>
      <c r="B45" s="15">
        <v>2020</v>
      </c>
      <c r="C45" s="38">
        <v>4</v>
      </c>
      <c r="D45" s="15"/>
      <c r="E45" s="15"/>
      <c r="F45" s="15">
        <v>25</v>
      </c>
      <c r="G45" s="15">
        <v>3</v>
      </c>
      <c r="H45" s="15"/>
      <c r="I45" s="6">
        <f t="shared" si="31"/>
        <v>28</v>
      </c>
      <c r="J45" s="6" t="str">
        <f t="shared" si="32"/>
        <v>2020.4</v>
      </c>
      <c r="K45" s="6">
        <f>+VLOOKUP(J45,'Corrected Esc by age'!G$7:H$402,2,FALSE)</f>
        <v>2013.3042768049138</v>
      </c>
      <c r="L45" s="36">
        <f>+SUM(N44:N47)</f>
        <v>1797.5931042901018</v>
      </c>
      <c r="M45" s="117">
        <f>+IF((SUM($D45:$H45)=0),(V$14/$AA$14)*$K45,(E45/$I45)*$K45)</f>
        <v>0</v>
      </c>
      <c r="N45" s="117">
        <f t="shared" ref="N45" si="36">+IF((SUM($D45:$H45)=0),(W$14/$AA$14)*$K45,(F45/$I45)*$K45)</f>
        <v>1797.5931042901018</v>
      </c>
      <c r="O45" s="117">
        <f t="shared" ref="O45" si="37">+IF((SUM($D45:$H45)=0),(X$14/$AA$14)*$K45,(G45/$I45)*$K45)</f>
        <v>215.71117251481218</v>
      </c>
      <c r="P45" s="117">
        <f t="shared" ref="P45" si="38">+IF((SUM($D45:$H45)=0),(Y$14/$AA$14)*$K45,(H45/$I45)*$K45)</f>
        <v>0</v>
      </c>
    </row>
    <row r="46" spans="1:18" x14ac:dyDescent="0.25">
      <c r="A46" s="13" t="s">
        <v>11</v>
      </c>
      <c r="B46" s="15">
        <v>2020</v>
      </c>
      <c r="C46" s="38">
        <v>5</v>
      </c>
      <c r="D46" s="15"/>
      <c r="E46" s="15"/>
      <c r="F46" s="15"/>
      <c r="G46" s="15">
        <v>11</v>
      </c>
      <c r="H46" s="15"/>
      <c r="I46" s="6">
        <f t="shared" si="31"/>
        <v>11</v>
      </c>
      <c r="J46" s="6" t="str">
        <f t="shared" si="32"/>
        <v>2020.5</v>
      </c>
      <c r="K46" s="6">
        <f>+VLOOKUP(J46,'Corrected Esc by age'!G$7:H$402,2,FALSE)</f>
        <v>4108.6957231950864</v>
      </c>
      <c r="L46" s="36">
        <f>+SUM(O44:O47)</f>
        <v>4324.4068957098989</v>
      </c>
      <c r="M46" s="117">
        <f>+IF((SUM($D46:$H46)=0),(V$15/$AA$15)*$K46,(E46/$I46)*$K46)</f>
        <v>0</v>
      </c>
      <c r="N46" s="117">
        <f>+IF((SUM($D46:$H46)=0),(W$15/$AA$15)*$K46,(F46/$I46)*$K46)</f>
        <v>0</v>
      </c>
      <c r="O46" s="117">
        <f>+IF((SUM($D46:$H46)=0),(X$15/$AA$15)*$K46,(G46/$I46)*$K46)</f>
        <v>4108.6957231950864</v>
      </c>
      <c r="P46" s="117">
        <f t="shared" ref="P46" si="39">+IF((SUM($D46:$H46)=0),(Y$15/$AA$15)*$K46,(H46/$I46)*$K46)</f>
        <v>0</v>
      </c>
    </row>
    <row r="47" spans="1:18" s="39" customFormat="1" ht="15.75" thickBot="1" x14ac:dyDescent="0.3">
      <c r="A47" s="39" t="s">
        <v>11</v>
      </c>
      <c r="B47" s="50">
        <v>2020</v>
      </c>
      <c r="C47" s="40">
        <v>6</v>
      </c>
      <c r="D47" s="50"/>
      <c r="E47" s="50"/>
      <c r="F47" s="50"/>
      <c r="G47" s="50">
        <v>3</v>
      </c>
      <c r="H47" s="121"/>
      <c r="I47" s="39">
        <f t="shared" si="31"/>
        <v>3</v>
      </c>
      <c r="J47" s="39" t="str">
        <f t="shared" si="32"/>
        <v>2020.6</v>
      </c>
      <c r="K47" s="39">
        <f>+VLOOKUP(J47,'Corrected Esc by age'!G$7:H$402,2,FALSE)</f>
        <v>0</v>
      </c>
      <c r="L47" s="118">
        <f>SUM(P44:P47)</f>
        <v>0</v>
      </c>
      <c r="M47" s="118">
        <f>+IF((SUM($D47:$H47)=0),(V$16/$AA$16)*$K47,(E47/$I47)*$K47)</f>
        <v>0</v>
      </c>
      <c r="N47" s="118">
        <f>+IF((SUM($D47:$H47)=0),(W$16/$AA$16)*$K47,(F47/$I47)*$K47)</f>
        <v>0</v>
      </c>
      <c r="O47" s="118">
        <f t="shared" ref="O47" si="40">+IF((SUM($D47:$H47)=0),(X$16/$AA$16)*$K47,(G47/$I47)*$K47)</f>
        <v>0</v>
      </c>
      <c r="P47" s="118">
        <f t="shared" ref="P47" si="41">+IF((SUM($D47:$H47)=0),(Y$16/$AA$16)*$K47,(H47/$I47)*$K47)</f>
        <v>0</v>
      </c>
    </row>
    <row r="48" spans="1:18" ht="15.75" thickTop="1" x14ac:dyDescent="0.25">
      <c r="A48" s="13" t="s">
        <v>11</v>
      </c>
      <c r="B48" s="15">
        <v>2021</v>
      </c>
      <c r="C48" s="38">
        <v>3</v>
      </c>
      <c r="D48" s="15"/>
      <c r="E48" s="15">
        <v>5</v>
      </c>
      <c r="F48" s="15"/>
      <c r="G48" s="15"/>
      <c r="H48" s="15"/>
      <c r="I48" s="6">
        <f t="shared" ref="I48:I51" si="42">SUM(D48:H48)</f>
        <v>5</v>
      </c>
      <c r="J48" s="6" t="str">
        <f t="shared" ref="J48:J51" si="43">+CONCATENATE(B48,".",C48)</f>
        <v>2021.3</v>
      </c>
      <c r="K48" s="6">
        <f>+VLOOKUP(J48,'Corrected Esc by age'!G$7:H$402,2,FALSE)</f>
        <v>38.18181818181818</v>
      </c>
      <c r="L48" s="36">
        <f>+SUM(M48:M51)</f>
        <v>165.81784502480292</v>
      </c>
      <c r="M48" s="117">
        <f>+IF((SUM($D48:$H48)=0),(V$13/$AA$13)*$K48,(E48/$I48)*$K48)</f>
        <v>38.18181818181818</v>
      </c>
      <c r="N48" s="117">
        <f t="shared" ref="N48:P48" si="44">+IF((SUM($D48:$H48)=0),(W$13/$AA$13)*$K48,(F48/$I48)*$K48)</f>
        <v>0</v>
      </c>
      <c r="O48" s="117">
        <f t="shared" si="44"/>
        <v>0</v>
      </c>
      <c r="P48" s="117">
        <f t="shared" si="44"/>
        <v>0</v>
      </c>
    </row>
    <row r="49" spans="1:16" x14ac:dyDescent="0.25">
      <c r="A49" s="13" t="s">
        <v>11</v>
      </c>
      <c r="B49" s="15">
        <v>2021</v>
      </c>
      <c r="C49" s="38">
        <v>4</v>
      </c>
      <c r="D49" s="15"/>
      <c r="E49" s="15">
        <v>3</v>
      </c>
      <c r="F49" s="15">
        <v>73</v>
      </c>
      <c r="G49" s="15">
        <v>2</v>
      </c>
      <c r="H49" s="15"/>
      <c r="I49" s="6">
        <f t="shared" si="42"/>
        <v>78</v>
      </c>
      <c r="J49" s="6" t="str">
        <f t="shared" si="43"/>
        <v>2021.4</v>
      </c>
      <c r="K49" s="6">
        <f>+VLOOKUP(J49,'Corrected Esc by age'!G$7:H$402,2,FALSE)</f>
        <v>3318.5366979176029</v>
      </c>
      <c r="L49" s="36">
        <f>+SUM(N48:N51)</f>
        <v>3105.8099865126283</v>
      </c>
      <c r="M49" s="117">
        <f>+IF((SUM($D49:$H49)=0),(V$14/$AA$14)*$K49,(E49/$I49)*$K49)</f>
        <v>127.63602684298473</v>
      </c>
      <c r="N49" s="117">
        <f t="shared" ref="N49:P49" si="45">+IF((SUM($D49:$H49)=0),(W$14/$AA$14)*$K49,(F49/$I49)*$K49)</f>
        <v>3105.8099865126283</v>
      </c>
      <c r="O49" s="117">
        <f t="shared" si="45"/>
        <v>85.090684561989818</v>
      </c>
      <c r="P49" s="117">
        <f t="shared" si="45"/>
        <v>0</v>
      </c>
    </row>
    <row r="50" spans="1:16" x14ac:dyDescent="0.25">
      <c r="A50" s="13" t="s">
        <v>11</v>
      </c>
      <c r="B50" s="15">
        <v>2021</v>
      </c>
      <c r="C50" s="38">
        <v>5</v>
      </c>
      <c r="D50" s="15"/>
      <c r="E50" s="15"/>
      <c r="F50" s="15"/>
      <c r="G50" s="15">
        <v>7</v>
      </c>
      <c r="H50" s="15"/>
      <c r="I50" s="6">
        <f t="shared" si="42"/>
        <v>7</v>
      </c>
      <c r="J50" s="6" t="str">
        <f t="shared" si="43"/>
        <v>2021.5</v>
      </c>
      <c r="K50" s="6">
        <f>+VLOOKUP(J50,'Corrected Esc by age'!G$7:H$402,2,FALSE)</f>
        <v>1848.9064839005791</v>
      </c>
      <c r="L50" s="36">
        <f>+SUM(O48:O51)</f>
        <v>1949.3721684625689</v>
      </c>
      <c r="M50" s="117">
        <f>+IF((SUM($D50:$H50)=0),(V$15/$AA$15)*$K50,(E50/$I50)*$K50)</f>
        <v>0</v>
      </c>
      <c r="N50" s="117">
        <f>+IF((SUM($D50:$H50)=0),(W$15/$AA$15)*$K50,(F50/$I50)*$K50)</f>
        <v>0</v>
      </c>
      <c r="O50" s="117">
        <f>+IF((SUM($D50:$H50)=0),(X$15/$AA$15)*$K50,(G50/$I50)*$K50)</f>
        <v>1848.9064839005791</v>
      </c>
      <c r="P50" s="117">
        <f t="shared" ref="P50" si="46">+IF((SUM($D50:$H50)=0),(Y$15/$AA$15)*$K50,(H50/$I50)*$K50)</f>
        <v>0</v>
      </c>
    </row>
    <row r="51" spans="1:16" ht="15.75" thickBot="1" x14ac:dyDescent="0.3">
      <c r="A51" s="39" t="s">
        <v>11</v>
      </c>
      <c r="B51" s="50">
        <v>2021</v>
      </c>
      <c r="C51" s="40">
        <v>6</v>
      </c>
      <c r="D51" s="50"/>
      <c r="E51" s="50"/>
      <c r="F51" s="50"/>
      <c r="G51" s="50"/>
      <c r="H51" s="121"/>
      <c r="I51" s="39">
        <f t="shared" si="42"/>
        <v>0</v>
      </c>
      <c r="J51" s="39" t="str">
        <f t="shared" si="43"/>
        <v>2021.6</v>
      </c>
      <c r="K51" s="39">
        <f>+VLOOKUP(J51,'Corrected Esc by age'!G$7:H$402,2,FALSE)</f>
        <v>15.375</v>
      </c>
      <c r="L51" s="118">
        <f>SUM(P48:P51)</f>
        <v>0</v>
      </c>
      <c r="M51" s="118">
        <f>+IF((SUM($D51:$H51)=0),(V$16/$AA$16)*$K51,(E51/$I51)*$K51)</f>
        <v>0</v>
      </c>
      <c r="N51" s="118">
        <f>+IF((SUM($D51:$H51)=0),(W$16/$AA$16)*$K51,(F51/$I51)*$K51)</f>
        <v>0</v>
      </c>
      <c r="O51" s="118">
        <f t="shared" ref="O51" si="47">+IF((SUM($D51:$H51)=0),(X$16/$AA$16)*$K51,(G51/$I51)*$K51)</f>
        <v>15.375</v>
      </c>
      <c r="P51" s="118">
        <f>+IF((SUM($D51:$H51)=0),(Y$16/$AA$16)*$K51,(H51/$I51)*$K51)</f>
        <v>0</v>
      </c>
    </row>
    <row r="52" spans="1:16" ht="15.75" thickTop="1" x14ac:dyDescent="0.25">
      <c r="A52" s="13" t="s">
        <v>11</v>
      </c>
      <c r="B52" s="15">
        <v>2022</v>
      </c>
      <c r="C52" s="38">
        <v>3</v>
      </c>
      <c r="D52" s="15"/>
      <c r="E52" s="112">
        <v>0</v>
      </c>
      <c r="F52" s="15">
        <v>1</v>
      </c>
      <c r="G52" s="15">
        <v>0</v>
      </c>
      <c r="H52" s="15"/>
      <c r="I52" s="6">
        <f t="shared" ref="I52:I55" si="48">SUM(D52:H52)</f>
        <v>1</v>
      </c>
      <c r="J52" s="6" t="str">
        <f t="shared" ref="J52:J55" si="49">+CONCATENATE(B52,".",C52)</f>
        <v>2022.3</v>
      </c>
      <c r="K52" s="6">
        <f>+VLOOKUP(J52,'Corrected Esc by age'!G$7:H$402,2,FALSE)</f>
        <v>316.81131549609808</v>
      </c>
      <c r="L52" s="36">
        <f>+SUM(M52:M55)</f>
        <v>0</v>
      </c>
      <c r="M52" s="117">
        <f>+IF((SUM($D52:$H52)=0),(V$13/$AA$13)*$K52,(E52/$I52)*$K52)</f>
        <v>0</v>
      </c>
      <c r="N52" s="117">
        <f>+IF((SUM($D52:$H52)=0),(W$13/$AA$13)*$K52,(F52/$I52)*$K52)</f>
        <v>316.81131549609808</v>
      </c>
      <c r="O52" s="117">
        <f>+IF((SUM($D52:$H52)=0),(X$13/$AA$13)*$K52,(G52/$I52)*$K52)</f>
        <v>0</v>
      </c>
      <c r="P52" s="117">
        <f>+IF((SUM($D52:$H52)=0),(Y$13/$AA$13)*$K52,(H52/$I52)*$K52)</f>
        <v>0</v>
      </c>
    </row>
    <row r="53" spans="1:16" x14ac:dyDescent="0.25">
      <c r="A53" s="13" t="s">
        <v>11</v>
      </c>
      <c r="B53" s="15">
        <v>2022</v>
      </c>
      <c r="C53" s="38">
        <v>4</v>
      </c>
      <c r="D53" s="15"/>
      <c r="E53" s="15">
        <v>0</v>
      </c>
      <c r="F53" s="15">
        <v>64</v>
      </c>
      <c r="G53" s="15">
        <v>3</v>
      </c>
      <c r="H53" s="15"/>
      <c r="I53" s="6">
        <f t="shared" si="48"/>
        <v>67</v>
      </c>
      <c r="J53" s="6" t="str">
        <f t="shared" si="49"/>
        <v>2022.4</v>
      </c>
      <c r="K53" s="6">
        <f>+VLOOKUP(J53,'Corrected Esc by age'!G$7:H$402,2,FALSE)</f>
        <v>4246.8915639111292</v>
      </c>
      <c r="L53" s="36">
        <f>+SUM(N52:N55)</f>
        <v>4971.6483983918115</v>
      </c>
      <c r="M53" s="117">
        <f>+IF((SUM($D53:$H53)=0),(V$14/$AA$14)*$K53,(E53/$I53)*$K53)</f>
        <v>0</v>
      </c>
      <c r="N53" s="117">
        <f>+IF((SUM($D53:$H53)=0),(W$14/$AA$14)*$K53,(F53/$I53)*$K53)</f>
        <v>4056.7322401539145</v>
      </c>
      <c r="O53" s="117">
        <f>+IF((SUM($D53:$H53)=0),(X$14/$AA$14)*$K53,(G53/$I53)*$K53)</f>
        <v>190.15932375721474</v>
      </c>
      <c r="P53" s="117">
        <f>+IF((SUM($D53:$H53)=0),(Y$14/$AA$14)*$K53,(H53/$I53)*$K53)</f>
        <v>0</v>
      </c>
    </row>
    <row r="54" spans="1:16" x14ac:dyDescent="0.25">
      <c r="A54" s="13" t="s">
        <v>11</v>
      </c>
      <c r="B54" s="15">
        <v>2022</v>
      </c>
      <c r="C54" s="38">
        <v>5</v>
      </c>
      <c r="D54" s="15"/>
      <c r="E54" s="15">
        <v>0</v>
      </c>
      <c r="F54" s="15">
        <v>2</v>
      </c>
      <c r="G54" s="15">
        <v>26</v>
      </c>
      <c r="H54" s="15"/>
      <c r="I54" s="6">
        <f t="shared" si="48"/>
        <v>28</v>
      </c>
      <c r="J54" s="6" t="str">
        <f t="shared" si="49"/>
        <v>2022.5</v>
      </c>
      <c r="K54" s="6">
        <f>+VLOOKUP(J54,'Corrected Esc by age'!G$7:H$402,2,FALSE)</f>
        <v>8373.4677983851889</v>
      </c>
      <c r="L54" s="36">
        <f>+SUM(O52:O55)</f>
        <v>8024.3516016081876</v>
      </c>
      <c r="M54" s="117">
        <f>+IF((SUM($D54:$H54)=0),(V$15/$AA$15)*$K54,(E54/$I54)*$K54)</f>
        <v>0</v>
      </c>
      <c r="N54" s="117">
        <f>+IF((SUM($D54:$H54)=0),(W$15/$AA$15)*$K54,(F54/$I54)*$K54)</f>
        <v>598.10484274179919</v>
      </c>
      <c r="O54" s="117">
        <f>+IF((SUM($D54:$H54)=0),(X$15/$AA$15)*$K54,(G54/$I54)*$K54)</f>
        <v>7775.3629556433898</v>
      </c>
      <c r="P54" s="117">
        <f>+IF((SUM($D54:$H54)=0),(Y$15/$AA$15)*$K54,(H54/$I54)*$K54)</f>
        <v>0</v>
      </c>
    </row>
    <row r="55" spans="1:16" ht="15.75" thickBot="1" x14ac:dyDescent="0.3">
      <c r="A55" s="39" t="s">
        <v>11</v>
      </c>
      <c r="B55" s="50">
        <v>2022</v>
      </c>
      <c r="C55" s="40">
        <v>6</v>
      </c>
      <c r="D55" s="50"/>
      <c r="E55" s="50">
        <v>0</v>
      </c>
      <c r="F55" s="50">
        <v>0</v>
      </c>
      <c r="G55" s="50">
        <v>0</v>
      </c>
      <c r="H55" s="121"/>
      <c r="I55" s="39">
        <f t="shared" si="48"/>
        <v>0</v>
      </c>
      <c r="J55" s="39" t="str">
        <f t="shared" si="49"/>
        <v>2022.6</v>
      </c>
      <c r="K55" s="39">
        <f>+VLOOKUP(J55,'Corrected Esc by age'!G$7:H$402,2,FALSE)</f>
        <v>58.829322207583061</v>
      </c>
      <c r="L55" s="118">
        <f>SUM(P52:P55)</f>
        <v>0</v>
      </c>
      <c r="M55" s="118">
        <f>+IF((SUM($D55:$H55)=0),(V$16/$AA$16)*$K55,(E55/$I55)*$K55)</f>
        <v>0</v>
      </c>
      <c r="N55" s="118">
        <f>+IF((SUM($D55:$H55)=0),(W$16/$AA$16)*$K55,(F55/$I55)*$K55)</f>
        <v>0</v>
      </c>
      <c r="O55" s="118">
        <f>+IF((SUM($D55:$H55)=0),(X$16/$AA$16)*$K55,(G55/$I55)*$K55)</f>
        <v>58.829322207583061</v>
      </c>
      <c r="P55" s="118">
        <f>+IF((SUM($D55:$H55)=0),(Y$16/$AA$16)*$K55,(H55/$I55)*$K55)</f>
        <v>0</v>
      </c>
    </row>
    <row r="56" spans="1:16" ht="15.75" thickTop="1" x14ac:dyDescent="0.25">
      <c r="A56" s="13" t="s">
        <v>11</v>
      </c>
      <c r="B56" s="15">
        <v>2023</v>
      </c>
      <c r="C56" s="38">
        <v>3</v>
      </c>
      <c r="D56" s="15"/>
      <c r="E56" s="15">
        <v>7</v>
      </c>
      <c r="F56" s="15">
        <v>0</v>
      </c>
      <c r="G56" s="15">
        <v>0</v>
      </c>
      <c r="H56" s="15"/>
      <c r="I56" s="6">
        <f>SUM(D56:H56)</f>
        <v>7</v>
      </c>
      <c r="J56" s="6" t="str">
        <f>+CONCATENATE(B56,".",C56)</f>
        <v>2023.3</v>
      </c>
      <c r="K56" s="6">
        <f>+VLOOKUP(J56,'Corrected Esc by age'!G$7:H$402,2,FALSE)</f>
        <v>187.42857142857142</v>
      </c>
      <c r="L56" s="36">
        <f>+SUM(M56:M59)</f>
        <v>233.54608227432547</v>
      </c>
      <c r="M56" s="117">
        <f>+IF((SUM($D56:$H56)=0),(V$13/$AA$13)*$K56,(E56/$I56)*$K56)</f>
        <v>187.42857142857142</v>
      </c>
      <c r="N56" s="117">
        <f>+IF((SUM($D56:$H56)=0),(W$13/$AA$13)*$K56,(F56/$I56)*$K56)</f>
        <v>0</v>
      </c>
      <c r="O56" s="117">
        <f>+IF((SUM($D56:$H56)=0),(X$13/$AA$13)*$K56,(G56/$I56)*$K56)</f>
        <v>0</v>
      </c>
      <c r="P56" s="117">
        <f>+IF((SUM($D56:$H56)=0),(Y$13/$AA$13)*$K56,(H56/$I56)*$K56)</f>
        <v>0</v>
      </c>
    </row>
    <row r="57" spans="1:16" x14ac:dyDescent="0.25">
      <c r="A57" s="13" t="s">
        <v>11</v>
      </c>
      <c r="B57" s="15">
        <v>2023</v>
      </c>
      <c r="C57" s="38">
        <v>4</v>
      </c>
      <c r="D57" s="15"/>
      <c r="E57" s="15">
        <v>1</v>
      </c>
      <c r="F57" s="15">
        <v>54</v>
      </c>
      <c r="G57" s="15">
        <v>2</v>
      </c>
      <c r="H57" s="15"/>
      <c r="I57" s="6">
        <f t="shared" ref="I57:I63" si="50">SUM(D57:H57)</f>
        <v>57</v>
      </c>
      <c r="J57" s="6" t="str">
        <f t="shared" ref="J57:J63" si="51">+CONCATENATE(B57,".",C57)</f>
        <v>2023.4</v>
      </c>
      <c r="K57" s="6">
        <f>+VLOOKUP(J57,'Corrected Esc by age'!G$7:H$402,2,FALSE)</f>
        <v>2628.6981182079817</v>
      </c>
      <c r="L57" s="36">
        <f>+SUM(N56:N59)</f>
        <v>2490.3455856707192</v>
      </c>
      <c r="M57" s="117">
        <f>+IF((SUM($D57:$H57)=0),(V$14/$AA$14)*$K57,(E57/$I57)*$K57)</f>
        <v>46.117510845754062</v>
      </c>
      <c r="N57" s="117">
        <f>+IF((SUM($D57:$H57)=0),(W$14/$AA$14)*$K57,(F57/$I57)*$K57)</f>
        <v>2490.3455856707192</v>
      </c>
      <c r="O57" s="117">
        <f>+IF((SUM($D57:$H57)=0),(X$14/$AA$14)*$K57,(G57/$I57)*$K57)</f>
        <v>92.235021691508123</v>
      </c>
      <c r="P57" s="117">
        <f>+IF((SUM($D57:$H57)=0),(Y$14/$AA$14)*$K57,(H57/$I57)*$K57)</f>
        <v>0</v>
      </c>
    </row>
    <row r="58" spans="1:16" x14ac:dyDescent="0.25">
      <c r="A58" s="13" t="s">
        <v>11</v>
      </c>
      <c r="B58" s="15">
        <v>2023</v>
      </c>
      <c r="C58" s="38">
        <v>5</v>
      </c>
      <c r="D58" s="15"/>
      <c r="E58" s="15">
        <v>0</v>
      </c>
      <c r="F58" s="15">
        <v>0</v>
      </c>
      <c r="G58" s="15">
        <v>18</v>
      </c>
      <c r="H58" s="15"/>
      <c r="I58" s="6">
        <f t="shared" si="50"/>
        <v>18</v>
      </c>
      <c r="J58" s="6" t="str">
        <f t="shared" si="51"/>
        <v>2023.5</v>
      </c>
      <c r="K58" s="6">
        <f>+VLOOKUP(J58,'Corrected Esc by age'!G$7:H$402,2,FALSE)</f>
        <v>4324.2639488099767</v>
      </c>
      <c r="L58" s="36">
        <f>+SUM(O56:O59)</f>
        <v>4457.108332054956</v>
      </c>
      <c r="M58" s="117">
        <f>+IF((SUM($D58:$H58)=0),(V$15/$AA$15)*$K58,(E58/$I58)*$K58)</f>
        <v>0</v>
      </c>
      <c r="N58" s="117">
        <f>+IF((SUM($D58:$H58)=0),(W$15/$AA$15)*$K58,(F58/$I58)*$K58)</f>
        <v>0</v>
      </c>
      <c r="O58" s="117">
        <f>+IF((SUM($D58:$H58)=0),(X$15/$AA$15)*$K58,(G58/$I58)*$K58)</f>
        <v>4324.2639488099767</v>
      </c>
      <c r="P58" s="117">
        <f>+IF((SUM($D58:$H58)=0),(Y$15/$AA$15)*$K58,(H58/$I58)*$K58)</f>
        <v>0</v>
      </c>
    </row>
    <row r="59" spans="1:16" ht="15.75" thickBot="1" x14ac:dyDescent="0.3">
      <c r="A59" s="39" t="s">
        <v>11</v>
      </c>
      <c r="B59" s="50">
        <v>2023</v>
      </c>
      <c r="C59" s="40">
        <v>6</v>
      </c>
      <c r="D59" s="50"/>
      <c r="E59" s="50">
        <v>0</v>
      </c>
      <c r="F59" s="50">
        <v>0</v>
      </c>
      <c r="G59" s="50">
        <v>0</v>
      </c>
      <c r="H59" s="121"/>
      <c r="I59" s="39">
        <f t="shared" si="50"/>
        <v>0</v>
      </c>
      <c r="J59" s="39" t="str">
        <f t="shared" si="51"/>
        <v>2023.6</v>
      </c>
      <c r="K59" s="39">
        <f>+VLOOKUP(J59,'Corrected Esc by age'!G$7:H$402,2,FALSE)</f>
        <v>40.609361553470855</v>
      </c>
      <c r="L59" s="118">
        <f>SUM(P56:P59)</f>
        <v>0</v>
      </c>
      <c r="M59" s="118">
        <f>+IF((SUM($D59:$H59)=0),(V$16/$AA$16)*$K59,(E59/$I59)*$K59)</f>
        <v>0</v>
      </c>
      <c r="N59" s="118">
        <f>+IF((SUM($D59:$H59)=0),(W$16/$AA$16)*$K59,(F59/$I59)*$K59)</f>
        <v>0</v>
      </c>
      <c r="O59" s="118">
        <f>+IF((SUM($D59:$H59)=0),(X$16/$AA$16)*$K59,(G59/$I59)*$K59)</f>
        <v>40.609361553470855</v>
      </c>
      <c r="P59" s="118">
        <f>+IF((SUM($D59:$H59)=0),(Y$16/$AA$16)*$K59,(H59/$I59)*$K59)</f>
        <v>0</v>
      </c>
    </row>
    <row r="60" spans="1:16" ht="15.75" thickTop="1" x14ac:dyDescent="0.25">
      <c r="A60" s="13" t="s">
        <v>11</v>
      </c>
      <c r="B60" s="15">
        <v>2024</v>
      </c>
      <c r="C60" s="38">
        <v>3</v>
      </c>
      <c r="I60" s="6">
        <f>SUM(D60:H60)</f>
        <v>0</v>
      </c>
      <c r="J60" s="6" t="str">
        <f>+CONCATENATE(B60,".",C60)</f>
        <v>2024.3</v>
      </c>
      <c r="K60" s="6">
        <f>+VLOOKUP(J60,'Corrected Esc by age'!G$7:H$402,2,FALSE)</f>
        <v>230.63636363636363</v>
      </c>
      <c r="L60" s="36">
        <f>+SUM(M60:M63)</f>
        <v>214.16233766233765</v>
      </c>
      <c r="M60" s="117">
        <f>+IF((SUM($D60:$H60)=0),(V$13/$AA$13)*$K60,(E60/$I60)*$K60)</f>
        <v>214.16233766233765</v>
      </c>
      <c r="N60" s="117">
        <f>+IF((SUM($D60:$H60)=0),(W$13/$AA$13)*$K60,(F60/$I60)*$K60)</f>
        <v>16.474025974025974</v>
      </c>
      <c r="O60" s="117">
        <f>+IF((SUM($D60:$H60)=0),(X$13/$AA$13)*$K60,(G60/$I60)*$K60)</f>
        <v>0</v>
      </c>
      <c r="P60" s="117">
        <f>+IF((SUM($D60:$H60)=0),(Y$13/$AA$13)*$K60,(H60/$I60)*$K60)</f>
        <v>0</v>
      </c>
    </row>
    <row r="61" spans="1:16" x14ac:dyDescent="0.25">
      <c r="A61" s="13" t="s">
        <v>11</v>
      </c>
      <c r="B61" s="15">
        <v>2024</v>
      </c>
      <c r="C61" s="38">
        <v>4</v>
      </c>
      <c r="F61" s="6">
        <v>20</v>
      </c>
      <c r="G61" s="6">
        <v>1</v>
      </c>
      <c r="I61" s="6">
        <f t="shared" si="50"/>
        <v>21</v>
      </c>
      <c r="J61" s="6" t="str">
        <f t="shared" si="51"/>
        <v>2024.4</v>
      </c>
      <c r="K61" s="6">
        <f>+VLOOKUP(J61,'Corrected Esc by age'!G$7:H$402,2,FALSE)</f>
        <v>2012.2426573426576</v>
      </c>
      <c r="L61" s="36">
        <f>+SUM(N60:N63)</f>
        <v>3284.8608724608725</v>
      </c>
      <c r="M61" s="117">
        <f>+IF((SUM($D61:$H61)=0),(V$14/$AA$14)*$K61,(E61/$I61)*$K61)</f>
        <v>0</v>
      </c>
      <c r="N61" s="117">
        <f>+IF((SUM($D61:$H61)=0),(W$14/$AA$14)*$K61,(F61/$I61)*$K61)</f>
        <v>1916.4215784215785</v>
      </c>
      <c r="O61" s="117">
        <f>+IF((SUM($D61:$H61)=0),(X$14/$AA$14)*$K61,(G61/$I61)*$K61)</f>
        <v>95.821078921078922</v>
      </c>
      <c r="P61" s="117">
        <f>+IF((SUM($D61:$H61)=0),(Y$14/$AA$14)*$K61,(H61/$I61)*$K61)</f>
        <v>0</v>
      </c>
    </row>
    <row r="62" spans="1:16" x14ac:dyDescent="0.25">
      <c r="A62" s="13" t="s">
        <v>11</v>
      </c>
      <c r="B62" s="15">
        <v>2024</v>
      </c>
      <c r="C62" s="38">
        <v>5</v>
      </c>
      <c r="F62" s="6">
        <v>2</v>
      </c>
      <c r="G62" s="6">
        <v>1</v>
      </c>
      <c r="I62" s="6">
        <f t="shared" si="50"/>
        <v>3</v>
      </c>
      <c r="J62" s="6" t="str">
        <f t="shared" si="51"/>
        <v>2024.5</v>
      </c>
      <c r="K62" s="6">
        <f>+VLOOKUP(J62,'Corrected Esc by age'!G$7:H$402,2,FALSE)</f>
        <v>2027.9479020979022</v>
      </c>
      <c r="L62" s="36">
        <f>+SUM(O60:O63)</f>
        <v>795.97678987678978</v>
      </c>
      <c r="M62" s="117">
        <f>+IF((SUM($D62:$H62)=0),(V$15/$AA$15)*$K62,(E62/$I62)*$K62)</f>
        <v>0</v>
      </c>
      <c r="N62" s="117">
        <f>+IF((SUM($D62:$H62)=0),(W$15/$AA$15)*$K62,(F62/$I62)*$K62)</f>
        <v>1351.965268065268</v>
      </c>
      <c r="O62" s="117">
        <f>+IF((SUM($D62:$H62)=0),(X$15/$AA$15)*$K62,(G62/$I62)*$K62)</f>
        <v>675.982634032634</v>
      </c>
      <c r="P62" s="117">
        <f>+IF((SUM($D62:$H62)=0),(Y$15/$AA$15)*$K62,(H62/$I62)*$K62)</f>
        <v>0</v>
      </c>
    </row>
    <row r="63" spans="1:16" ht="15.75" thickBot="1" x14ac:dyDescent="0.3">
      <c r="A63" s="39" t="s">
        <v>11</v>
      </c>
      <c r="B63" s="50">
        <v>2024</v>
      </c>
      <c r="C63" s="40">
        <v>6</v>
      </c>
      <c r="D63" s="39"/>
      <c r="E63" s="39"/>
      <c r="F63" s="39"/>
      <c r="G63" s="39"/>
      <c r="H63" s="39"/>
      <c r="I63" s="39">
        <f t="shared" si="50"/>
        <v>0</v>
      </c>
      <c r="J63" s="39" t="str">
        <f t="shared" si="51"/>
        <v>2024.6</v>
      </c>
      <c r="K63" s="39">
        <f>+VLOOKUP(J63,'Corrected Esc by age'!G$7:H$402,2,FALSE)</f>
        <v>24.173076923076923</v>
      </c>
      <c r="L63" s="118">
        <f>SUM(P60:P63)</f>
        <v>0</v>
      </c>
      <c r="M63" s="118">
        <f>+IF((SUM($D63:$H63)=0),(V$16/$AA$16)*$K63,(E63/$I63)*$K63)</f>
        <v>0</v>
      </c>
      <c r="N63" s="118">
        <f>+IF((SUM($D63:$H63)=0),(W$16/$AA$16)*$K63,(F63/$I63)*$K63)</f>
        <v>0</v>
      </c>
      <c r="O63" s="118">
        <f>+IF((SUM($D63:$H63)=0),(X$16/$AA$16)*$K63,(G63/$I63)*$K63)</f>
        <v>24.173076923076923</v>
      </c>
      <c r="P63" s="118">
        <f>+IF((SUM($D63:$H63)=0),(Y$16/$AA$16)*$K63,(H63/$I63)*$K63)</f>
        <v>0</v>
      </c>
    </row>
    <row r="64" spans="1:16" ht="15.75" thickTop="1" x14ac:dyDescent="0.25"/>
  </sheetData>
  <pageMargins left="0.7" right="0.7" top="0.75" bottom="0.75" header="0.3" footer="0.3"/>
  <pageSetup orientation="portrait" r:id="rId2"/>
  <headerFooter>
    <oddHeader>&amp;R&amp;"Calibri"&amp;12&amp;K000000 Unclassified - Non-Classifié&amp;1#_x000D_</oddHeader>
  </headerFooter>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111"/>
  <sheetViews>
    <sheetView topLeftCell="A6" zoomScale="70" zoomScaleNormal="70" workbookViewId="0">
      <selection activeCell="C14" sqref="C14"/>
    </sheetView>
  </sheetViews>
  <sheetFormatPr defaultColWidth="9.140625" defaultRowHeight="15" x14ac:dyDescent="0.25"/>
  <cols>
    <col min="1" max="1" width="15" style="6" bestFit="1" customWidth="1"/>
    <col min="2" max="5" width="30.140625" style="6" bestFit="1" customWidth="1"/>
    <col min="6" max="6" width="9.140625" style="6"/>
    <col min="7" max="7" width="11.5703125" style="6" bestFit="1" customWidth="1"/>
    <col min="8" max="12" width="9.140625" style="6"/>
    <col min="13" max="13" width="10.140625" style="6" bestFit="1" customWidth="1"/>
    <col min="14" max="18" width="9.140625" style="6"/>
    <col min="19" max="19" width="9.5703125" style="6" bestFit="1" customWidth="1"/>
    <col min="20" max="20" width="9.140625" style="6" bestFit="1" customWidth="1"/>
    <col min="21" max="22" width="9.5703125" style="6" bestFit="1" customWidth="1"/>
    <col min="23" max="23" width="9.140625" style="6" bestFit="1" customWidth="1"/>
    <col min="24" max="43" width="9.140625" style="6"/>
    <col min="44" max="44" width="14.85546875" style="6" customWidth="1"/>
    <col min="45" max="48" width="21.5703125" style="6" customWidth="1"/>
    <col min="49" max="16384" width="9.140625" style="6"/>
  </cols>
  <sheetData>
    <row r="1" spans="1:63" x14ac:dyDescent="0.25">
      <c r="A1" s="10" t="s">
        <v>31</v>
      </c>
      <c r="B1" s="6" t="s">
        <v>9</v>
      </c>
      <c r="AR1"/>
      <c r="AS1"/>
    </row>
    <row r="2" spans="1:63" x14ac:dyDescent="0.25">
      <c r="A2" s="10" t="s">
        <v>30</v>
      </c>
      <c r="B2" s="6" t="s">
        <v>49</v>
      </c>
      <c r="AR2"/>
      <c r="AS2"/>
    </row>
    <row r="3" spans="1:63" x14ac:dyDescent="0.25">
      <c r="A3"/>
      <c r="B3"/>
      <c r="C3"/>
      <c r="D3"/>
      <c r="E3"/>
      <c r="AR3" s="10" t="s">
        <v>30</v>
      </c>
      <c r="AS3" s="6" t="s">
        <v>49</v>
      </c>
      <c r="AT3"/>
      <c r="AU3"/>
      <c r="AV3"/>
    </row>
    <row r="4" spans="1:63" x14ac:dyDescent="0.25">
      <c r="A4"/>
      <c r="B4" s="10" t="s">
        <v>10</v>
      </c>
      <c r="C4"/>
      <c r="D4"/>
      <c r="E4"/>
      <c r="G4" s="6" t="s">
        <v>16</v>
      </c>
      <c r="T4" s="2"/>
      <c r="U4" s="2"/>
      <c r="V4" s="2"/>
      <c r="W4" s="2"/>
      <c r="Z4" s="6" t="s">
        <v>18</v>
      </c>
      <c r="AR4"/>
      <c r="AS4"/>
      <c r="AT4"/>
      <c r="AU4"/>
      <c r="AV4"/>
      <c r="BD4" s="6" t="s">
        <v>24</v>
      </c>
      <c r="BH4" s="6" t="s">
        <v>25</v>
      </c>
    </row>
    <row r="5" spans="1:63" ht="18" x14ac:dyDescent="0.35">
      <c r="A5" s="10" t="s">
        <v>0</v>
      </c>
      <c r="B5" s="6" t="s">
        <v>57</v>
      </c>
      <c r="C5" s="6" t="s">
        <v>56</v>
      </c>
      <c r="D5" s="6" t="s">
        <v>58</v>
      </c>
      <c r="E5" s="6" t="s">
        <v>59</v>
      </c>
      <c r="F5" s="6" t="s">
        <v>17</v>
      </c>
      <c r="G5" s="3">
        <v>32</v>
      </c>
      <c r="H5" s="6">
        <v>42</v>
      </c>
      <c r="I5" s="6">
        <v>52</v>
      </c>
      <c r="J5" s="6">
        <v>62</v>
      </c>
      <c r="M5" s="6" t="s">
        <v>18</v>
      </c>
      <c r="N5" s="2" t="s">
        <v>12</v>
      </c>
      <c r="O5" s="2" t="s">
        <v>13</v>
      </c>
      <c r="P5" s="2" t="s">
        <v>14</v>
      </c>
      <c r="Q5" s="2" t="s">
        <v>15</v>
      </c>
      <c r="S5" s="6" t="s">
        <v>19</v>
      </c>
      <c r="T5" s="2" t="s">
        <v>12</v>
      </c>
      <c r="U5" s="2" t="s">
        <v>13</v>
      </c>
      <c r="V5" s="2" t="s">
        <v>14</v>
      </c>
      <c r="W5" s="2" t="s">
        <v>15</v>
      </c>
      <c r="Y5" s="6" t="s">
        <v>19</v>
      </c>
      <c r="Z5" s="2">
        <v>2004</v>
      </c>
      <c r="AA5" s="2">
        <f>1+Z5</f>
        <v>2005</v>
      </c>
      <c r="AB5" s="2">
        <f t="shared" ref="AB5:AG5" si="0">1+AA5</f>
        <v>2006</v>
      </c>
      <c r="AC5" s="2">
        <f t="shared" si="0"/>
        <v>2007</v>
      </c>
      <c r="AD5" s="2">
        <f t="shared" si="0"/>
        <v>2008</v>
      </c>
      <c r="AE5" s="2">
        <f t="shared" si="0"/>
        <v>2009</v>
      </c>
      <c r="AF5" s="2">
        <f t="shared" si="0"/>
        <v>2010</v>
      </c>
      <c r="AG5" s="2">
        <f t="shared" si="0"/>
        <v>2011</v>
      </c>
      <c r="AH5" s="1">
        <v>2012</v>
      </c>
      <c r="AI5" s="13">
        <v>2013</v>
      </c>
      <c r="AJ5" s="13">
        <v>2014</v>
      </c>
      <c r="AK5" s="15">
        <v>2015</v>
      </c>
      <c r="AL5" s="15">
        <v>2016</v>
      </c>
      <c r="AM5" s="15">
        <v>2017</v>
      </c>
      <c r="AN5" s="15">
        <v>2018</v>
      </c>
      <c r="AO5" s="15">
        <v>2019</v>
      </c>
      <c r="AP5" s="15">
        <v>2020</v>
      </c>
      <c r="AQ5" s="15">
        <v>2021</v>
      </c>
      <c r="AR5"/>
      <c r="AS5" s="10" t="s">
        <v>10</v>
      </c>
      <c r="AT5"/>
      <c r="AU5"/>
      <c r="AV5"/>
      <c r="AY5" s="6" t="s">
        <v>18</v>
      </c>
      <c r="AZ5" s="6" t="s">
        <v>20</v>
      </c>
      <c r="BA5" s="6" t="s">
        <v>21</v>
      </c>
      <c r="BB5" s="6" t="s">
        <v>22</v>
      </c>
      <c r="BC5" s="6" t="s">
        <v>23</v>
      </c>
      <c r="BD5" s="6" t="s">
        <v>20</v>
      </c>
      <c r="BE5" s="6" t="s">
        <v>21</v>
      </c>
      <c r="BF5" s="6" t="s">
        <v>22</v>
      </c>
      <c r="BG5" s="6" t="s">
        <v>23</v>
      </c>
      <c r="BH5" s="6" t="s">
        <v>20</v>
      </c>
      <c r="BI5" s="6" t="s">
        <v>21</v>
      </c>
      <c r="BJ5" s="6" t="s">
        <v>22</v>
      </c>
      <c r="BK5" s="6" t="s">
        <v>23</v>
      </c>
    </row>
    <row r="6" spans="1:63" x14ac:dyDescent="0.25">
      <c r="A6" s="11">
        <v>2010</v>
      </c>
      <c r="B6" s="17">
        <v>44.751014357053684</v>
      </c>
      <c r="C6" s="17">
        <v>3880.8798690109156</v>
      </c>
      <c r="D6" s="17">
        <v>3241.3351428742781</v>
      </c>
      <c r="E6" s="17">
        <v>351.03397375775205</v>
      </c>
      <c r="F6" s="17">
        <f>SUM(B6:E6)</f>
        <v>7518</v>
      </c>
      <c r="G6" s="18">
        <f>B6/SUM($B6:$E6)</f>
        <v>5.9525158761710145E-3</v>
      </c>
      <c r="H6" s="18">
        <f t="shared" ref="H6:J6" si="1">C6/SUM($B6:$E6)</f>
        <v>0.51621174102300027</v>
      </c>
      <c r="I6" s="18">
        <f t="shared" si="1"/>
        <v>0.43114327518944906</v>
      </c>
      <c r="J6" s="18">
        <f t="shared" si="1"/>
        <v>4.6692467911379626E-2</v>
      </c>
      <c r="M6" s="6">
        <v>2007</v>
      </c>
      <c r="N6" s="17">
        <f>+B6</f>
        <v>44.751014357053684</v>
      </c>
      <c r="O6" s="17">
        <f>+C7</f>
        <v>1405.2216040009296</v>
      </c>
      <c r="P6" s="17">
        <f>+D8</f>
        <v>2626.4035134225169</v>
      </c>
      <c r="Q6" s="17">
        <f>+E9</f>
        <v>40.184392409211426</v>
      </c>
      <c r="S6" s="19">
        <f>+A6</f>
        <v>2010</v>
      </c>
      <c r="T6" s="3">
        <f t="shared" ref="T6:T18" si="2">+B6</f>
        <v>44.751014357053684</v>
      </c>
      <c r="U6" s="3">
        <f t="shared" ref="U6:U14" si="3">+C6</f>
        <v>3880.8798690109156</v>
      </c>
      <c r="V6" s="3">
        <f>+D6</f>
        <v>3241.3351428742781</v>
      </c>
      <c r="W6" s="3">
        <f t="shared" ref="W6:W14" si="4">+E6</f>
        <v>351.03397375775205</v>
      </c>
      <c r="Y6" s="19">
        <f>+S6</f>
        <v>2010</v>
      </c>
      <c r="Z6" s="3">
        <f>+W6</f>
        <v>351.03397375775205</v>
      </c>
      <c r="AA6" s="3">
        <f>+V6</f>
        <v>3241.3351428742781</v>
      </c>
      <c r="AB6" s="3">
        <f>+U6</f>
        <v>3880.8798690109156</v>
      </c>
      <c r="AC6" s="3">
        <f>+T6</f>
        <v>44.751014357053684</v>
      </c>
      <c r="AR6" s="10" t="s">
        <v>0</v>
      </c>
      <c r="AS6" s="6" t="s">
        <v>57</v>
      </c>
      <c r="AT6" s="6" t="s">
        <v>56</v>
      </c>
      <c r="AU6" s="6" t="s">
        <v>58</v>
      </c>
      <c r="AV6" s="6" t="s">
        <v>59</v>
      </c>
      <c r="AX6" s="17">
        <v>2007</v>
      </c>
      <c r="AY6" s="6" t="s">
        <v>26</v>
      </c>
      <c r="AZ6" s="17">
        <f>+AS17+AS26</f>
        <v>6.1368421052631579</v>
      </c>
      <c r="BA6" s="17">
        <f>+AT18</f>
        <v>936.17835365853659</v>
      </c>
      <c r="BB6" s="17">
        <f>+AU19</f>
        <v>3522.2525252525252</v>
      </c>
      <c r="BC6" s="17">
        <f>+AV24</f>
        <v>10.604790419161677</v>
      </c>
      <c r="BD6" s="18">
        <f>+AZ6/SUM($AZ6:$BC6)</f>
        <v>1.3713085003050894E-3</v>
      </c>
      <c r="BE6" s="18">
        <f t="shared" ref="BE6:BG9" si="5">+BA6/SUM($AZ6:$BC6)</f>
        <v>0.20919380230958776</v>
      </c>
      <c r="BF6" s="18">
        <f t="shared" si="5"/>
        <v>0.78706519497338967</v>
      </c>
      <c r="BG6" s="18">
        <f t="shared" si="5"/>
        <v>2.369694216717472E-3</v>
      </c>
      <c r="BH6" s="18">
        <f>+AZ6/SUM($AZ6:$BC7)</f>
        <v>9.5899011508107917E-4</v>
      </c>
      <c r="BI6" s="18">
        <f t="shared" ref="BI6:BK6" si="6">+BA6/SUM($AZ6:$BC7)</f>
        <v>0.14629442500100248</v>
      </c>
      <c r="BJ6" s="18">
        <f t="shared" si="6"/>
        <v>0.55041425159686341</v>
      </c>
      <c r="BK6" s="18">
        <f t="shared" si="6"/>
        <v>1.6571860592210041E-3</v>
      </c>
    </row>
    <row r="7" spans="1:63" x14ac:dyDescent="0.25">
      <c r="A7" s="11">
        <v>2011</v>
      </c>
      <c r="B7" s="17">
        <v>19</v>
      </c>
      <c r="C7" s="17">
        <v>1405.2216040009296</v>
      </c>
      <c r="D7" s="17">
        <v>6811.3083797317649</v>
      </c>
      <c r="E7" s="17">
        <v>179.47001626730588</v>
      </c>
      <c r="F7" s="17">
        <f t="shared" ref="F7:F15" si="7">SUM(B7:E7)</f>
        <v>8415</v>
      </c>
      <c r="G7" s="18">
        <f t="shared" ref="G7:G13" si="8">B7/SUM($B7:$E7)</f>
        <v>2.2578728461081403E-3</v>
      </c>
      <c r="H7" s="18">
        <f t="shared" ref="H7:H13" si="9">C7/SUM($B7:$E7)</f>
        <v>0.16699008960201184</v>
      </c>
      <c r="I7" s="18">
        <f t="shared" ref="I7:I13" si="10">D7/SUM($B7:$E7)</f>
        <v>0.8094246440560624</v>
      </c>
      <c r="J7" s="18">
        <f t="shared" ref="J7:J13" si="11">E7/SUM($B7:$E7)</f>
        <v>2.1327393495817693E-2</v>
      </c>
      <c r="M7" s="6">
        <v>2008</v>
      </c>
      <c r="N7" s="17">
        <f t="shared" ref="N7:N13" si="12">+B7</f>
        <v>19</v>
      </c>
      <c r="O7" s="17">
        <f t="shared" ref="O7:O19" si="13">+C8</f>
        <v>1411.3554609481762</v>
      </c>
      <c r="P7" s="17">
        <f t="shared" ref="P7:P18" si="14">+D9</f>
        <v>1486.2444547810755</v>
      </c>
      <c r="Q7" s="17">
        <f t="shared" ref="Q7:Q17" si="15">+E10</f>
        <v>129.94476450867427</v>
      </c>
      <c r="S7" s="19">
        <f t="shared" ref="S7:S10" si="16">+A7</f>
        <v>2011</v>
      </c>
      <c r="T7" s="3">
        <f t="shared" si="2"/>
        <v>19</v>
      </c>
      <c r="U7" s="3">
        <f t="shared" si="3"/>
        <v>1405.2216040009296</v>
      </c>
      <c r="V7" s="3">
        <f t="shared" ref="V7:V14" si="17">+D7</f>
        <v>6811.3083797317649</v>
      </c>
      <c r="W7" s="3">
        <f t="shared" si="4"/>
        <v>179.47001626730588</v>
      </c>
      <c r="Y7" s="19">
        <f t="shared" ref="Y7:Y20" si="18">+S7</f>
        <v>2011</v>
      </c>
      <c r="AA7" s="3">
        <f>+W7</f>
        <v>179.47001626730588</v>
      </c>
      <c r="AB7" s="3">
        <f>+V7</f>
        <v>6811.3083797317649</v>
      </c>
      <c r="AC7" s="3">
        <f>+U7</f>
        <v>1405.2216040009296</v>
      </c>
      <c r="AD7" s="3">
        <f>+T7</f>
        <v>19</v>
      </c>
      <c r="AR7" s="11" t="s">
        <v>50</v>
      </c>
      <c r="AS7" s="36">
        <v>31.407581656932727</v>
      </c>
      <c r="AT7" s="36">
        <v>11935.917895723931</v>
      </c>
      <c r="AU7" s="36">
        <v>26932.444183773423</v>
      </c>
      <c r="AV7" s="36">
        <v>766.23033884572146</v>
      </c>
      <c r="AY7" s="6" t="s">
        <v>27</v>
      </c>
      <c r="AZ7" s="17">
        <f>+AS8</f>
        <v>0</v>
      </c>
      <c r="BA7" s="17">
        <f>+AT9</f>
        <v>578.3369681689253</v>
      </c>
      <c r="BB7" s="17">
        <f>+AU10</f>
        <v>1316.1865822055859</v>
      </c>
      <c r="BC7" s="17">
        <f>+AV11</f>
        <v>29.579601990049749</v>
      </c>
      <c r="BD7" s="18">
        <f>+AZ7/SUM($AZ7:$BC7)</f>
        <v>0</v>
      </c>
      <c r="BE7" s="18">
        <f t="shared" si="5"/>
        <v>0.30057482492983695</v>
      </c>
      <c r="BF7" s="18">
        <f t="shared" si="5"/>
        <v>0.68405198577223025</v>
      </c>
      <c r="BG7" s="18">
        <f t="shared" si="5"/>
        <v>1.5373189297932861E-2</v>
      </c>
      <c r="BH7" s="18">
        <f>+AZ7/SUM($AZ6:$BC7)</f>
        <v>0</v>
      </c>
      <c r="BI7" s="18">
        <f t="shared" ref="BI7:BK7" si="19">+BA7/SUM($AZ6:$BC7)</f>
        <v>9.0375379738758504E-2</v>
      </c>
      <c r="BJ7" s="18">
        <f t="shared" si="19"/>
        <v>0.20567743153355605</v>
      </c>
      <c r="BK7" s="18">
        <f t="shared" si="19"/>
        <v>4.622335955517292E-3</v>
      </c>
    </row>
    <row r="8" spans="1:63" x14ac:dyDescent="0.25">
      <c r="A8" s="11">
        <v>2012</v>
      </c>
      <c r="B8" s="17">
        <v>176.9220726938118</v>
      </c>
      <c r="C8" s="17">
        <v>1411.3554609481762</v>
      </c>
      <c r="D8" s="17">
        <v>2626.4035134225169</v>
      </c>
      <c r="E8" s="17">
        <v>72.318952935494821</v>
      </c>
      <c r="F8" s="17">
        <f t="shared" si="7"/>
        <v>4287</v>
      </c>
      <c r="G8" s="18">
        <f t="shared" si="8"/>
        <v>4.1269436131050108E-2</v>
      </c>
      <c r="H8" s="18">
        <f t="shared" si="9"/>
        <v>0.32921750896855057</v>
      </c>
      <c r="I8" s="18">
        <f t="shared" si="10"/>
        <v>0.61264369335724678</v>
      </c>
      <c r="J8" s="18">
        <f t="shared" si="11"/>
        <v>1.6869361543152512E-2</v>
      </c>
      <c r="M8" s="6">
        <v>2009</v>
      </c>
      <c r="N8" s="17">
        <f t="shared" si="12"/>
        <v>176.9220726938118</v>
      </c>
      <c r="O8" s="17">
        <f t="shared" si="13"/>
        <v>2495.8152482962569</v>
      </c>
      <c r="P8" s="17">
        <f t="shared" si="14"/>
        <v>7388.9483025746176</v>
      </c>
      <c r="Q8" s="17">
        <f t="shared" si="15"/>
        <v>97.690701985378183</v>
      </c>
      <c r="S8" s="19">
        <f t="shared" si="16"/>
        <v>2012</v>
      </c>
      <c r="T8" s="3">
        <f t="shared" si="2"/>
        <v>176.9220726938118</v>
      </c>
      <c r="U8" s="3">
        <f t="shared" si="3"/>
        <v>1411.3554609481762</v>
      </c>
      <c r="V8" s="3">
        <f t="shared" si="17"/>
        <v>2626.4035134225169</v>
      </c>
      <c r="W8" s="3">
        <f t="shared" si="4"/>
        <v>72.318952935494821</v>
      </c>
      <c r="Y8" s="19">
        <f t="shared" si="18"/>
        <v>2012</v>
      </c>
      <c r="Z8" s="3"/>
      <c r="AB8" s="3">
        <f>+W8</f>
        <v>72.318952935494821</v>
      </c>
      <c r="AC8" s="3">
        <f>+V8</f>
        <v>2626.4035134225169</v>
      </c>
      <c r="AD8" s="3">
        <f>+U8</f>
        <v>1411.3554609481762</v>
      </c>
      <c r="AE8" s="3">
        <f>+T8</f>
        <v>176.9220726938118</v>
      </c>
      <c r="AR8" s="21">
        <v>2010</v>
      </c>
      <c r="AS8" s="36">
        <v>0</v>
      </c>
      <c r="AT8" s="36">
        <v>1511.692134928519</v>
      </c>
      <c r="AU8" s="36">
        <v>2088.7085042974991</v>
      </c>
      <c r="AV8" s="36">
        <v>211.59936077398177</v>
      </c>
      <c r="AX8" s="17">
        <v>2008</v>
      </c>
      <c r="AY8" s="6" t="s">
        <v>26</v>
      </c>
      <c r="AZ8" s="17">
        <f>+AS18+AS27</f>
        <v>0</v>
      </c>
      <c r="BA8" s="17">
        <f>+AT19</f>
        <v>1416.1138047138045</v>
      </c>
      <c r="BB8" s="17">
        <f>+AU20</f>
        <v>22477.151462742844</v>
      </c>
      <c r="BC8" s="17">
        <f>+AV20</f>
        <v>730.90628590654899</v>
      </c>
      <c r="BD8" s="18">
        <f>+AZ8/SUM($AZ8:$BC8)</f>
        <v>0</v>
      </c>
      <c r="BE8" s="18">
        <f t="shared" si="5"/>
        <v>5.7509094332166069E-2</v>
      </c>
      <c r="BF8" s="18">
        <f t="shared" si="5"/>
        <v>0.91280843353582342</v>
      </c>
      <c r="BG8" s="18">
        <f t="shared" si="5"/>
        <v>2.9682472132010508E-2</v>
      </c>
      <c r="BH8" s="18">
        <f>+AZ8/SUM($AZ8:$BC9)</f>
        <v>0</v>
      </c>
      <c r="BI8" s="18">
        <f t="shared" ref="BI8:BK8" si="20">+BA8/SUM($AZ8:$BC9)</f>
        <v>5.3752750041151841E-2</v>
      </c>
      <c r="BJ8" s="18">
        <f t="shared" si="20"/>
        <v>0.85318616356409616</v>
      </c>
      <c r="BK8" s="18">
        <f t="shared" si="20"/>
        <v>2.7743690343998526E-2</v>
      </c>
    </row>
    <row r="9" spans="1:63" x14ac:dyDescent="0.25">
      <c r="A9" s="11">
        <v>2013</v>
      </c>
      <c r="B9" s="17">
        <v>400.75590451345658</v>
      </c>
      <c r="C9" s="17">
        <v>2495.8152482962569</v>
      </c>
      <c r="D9" s="17">
        <v>1486.2444547810755</v>
      </c>
      <c r="E9" s="17">
        <v>40.184392409211426</v>
      </c>
      <c r="F9" s="17">
        <f t="shared" si="7"/>
        <v>4423.0000000000009</v>
      </c>
      <c r="G9" s="18">
        <f t="shared" si="8"/>
        <v>9.060725853797344E-2</v>
      </c>
      <c r="H9" s="18">
        <f t="shared" si="9"/>
        <v>0.564281087111973</v>
      </c>
      <c r="I9" s="18">
        <f t="shared" si="10"/>
        <v>0.33602632936492771</v>
      </c>
      <c r="J9" s="18">
        <f t="shared" si="11"/>
        <v>9.0853249851258009E-3</v>
      </c>
      <c r="M9" s="6">
        <v>2010</v>
      </c>
      <c r="N9" s="17">
        <f t="shared" si="12"/>
        <v>400.75590451345658</v>
      </c>
      <c r="O9" s="17">
        <f t="shared" si="13"/>
        <v>5816.2648276535492</v>
      </c>
      <c r="P9" s="17">
        <f t="shared" si="14"/>
        <v>7530.9114601018682</v>
      </c>
      <c r="Q9" s="17">
        <f t="shared" si="15"/>
        <v>308.70699999999999</v>
      </c>
      <c r="S9" s="19">
        <f t="shared" si="16"/>
        <v>2013</v>
      </c>
      <c r="T9" s="3">
        <f t="shared" si="2"/>
        <v>400.75590451345658</v>
      </c>
      <c r="U9" s="3">
        <f t="shared" si="3"/>
        <v>2495.8152482962569</v>
      </c>
      <c r="V9" s="3">
        <f t="shared" si="17"/>
        <v>1486.2444547810755</v>
      </c>
      <c r="W9" s="3">
        <f t="shared" si="4"/>
        <v>40.184392409211426</v>
      </c>
      <c r="Y9" s="19">
        <f t="shared" si="18"/>
        <v>2013</v>
      </c>
      <c r="Z9" s="3"/>
      <c r="AC9" s="3">
        <f>+W9</f>
        <v>40.184392409211426</v>
      </c>
      <c r="AD9" s="3">
        <f>+V9</f>
        <v>1486.2444547810755</v>
      </c>
      <c r="AE9" s="3">
        <f>+U9</f>
        <v>2495.8152482962569</v>
      </c>
      <c r="AF9" s="3">
        <f>+T9</f>
        <v>400.75590451345658</v>
      </c>
      <c r="AR9" s="21">
        <v>2011</v>
      </c>
      <c r="AS9" s="36">
        <v>0</v>
      </c>
      <c r="AT9" s="36">
        <v>578.3369681689253</v>
      </c>
      <c r="AU9" s="36">
        <v>4220.8990230066183</v>
      </c>
      <c r="AV9" s="36">
        <v>81.76400882445634</v>
      </c>
      <c r="AY9" s="6" t="s">
        <v>27</v>
      </c>
      <c r="AZ9" s="17">
        <f>+AS9</f>
        <v>0</v>
      </c>
      <c r="BA9" s="17">
        <f>+AT10</f>
        <v>720.72847682119209</v>
      </c>
      <c r="BB9" s="17">
        <f>+AU11</f>
        <v>963.51119402985069</v>
      </c>
      <c r="BC9" s="17">
        <f>+AV12</f>
        <v>36.544217687074834</v>
      </c>
      <c r="BD9" s="18">
        <f>+AZ9/SUM($AZ9:$BC9)</f>
        <v>0</v>
      </c>
      <c r="BE9" s="18">
        <f t="shared" si="5"/>
        <v>0.41883729945512388</v>
      </c>
      <c r="BF9" s="18">
        <f t="shared" si="5"/>
        <v>0.55992574108094206</v>
      </c>
      <c r="BG9" s="18">
        <f t="shared" si="5"/>
        <v>2.1236959463934061E-2</v>
      </c>
      <c r="BH9" s="18">
        <f>+AZ9/SUM($AZ8:$BC9)</f>
        <v>0</v>
      </c>
      <c r="BI9" s="18">
        <f t="shared" ref="BI9:BK9" si="21">+BA9/SUM($AZ8:$BC9)</f>
        <v>2.7357361769338298E-2</v>
      </c>
      <c r="BJ9" s="18">
        <f t="shared" si="21"/>
        <v>3.6572891389195457E-2</v>
      </c>
      <c r="BK9" s="18">
        <f t="shared" si="21"/>
        <v>1.3871428922195752E-3</v>
      </c>
    </row>
    <row r="10" spans="1:63" x14ac:dyDescent="0.25">
      <c r="A10" s="11">
        <v>2014</v>
      </c>
      <c r="B10" s="17">
        <v>30.842105263157894</v>
      </c>
      <c r="C10" s="17">
        <v>5816.2648276535492</v>
      </c>
      <c r="D10" s="17">
        <v>7388.9483025746176</v>
      </c>
      <c r="E10" s="17">
        <v>129.94476450867427</v>
      </c>
      <c r="F10" s="17">
        <f>SUM(B10:E10)</f>
        <v>13365.999999999998</v>
      </c>
      <c r="G10" s="18">
        <f t="shared" si="8"/>
        <v>2.3075045086905503E-3</v>
      </c>
      <c r="H10" s="18">
        <f t="shared" si="9"/>
        <v>0.43515373542223179</v>
      </c>
      <c r="I10" s="18">
        <f t="shared" si="10"/>
        <v>0.55281672172487051</v>
      </c>
      <c r="J10" s="18">
        <f t="shared" si="11"/>
        <v>9.7220383442072639E-3</v>
      </c>
      <c r="M10" s="6">
        <v>2011</v>
      </c>
      <c r="N10" s="17">
        <f t="shared" si="12"/>
        <v>30.842105263157894</v>
      </c>
      <c r="O10" s="17">
        <f t="shared" si="13"/>
        <v>3350.2609958074909</v>
      </c>
      <c r="P10" s="17">
        <f t="shared" si="14"/>
        <v>2613.9068888888887</v>
      </c>
      <c r="Q10" s="17">
        <f t="shared" si="15"/>
        <v>200.94517792882846</v>
      </c>
      <c r="S10" s="19">
        <f t="shared" si="16"/>
        <v>2014</v>
      </c>
      <c r="T10" s="3">
        <f t="shared" si="2"/>
        <v>30.842105263157894</v>
      </c>
      <c r="U10" s="3">
        <f t="shared" si="3"/>
        <v>5816.2648276535492</v>
      </c>
      <c r="V10" s="3">
        <f t="shared" si="17"/>
        <v>7388.9483025746176</v>
      </c>
      <c r="W10" s="3">
        <f t="shared" si="4"/>
        <v>129.94476450867427</v>
      </c>
      <c r="Y10" s="19">
        <f t="shared" si="18"/>
        <v>2014</v>
      </c>
      <c r="Z10" s="3"/>
      <c r="AD10" s="3">
        <f>+W10</f>
        <v>129.94476450867427</v>
      </c>
      <c r="AE10" s="3">
        <f>+V10</f>
        <v>7388.9483025746176</v>
      </c>
      <c r="AF10" s="3">
        <f>+U10</f>
        <v>5816.2648276535492</v>
      </c>
      <c r="AG10" s="3">
        <f>+T10</f>
        <v>30.842105263157894</v>
      </c>
      <c r="AR10" s="21">
        <v>2012</v>
      </c>
      <c r="AS10" s="36">
        <v>12.304347826086957</v>
      </c>
      <c r="AT10" s="36">
        <v>720.72847682119209</v>
      </c>
      <c r="AU10" s="36">
        <v>1316.1865822055859</v>
      </c>
      <c r="AV10" s="36">
        <v>44.780593147135036</v>
      </c>
    </row>
    <row r="11" spans="1:63" x14ac:dyDescent="0.25">
      <c r="A11" s="11">
        <v>2015</v>
      </c>
      <c r="B11" s="17">
        <v>19.136842105263156</v>
      </c>
      <c r="C11" s="17">
        <v>3350.2609958074909</v>
      </c>
      <c r="D11" s="17">
        <v>7530.9114601018682</v>
      </c>
      <c r="E11" s="17">
        <v>97.690701985378183</v>
      </c>
      <c r="F11" s="17">
        <f t="shared" si="7"/>
        <v>10998</v>
      </c>
      <c r="G11" s="18">
        <f t="shared" si="8"/>
        <v>1.7400292876216727E-3</v>
      </c>
      <c r="H11" s="18">
        <f t="shared" si="9"/>
        <v>0.30462456772208502</v>
      </c>
      <c r="I11" s="18">
        <f t="shared" si="10"/>
        <v>0.68475281506654562</v>
      </c>
      <c r="J11" s="18">
        <f t="shared" si="11"/>
        <v>8.8825879237477891E-3</v>
      </c>
      <c r="M11" s="6">
        <v>2012</v>
      </c>
      <c r="N11" s="17">
        <f t="shared" si="12"/>
        <v>19.136842105263156</v>
      </c>
      <c r="O11" s="17">
        <f t="shared" si="13"/>
        <v>1251.3861111111109</v>
      </c>
      <c r="P11" s="17">
        <f t="shared" si="14"/>
        <v>1940.5082900173263</v>
      </c>
      <c r="Q11" s="17">
        <f t="shared" si="15"/>
        <v>42.637322752042408</v>
      </c>
      <c r="S11" s="6">
        <v>2015</v>
      </c>
      <c r="T11" s="3">
        <f t="shared" si="2"/>
        <v>19.136842105263156</v>
      </c>
      <c r="U11" s="3">
        <f t="shared" si="3"/>
        <v>3350.2609958074909</v>
      </c>
      <c r="V11" s="3">
        <f t="shared" si="17"/>
        <v>7530.9114601018682</v>
      </c>
      <c r="W11" s="3">
        <f t="shared" si="4"/>
        <v>97.690701985378183</v>
      </c>
      <c r="Y11" s="19">
        <f t="shared" si="18"/>
        <v>2015</v>
      </c>
      <c r="AE11" s="22">
        <f>W11</f>
        <v>97.690701985378183</v>
      </c>
      <c r="AF11" s="22">
        <f>V11</f>
        <v>7530.9114601018682</v>
      </c>
      <c r="AG11" s="22">
        <f>U11</f>
        <v>3350.2609958074909</v>
      </c>
      <c r="AH11" s="22">
        <f>T11</f>
        <v>19.136842105263156</v>
      </c>
      <c r="AI11" s="22"/>
      <c r="AJ11" s="22"/>
      <c r="AK11" s="22"/>
      <c r="AL11" s="22"/>
      <c r="AM11" s="22"/>
      <c r="AN11" s="22"/>
      <c r="AO11" s="22"/>
      <c r="AP11" s="22"/>
      <c r="AQ11" s="22"/>
      <c r="AR11" s="21">
        <v>2013</v>
      </c>
      <c r="AS11" s="36">
        <v>14.10323383084577</v>
      </c>
      <c r="AT11" s="36">
        <v>1085.8059701492539</v>
      </c>
      <c r="AU11" s="36">
        <v>963.51119402985069</v>
      </c>
      <c r="AV11" s="36">
        <v>29.579601990049749</v>
      </c>
    </row>
    <row r="12" spans="1:63" x14ac:dyDescent="0.25">
      <c r="A12" s="11">
        <v>2016</v>
      </c>
      <c r="B12" s="17">
        <v>109</v>
      </c>
      <c r="C12" s="17">
        <v>1251.3861111111109</v>
      </c>
      <c r="D12" s="17">
        <v>2613.9068888888887</v>
      </c>
      <c r="E12" s="17">
        <v>308.70699999999999</v>
      </c>
      <c r="F12" s="17">
        <f t="shared" si="7"/>
        <v>4283</v>
      </c>
      <c r="G12" s="18">
        <f t="shared" si="8"/>
        <v>2.5449451319168807E-2</v>
      </c>
      <c r="H12" s="18">
        <f t="shared" si="9"/>
        <v>0.29217513684592833</v>
      </c>
      <c r="I12" s="18">
        <f t="shared" si="10"/>
        <v>0.61029812955612628</v>
      </c>
      <c r="J12" s="18">
        <f t="shared" si="11"/>
        <v>7.2077282278776564E-2</v>
      </c>
      <c r="M12" s="6">
        <v>2013</v>
      </c>
      <c r="N12" s="17">
        <f t="shared" si="12"/>
        <v>109</v>
      </c>
      <c r="O12" s="17">
        <f t="shared" si="13"/>
        <v>1540.0465320538451</v>
      </c>
      <c r="P12" s="17">
        <f t="shared" si="14"/>
        <v>1049.9035471248776</v>
      </c>
      <c r="Q12" s="17">
        <f t="shared" si="15"/>
        <v>77.82113821138212</v>
      </c>
      <c r="S12" s="6">
        <v>2016</v>
      </c>
      <c r="T12" s="3">
        <f t="shared" si="2"/>
        <v>109</v>
      </c>
      <c r="U12" s="3">
        <f t="shared" si="3"/>
        <v>1251.3861111111109</v>
      </c>
      <c r="V12" s="3">
        <f t="shared" si="17"/>
        <v>2613.9068888888887</v>
      </c>
      <c r="W12" s="3">
        <f t="shared" si="4"/>
        <v>308.70699999999999</v>
      </c>
      <c r="Y12" s="19">
        <f t="shared" si="18"/>
        <v>2016</v>
      </c>
      <c r="AF12" s="22">
        <f>W12</f>
        <v>308.70699999999999</v>
      </c>
      <c r="AG12" s="22">
        <f>V12</f>
        <v>2613.9068888888887</v>
      </c>
      <c r="AH12" s="22">
        <f>U12</f>
        <v>1251.3861111111109</v>
      </c>
      <c r="AI12" s="22">
        <f>T12</f>
        <v>109</v>
      </c>
      <c r="AJ12" s="22"/>
      <c r="AK12" s="22"/>
      <c r="AL12" s="22"/>
      <c r="AM12" s="22"/>
      <c r="AN12" s="22"/>
      <c r="AO12" s="22"/>
      <c r="AP12" s="22"/>
      <c r="AQ12" s="22"/>
      <c r="AR12" s="21">
        <v>2014</v>
      </c>
      <c r="AS12" s="36">
        <v>0</v>
      </c>
      <c r="AT12" s="36">
        <v>2065.2224489795917</v>
      </c>
      <c r="AU12" s="36">
        <v>4063.2333333333331</v>
      </c>
      <c r="AV12" s="36">
        <v>36.544217687074834</v>
      </c>
    </row>
    <row r="13" spans="1:63" x14ac:dyDescent="0.25">
      <c r="A13" s="11">
        <v>2017</v>
      </c>
      <c r="B13" s="17">
        <v>16.5</v>
      </c>
      <c r="C13" s="17">
        <v>1540.0465320538451</v>
      </c>
      <c r="D13" s="17">
        <v>1940.5082900173263</v>
      </c>
      <c r="E13" s="17">
        <v>200.94517792882846</v>
      </c>
      <c r="F13" s="17">
        <f t="shared" si="7"/>
        <v>3698</v>
      </c>
      <c r="G13" s="18">
        <f t="shared" si="8"/>
        <v>4.4618712817739315E-3</v>
      </c>
      <c r="H13" s="18">
        <f t="shared" si="9"/>
        <v>0.41645390266464172</v>
      </c>
      <c r="I13" s="18">
        <f t="shared" si="10"/>
        <v>0.52474534613773016</v>
      </c>
      <c r="J13" s="18">
        <f t="shared" si="11"/>
        <v>5.4338879915854101E-2</v>
      </c>
      <c r="M13" s="6">
        <v>2014</v>
      </c>
      <c r="N13" s="17">
        <f t="shared" si="12"/>
        <v>16.5</v>
      </c>
      <c r="O13" s="17">
        <f t="shared" si="13"/>
        <v>1203.4591301230801</v>
      </c>
      <c r="P13" s="17">
        <f t="shared" si="14"/>
        <v>1059.0300813008132</v>
      </c>
      <c r="Q13" s="17">
        <f t="shared" si="15"/>
        <v>0</v>
      </c>
      <c r="S13" s="6">
        <v>2017</v>
      </c>
      <c r="T13" s="3">
        <f t="shared" si="2"/>
        <v>16.5</v>
      </c>
      <c r="U13" s="3">
        <f t="shared" si="3"/>
        <v>1540.0465320538451</v>
      </c>
      <c r="V13" s="3">
        <f t="shared" si="17"/>
        <v>1940.5082900173263</v>
      </c>
      <c r="W13" s="3">
        <f t="shared" si="4"/>
        <v>200.94517792882846</v>
      </c>
      <c r="Y13" s="19">
        <f t="shared" si="18"/>
        <v>2017</v>
      </c>
      <c r="AG13" s="22">
        <f>W13</f>
        <v>200.94517792882846</v>
      </c>
      <c r="AH13" s="22">
        <f>V13</f>
        <v>1940.5082900173263</v>
      </c>
      <c r="AI13" s="22">
        <f>U13</f>
        <v>1540.0465320538451</v>
      </c>
      <c r="AJ13" s="22">
        <f>T13</f>
        <v>16.5</v>
      </c>
      <c r="AK13" s="22"/>
      <c r="AL13" s="22"/>
      <c r="AM13" s="22"/>
      <c r="AN13" s="22"/>
      <c r="AO13" s="22"/>
      <c r="AP13" s="22"/>
      <c r="AQ13" s="22"/>
      <c r="AR13" s="21">
        <v>2015</v>
      </c>
      <c r="AS13" s="36">
        <v>0</v>
      </c>
      <c r="AT13" s="36">
        <v>1597.9013824884792</v>
      </c>
      <c r="AU13" s="36">
        <v>4454.6407834101392</v>
      </c>
      <c r="AV13" s="36">
        <v>41.457834101382488</v>
      </c>
    </row>
    <row r="14" spans="1:63" x14ac:dyDescent="0.25">
      <c r="A14" s="11">
        <v>2018</v>
      </c>
      <c r="B14" s="20">
        <v>0</v>
      </c>
      <c r="C14" s="17">
        <v>1203.4591301230801</v>
      </c>
      <c r="D14" s="17">
        <v>1049.9035471248776</v>
      </c>
      <c r="E14" s="17">
        <v>42.637322752042408</v>
      </c>
      <c r="F14" s="17">
        <f t="shared" si="7"/>
        <v>2296</v>
      </c>
      <c r="G14" s="18">
        <f t="shared" ref="G14:G19" si="22">B14/SUM($B14:$E14)</f>
        <v>0</v>
      </c>
      <c r="H14" s="18">
        <f t="shared" ref="H14:H15" si="23">C14/SUM($B14:$E14)</f>
        <v>0.52415467339855404</v>
      </c>
      <c r="I14" s="18">
        <f t="shared" ref="I14:I15" si="24">D14/SUM($B14:$E14)</f>
        <v>0.45727506407877944</v>
      </c>
      <c r="J14" s="18">
        <f t="shared" ref="J14:J15" si="25">E14/SUM($B14:$E14)</f>
        <v>1.8570262522666553E-2</v>
      </c>
      <c r="M14" s="6">
        <v>2015</v>
      </c>
      <c r="N14" s="17">
        <f>+B14</f>
        <v>0</v>
      </c>
      <c r="O14" s="17">
        <f t="shared" si="13"/>
        <v>1349.148780487805</v>
      </c>
      <c r="P14" s="17">
        <f t="shared" si="14"/>
        <v>4193.7759370988297</v>
      </c>
      <c r="Q14" s="17">
        <f t="shared" si="15"/>
        <v>15.375</v>
      </c>
      <c r="S14" s="6">
        <v>2018</v>
      </c>
      <c r="T14" s="3">
        <f t="shared" si="2"/>
        <v>0</v>
      </c>
      <c r="U14" s="3">
        <f t="shared" si="3"/>
        <v>1203.4591301230801</v>
      </c>
      <c r="V14" s="3">
        <f t="shared" si="17"/>
        <v>1049.9035471248776</v>
      </c>
      <c r="W14" s="3">
        <f t="shared" si="4"/>
        <v>42.637322752042408</v>
      </c>
      <c r="Y14" s="19">
        <f t="shared" si="18"/>
        <v>2018</v>
      </c>
      <c r="AH14" s="22">
        <f>W14</f>
        <v>42.637322752042408</v>
      </c>
      <c r="AI14" s="22">
        <f>V14</f>
        <v>1049.9035471248776</v>
      </c>
      <c r="AJ14" s="22">
        <f>U14</f>
        <v>1203.4591301230801</v>
      </c>
      <c r="AK14" s="22">
        <f>T14</f>
        <v>0</v>
      </c>
      <c r="AL14" s="22"/>
      <c r="AM14" s="22"/>
      <c r="AN14" s="22"/>
      <c r="AO14" s="22"/>
      <c r="AP14" s="22"/>
      <c r="AQ14" s="22"/>
      <c r="AR14" s="21">
        <v>2016</v>
      </c>
      <c r="AS14" s="36">
        <v>0</v>
      </c>
      <c r="AT14" s="36">
        <v>426.47500000000002</v>
      </c>
      <c r="AU14" s="36">
        <v>1398.018</v>
      </c>
      <c r="AV14" s="36">
        <v>132.50700000000001</v>
      </c>
    </row>
    <row r="15" spans="1:63" x14ac:dyDescent="0.25">
      <c r="A15" s="11">
        <v>2019</v>
      </c>
      <c r="B15" s="20">
        <v>0</v>
      </c>
      <c r="C15" s="17">
        <v>1349.148780487805</v>
      </c>
      <c r="D15" s="17">
        <v>1059.0300813008132</v>
      </c>
      <c r="E15" s="17">
        <v>77.82113821138212</v>
      </c>
      <c r="F15" s="17">
        <f t="shared" si="7"/>
        <v>2486.0000000000005</v>
      </c>
      <c r="G15" s="18">
        <f t="shared" si="22"/>
        <v>0</v>
      </c>
      <c r="H15" s="18">
        <f t="shared" si="23"/>
        <v>0.54269862449227868</v>
      </c>
      <c r="I15" s="18">
        <f t="shared" si="24"/>
        <v>0.42599761918777673</v>
      </c>
      <c r="J15" s="18">
        <f t="shared" si="25"/>
        <v>3.1303756319944531E-2</v>
      </c>
      <c r="M15" s="6">
        <v>2016</v>
      </c>
      <c r="N15" s="17">
        <f>+B15</f>
        <v>0</v>
      </c>
      <c r="O15" s="17">
        <f t="shared" si="13"/>
        <v>2118.2240629011703</v>
      </c>
      <c r="P15" s="17">
        <f t="shared" si="14"/>
        <v>1879.0977730991854</v>
      </c>
      <c r="Q15" s="17">
        <f t="shared" si="15"/>
        <v>58.829322207583061</v>
      </c>
      <c r="S15" s="6">
        <v>2019</v>
      </c>
      <c r="T15" s="3">
        <f t="shared" si="2"/>
        <v>0</v>
      </c>
      <c r="U15" s="3">
        <f t="shared" ref="U15:W18" si="26">+C15</f>
        <v>1349.148780487805</v>
      </c>
      <c r="V15" s="3">
        <f t="shared" si="26"/>
        <v>1059.0300813008132</v>
      </c>
      <c r="W15" s="3">
        <f t="shared" si="26"/>
        <v>77.82113821138212</v>
      </c>
      <c r="Y15" s="19">
        <f t="shared" si="18"/>
        <v>2019</v>
      </c>
      <c r="AI15" s="22">
        <f>W15</f>
        <v>77.82113821138212</v>
      </c>
      <c r="AJ15" s="22">
        <f>V15</f>
        <v>1059.0300813008132</v>
      </c>
      <c r="AK15" s="22">
        <f>U15</f>
        <v>1349.148780487805</v>
      </c>
      <c r="AL15" s="22">
        <f>T15</f>
        <v>0</v>
      </c>
      <c r="AM15" s="22"/>
      <c r="AN15" s="22"/>
      <c r="AO15" s="22"/>
      <c r="AP15" s="22"/>
      <c r="AQ15" s="22"/>
      <c r="AR15" s="21">
        <v>2017</v>
      </c>
      <c r="AS15" s="36">
        <v>5</v>
      </c>
      <c r="AT15" s="36">
        <v>378.85975609756099</v>
      </c>
      <c r="AU15" s="36">
        <v>1097.0219512195122</v>
      </c>
      <c r="AV15" s="36">
        <v>87.118292682926835</v>
      </c>
    </row>
    <row r="16" spans="1:63" x14ac:dyDescent="0.25">
      <c r="A16" s="11">
        <v>2020</v>
      </c>
      <c r="B16" s="17">
        <v>143</v>
      </c>
      <c r="C16" s="17">
        <v>2118.2240629011703</v>
      </c>
      <c r="D16" s="17">
        <v>4193.7759370988297</v>
      </c>
      <c r="E16" s="17">
        <v>0</v>
      </c>
      <c r="F16" s="17">
        <f t="shared" ref="F16" si="27">SUM(B16:E16)</f>
        <v>6455</v>
      </c>
      <c r="G16" s="18">
        <f t="shared" si="22"/>
        <v>2.2153369481022464E-2</v>
      </c>
      <c r="H16" s="18">
        <f t="shared" ref="H16" si="28">C16/SUM($B16:$E16)</f>
        <v>0.32815244971358176</v>
      </c>
      <c r="I16" s="18">
        <f t="shared" ref="I16" si="29">D16/SUM($B16:$E16)</f>
        <v>0.64969418080539576</v>
      </c>
      <c r="J16" s="107">
        <f t="shared" ref="J16" si="30">E16/SUM($B16:$E16)</f>
        <v>0</v>
      </c>
      <c r="M16" s="6">
        <v>2017</v>
      </c>
      <c r="N16" s="17">
        <f>+B16</f>
        <v>143</v>
      </c>
      <c r="O16" s="17">
        <f t="shared" si="13"/>
        <v>3679.8311230047111</v>
      </c>
      <c r="P16" s="17">
        <f t="shared" si="14"/>
        <v>8647.2519568010321</v>
      </c>
      <c r="Q16" s="17">
        <f t="shared" si="15"/>
        <v>40.609361553470855</v>
      </c>
      <c r="S16" s="6">
        <v>2020</v>
      </c>
      <c r="T16" s="3">
        <f t="shared" si="2"/>
        <v>143</v>
      </c>
      <c r="U16" s="3">
        <f t="shared" si="26"/>
        <v>2118.2240629011703</v>
      </c>
      <c r="V16" s="3">
        <f>+D16</f>
        <v>4193.7759370988297</v>
      </c>
      <c r="W16" s="3">
        <f t="shared" si="26"/>
        <v>0</v>
      </c>
      <c r="Y16" s="19">
        <f t="shared" si="18"/>
        <v>2020</v>
      </c>
      <c r="AJ16" s="67">
        <f>W16</f>
        <v>0</v>
      </c>
      <c r="AK16" s="67">
        <f>V16</f>
        <v>4193.7759370988297</v>
      </c>
      <c r="AL16" s="67">
        <f>U16</f>
        <v>2118.2240629011703</v>
      </c>
      <c r="AM16" s="67">
        <f>T16</f>
        <v>143</v>
      </c>
      <c r="AN16" s="67"/>
      <c r="AO16" s="67"/>
      <c r="AP16" s="67"/>
      <c r="AQ16" s="67"/>
      <c r="AR16" s="21">
        <v>2018</v>
      </c>
      <c r="AS16" s="20">
        <v>0</v>
      </c>
      <c r="AT16" s="20">
        <v>527.72724606510906</v>
      </c>
      <c r="AU16" s="20">
        <v>678.4019943298465</v>
      </c>
      <c r="AV16" s="20">
        <v>33.870759605044483</v>
      </c>
    </row>
    <row r="17" spans="1:48" x14ac:dyDescent="0.25">
      <c r="A17" s="11">
        <v>2021</v>
      </c>
      <c r="B17" s="17">
        <v>99.696103896103907</v>
      </c>
      <c r="C17" s="17">
        <v>3679.8311230047111</v>
      </c>
      <c r="D17" s="17">
        <v>1879.0977730991854</v>
      </c>
      <c r="E17" s="17">
        <v>15.375</v>
      </c>
      <c r="F17" s="17">
        <f t="shared" ref="F17:F19" si="31">SUM(B17:E17)</f>
        <v>5674</v>
      </c>
      <c r="G17" s="18">
        <f t="shared" si="22"/>
        <v>1.7570691557297128E-2</v>
      </c>
      <c r="H17" s="18">
        <f t="shared" ref="H17:H19" si="32">C17/SUM($B17:$E17)</f>
        <v>0.64854267236600482</v>
      </c>
      <c r="I17" s="18">
        <f t="shared" ref="I17:I19" si="33">D17/SUM($B17:$E17)</f>
        <v>0.3311769074901631</v>
      </c>
      <c r="J17" s="107">
        <f t="shared" ref="J17:J19" si="34">E17/SUM($B17:$E17)</f>
        <v>2.7097285865350725E-3</v>
      </c>
      <c r="M17" s="6">
        <v>2018</v>
      </c>
      <c r="N17" s="17">
        <f t="shared" ref="N17:N20" si="35">+B17</f>
        <v>99.696103896103907</v>
      </c>
      <c r="O17" s="17">
        <f t="shared" si="13"/>
        <v>4837.1074054952869</v>
      </c>
      <c r="P17" s="17">
        <f t="shared" si="14"/>
        <v>4423.6549744510012</v>
      </c>
      <c r="Q17" s="17">
        <f t="shared" si="15"/>
        <v>24.173076923076923</v>
      </c>
      <c r="S17" s="6">
        <v>2021</v>
      </c>
      <c r="T17" s="3">
        <f t="shared" si="2"/>
        <v>99.696103896103907</v>
      </c>
      <c r="U17" s="3">
        <f t="shared" si="26"/>
        <v>3679.8311230047111</v>
      </c>
      <c r="V17" s="3">
        <f t="shared" ref="V17:V18" si="36">+D17</f>
        <v>1879.0977730991854</v>
      </c>
      <c r="W17" s="3">
        <f t="shared" si="26"/>
        <v>15.375</v>
      </c>
      <c r="Y17" s="19">
        <f t="shared" si="18"/>
        <v>2021</v>
      </c>
      <c r="AK17" s="22">
        <f>W17</f>
        <v>15.375</v>
      </c>
      <c r="AL17" s="22">
        <f>V17</f>
        <v>1879.0977730991854</v>
      </c>
      <c r="AM17" s="22">
        <f>U17</f>
        <v>3679.8311230047111</v>
      </c>
      <c r="AN17" s="22">
        <f>T17</f>
        <v>99.696103896103907</v>
      </c>
      <c r="AR17" s="21">
        <v>2020</v>
      </c>
      <c r="AS17" s="20">
        <v>0</v>
      </c>
      <c r="AT17" s="20">
        <v>690.87635365295637</v>
      </c>
      <c r="AU17" s="20">
        <v>2187.1236463470436</v>
      </c>
      <c r="AV17" s="20">
        <v>0</v>
      </c>
    </row>
    <row r="18" spans="1:48" x14ac:dyDescent="0.25">
      <c r="A18" s="11">
        <v>2022</v>
      </c>
      <c r="B18" s="17">
        <v>331.81131549609808</v>
      </c>
      <c r="C18" s="17">
        <v>4837.1074054952869</v>
      </c>
      <c r="D18" s="17">
        <v>8647.2519568010321</v>
      </c>
      <c r="E18" s="17">
        <v>58.829322207583061</v>
      </c>
      <c r="F18" s="17">
        <f t="shared" si="31"/>
        <v>13875</v>
      </c>
      <c r="G18" s="18">
        <f t="shared" si="22"/>
        <v>2.3914329044763826E-2</v>
      </c>
      <c r="H18" s="18">
        <f t="shared" si="32"/>
        <v>0.34862035354920989</v>
      </c>
      <c r="I18" s="18">
        <f t="shared" si="33"/>
        <v>0.62322536625593028</v>
      </c>
      <c r="J18" s="107">
        <f t="shared" si="34"/>
        <v>4.2399511500960767E-3</v>
      </c>
      <c r="M18" s="6">
        <v>2019</v>
      </c>
      <c r="N18" s="17">
        <f t="shared" si="35"/>
        <v>331.81131549609808</v>
      </c>
      <c r="O18" s="17">
        <f t="shared" si="13"/>
        <v>2933.3070925669558</v>
      </c>
      <c r="P18" s="17">
        <f t="shared" si="14"/>
        <v>2055.697902097902</v>
      </c>
      <c r="S18" s="6">
        <v>2022</v>
      </c>
      <c r="T18" s="3">
        <f t="shared" si="2"/>
        <v>331.81131549609808</v>
      </c>
      <c r="U18" s="3">
        <f t="shared" si="26"/>
        <v>4837.1074054952869</v>
      </c>
      <c r="V18" s="3">
        <f t="shared" si="36"/>
        <v>8647.2519568010321</v>
      </c>
      <c r="W18" s="3">
        <f t="shared" si="26"/>
        <v>58.829322207583061</v>
      </c>
      <c r="Y18" s="19">
        <f t="shared" si="18"/>
        <v>2022</v>
      </c>
      <c r="AL18" s="22">
        <f>W18</f>
        <v>58.829322207583061</v>
      </c>
      <c r="AM18" s="22">
        <f>V18</f>
        <v>8647.2519568010321</v>
      </c>
      <c r="AN18" s="22">
        <f>U18</f>
        <v>4837.1074054952869</v>
      </c>
      <c r="AO18" s="22">
        <f>T18</f>
        <v>331.81131549609808</v>
      </c>
      <c r="AR18" s="21">
        <v>2021</v>
      </c>
      <c r="AS18" s="20">
        <v>0</v>
      </c>
      <c r="AT18" s="20">
        <v>936.17835365853659</v>
      </c>
      <c r="AU18" s="20">
        <v>942.44664634146341</v>
      </c>
      <c r="AV18" s="20">
        <v>15.375</v>
      </c>
    </row>
    <row r="19" spans="1:48" x14ac:dyDescent="0.25">
      <c r="A19" s="11">
        <v>2023</v>
      </c>
      <c r="B19" s="20">
        <v>351.42857142857144</v>
      </c>
      <c r="C19" s="20">
        <v>2933.3070925669558</v>
      </c>
      <c r="D19" s="20">
        <v>4423.6549744510012</v>
      </c>
      <c r="E19" s="20">
        <v>40.609361553470855</v>
      </c>
      <c r="F19" s="17">
        <f t="shared" si="31"/>
        <v>7748.9999999999991</v>
      </c>
      <c r="G19" s="18">
        <f t="shared" si="22"/>
        <v>4.5351473922902501E-2</v>
      </c>
      <c r="H19" s="18">
        <f t="shared" si="32"/>
        <v>0.37854008163207592</v>
      </c>
      <c r="I19" s="18">
        <f t="shared" si="33"/>
        <v>0.57086785061956402</v>
      </c>
      <c r="J19" s="108">
        <f t="shared" si="34"/>
        <v>5.2405938254575894E-3</v>
      </c>
      <c r="M19" s="6">
        <v>2020</v>
      </c>
      <c r="N19" s="17">
        <f t="shared" si="35"/>
        <v>351.42857142857144</v>
      </c>
      <c r="O19" s="17">
        <f t="shared" si="13"/>
        <v>2665.4926573426574</v>
      </c>
      <c r="S19" s="6">
        <v>2023</v>
      </c>
      <c r="T19" s="3">
        <f t="shared" ref="T19" si="37">+B19</f>
        <v>351.42857142857144</v>
      </c>
      <c r="U19" s="3">
        <f t="shared" ref="U19" si="38">+C19</f>
        <v>2933.3070925669558</v>
      </c>
      <c r="V19" s="3">
        <f>+D19</f>
        <v>4423.6549744510012</v>
      </c>
      <c r="W19" s="3">
        <f t="shared" ref="W19" si="39">+E19</f>
        <v>40.609361553470855</v>
      </c>
      <c r="Y19" s="19">
        <f t="shared" si="18"/>
        <v>2023</v>
      </c>
      <c r="AN19" s="22">
        <f>V19</f>
        <v>4423.6549744510012</v>
      </c>
      <c r="AO19" s="22">
        <f>U19</f>
        <v>2933.3070925669558</v>
      </c>
      <c r="AP19" s="22">
        <f>T19</f>
        <v>351.42857142857144</v>
      </c>
      <c r="AR19" s="21">
        <v>2022</v>
      </c>
      <c r="AS19" s="20">
        <v>0</v>
      </c>
      <c r="AT19" s="20">
        <v>1416.1138047138045</v>
      </c>
      <c r="AU19" s="20">
        <v>3522.2525252525252</v>
      </c>
      <c r="AV19" s="20">
        <v>51.633670033670022</v>
      </c>
    </row>
    <row r="20" spans="1:48" x14ac:dyDescent="0.25">
      <c r="A20" s="11">
        <v>2024</v>
      </c>
      <c r="B20" s="20">
        <v>230.63636363636363</v>
      </c>
      <c r="C20" s="20">
        <v>2665.4926573426574</v>
      </c>
      <c r="D20" s="20">
        <v>2055.697902097902</v>
      </c>
      <c r="E20" s="20">
        <v>24.173076923076923</v>
      </c>
      <c r="F20" s="17">
        <f t="shared" ref="F20" si="40">SUM(B20:E20)</f>
        <v>4976</v>
      </c>
      <c r="G20" s="18">
        <f t="shared" ref="G20" si="41">B20/SUM($B20:$E20)</f>
        <v>4.6349751534638994E-2</v>
      </c>
      <c r="H20" s="18">
        <f t="shared" ref="H20" si="42">C20/SUM($B20:$E20)</f>
        <v>0.53566974625053398</v>
      </c>
      <c r="I20" s="18">
        <f t="shared" ref="I20" si="43">D20/SUM($B20:$E20)</f>
        <v>0.41312256874957837</v>
      </c>
      <c r="J20" s="108">
        <f t="shared" ref="J20" si="44">E20/SUM($B20:$E20)</f>
        <v>4.8579334652485776E-3</v>
      </c>
      <c r="M20" s="6">
        <v>2021</v>
      </c>
      <c r="N20" s="17">
        <f t="shared" si="35"/>
        <v>230.63636363636363</v>
      </c>
      <c r="S20" s="6">
        <v>2024</v>
      </c>
      <c r="T20" s="3">
        <f t="shared" ref="T20" si="45">+B20</f>
        <v>230.63636363636363</v>
      </c>
      <c r="U20" s="3">
        <f t="shared" ref="U20" si="46">+C20</f>
        <v>2665.4926573426574</v>
      </c>
      <c r="V20" s="3">
        <f>+D20</f>
        <v>2055.697902097902</v>
      </c>
      <c r="W20" s="3">
        <f t="shared" ref="W20" si="47">+E20</f>
        <v>24.173076923076923</v>
      </c>
      <c r="Y20" s="19">
        <f t="shared" si="18"/>
        <v>2024</v>
      </c>
      <c r="AN20" s="22">
        <f>W20</f>
        <v>24.173076923076923</v>
      </c>
      <c r="AO20" s="22">
        <f>V20</f>
        <v>2055.697902097902</v>
      </c>
      <c r="AP20" s="22">
        <f>U20</f>
        <v>2665.4926573426574</v>
      </c>
      <c r="AR20" s="11" t="s">
        <v>42</v>
      </c>
      <c r="AS20" s="36">
        <v>617.22980464004036</v>
      </c>
      <c r="AT20" s="36">
        <v>20829.712446710564</v>
      </c>
      <c r="AU20" s="36">
        <v>22477.151462742844</v>
      </c>
      <c r="AV20" s="36">
        <v>730.90628590654899</v>
      </c>
    </row>
    <row r="21" spans="1:48" x14ac:dyDescent="0.25">
      <c r="A21" s="11" t="s">
        <v>8</v>
      </c>
      <c r="B21" s="17">
        <v>1973.4802933898804</v>
      </c>
      <c r="C21" s="17">
        <v>39937.800900803937</v>
      </c>
      <c r="D21" s="17">
        <v>56947.978604365984</v>
      </c>
      <c r="E21" s="17">
        <v>1639.7402014402001</v>
      </c>
      <c r="AR21" s="21">
        <v>2010</v>
      </c>
      <c r="AS21" s="36">
        <v>37.751014357053684</v>
      </c>
      <c r="AT21" s="36">
        <v>2348.1877340823967</v>
      </c>
      <c r="AU21" s="36">
        <v>1152.626638576779</v>
      </c>
      <c r="AV21" s="36">
        <v>139.43461298377028</v>
      </c>
    </row>
    <row r="22" spans="1:48" x14ac:dyDescent="0.25">
      <c r="AR22" s="21">
        <v>2011</v>
      </c>
      <c r="AS22" s="36">
        <v>0</v>
      </c>
      <c r="AT22" s="36">
        <v>826.88463583200428</v>
      </c>
      <c r="AU22" s="36">
        <v>2590.4093567251462</v>
      </c>
      <c r="AV22" s="36">
        <v>97.706007442849554</v>
      </c>
    </row>
    <row r="23" spans="1:48" x14ac:dyDescent="0.25">
      <c r="AR23" s="21">
        <v>2012</v>
      </c>
      <c r="AS23" s="36">
        <v>132.61772486772486</v>
      </c>
      <c r="AT23" s="36">
        <v>690.6269841269841</v>
      </c>
      <c r="AU23" s="36">
        <v>1310.2169312169312</v>
      </c>
      <c r="AV23" s="36">
        <v>27.538359788359784</v>
      </c>
    </row>
    <row r="24" spans="1:48" x14ac:dyDescent="0.25">
      <c r="AR24" s="21">
        <v>2013</v>
      </c>
      <c r="AS24" s="36">
        <v>207.80651683645698</v>
      </c>
      <c r="AT24" s="36">
        <v>1396.8554319931566</v>
      </c>
      <c r="AU24" s="36">
        <v>522.73326075122475</v>
      </c>
      <c r="AV24" s="36">
        <v>10.604790419161677</v>
      </c>
    </row>
    <row r="25" spans="1:48" x14ac:dyDescent="0.25">
      <c r="AR25" s="21">
        <v>2014</v>
      </c>
      <c r="AS25" s="36">
        <v>10.842105263157894</v>
      </c>
      <c r="AT25" s="36">
        <v>3751.0423786739575</v>
      </c>
      <c r="AU25" s="36">
        <v>3325.714969241285</v>
      </c>
      <c r="AV25" s="36">
        <v>93.400546821599448</v>
      </c>
    </row>
    <row r="26" spans="1:48" x14ac:dyDescent="0.25">
      <c r="AR26" s="21">
        <v>2015</v>
      </c>
      <c r="AS26" s="36">
        <v>6.1368421052631579</v>
      </c>
      <c r="AT26" s="36">
        <v>1752.3596133190117</v>
      </c>
      <c r="AU26" s="36">
        <v>3076.2706766917295</v>
      </c>
      <c r="AV26" s="36">
        <v>56.232867883995695</v>
      </c>
    </row>
    <row r="27" spans="1:48" x14ac:dyDescent="0.25">
      <c r="AR27" s="21">
        <v>2016</v>
      </c>
      <c r="AS27" s="36">
        <v>0</v>
      </c>
      <c r="AT27" s="36">
        <v>824.91111111111104</v>
      </c>
      <c r="AU27" s="36">
        <v>1215.8888888888889</v>
      </c>
      <c r="AV27" s="36">
        <v>176.2</v>
      </c>
    </row>
    <row r="28" spans="1:48" x14ac:dyDescent="0.25">
      <c r="AR28" s="21">
        <v>2017</v>
      </c>
      <c r="AS28" s="36">
        <v>3</v>
      </c>
      <c r="AT28" s="36">
        <v>1152.6867759562842</v>
      </c>
      <c r="AU28" s="36">
        <v>843.48633879781414</v>
      </c>
      <c r="AV28" s="36">
        <v>113.82688524590162</v>
      </c>
    </row>
    <row r="29" spans="1:48" x14ac:dyDescent="0.25">
      <c r="AR29" s="21">
        <v>2018</v>
      </c>
      <c r="AS29" s="20">
        <v>0</v>
      </c>
      <c r="AT29" s="20">
        <v>659.731884057971</v>
      </c>
      <c r="AU29" s="20">
        <v>371.50155279503105</v>
      </c>
      <c r="AV29" s="20">
        <v>8.7665631469979282</v>
      </c>
    </row>
    <row r="30" spans="1:48" x14ac:dyDescent="0.25">
      <c r="AR30" s="21">
        <v>2020</v>
      </c>
      <c r="AS30" s="20">
        <v>0</v>
      </c>
      <c r="AT30" s="20">
        <v>1427.347709248214</v>
      </c>
      <c r="AU30" s="20">
        <v>2006.652290751786</v>
      </c>
      <c r="AV30" s="20">
        <v>0</v>
      </c>
    </row>
    <row r="31" spans="1:48" x14ac:dyDescent="0.25">
      <c r="AR31" s="21">
        <v>2021</v>
      </c>
      <c r="AS31" s="20">
        <v>3.5142857142857142</v>
      </c>
      <c r="AT31" s="20">
        <v>2641.8345875279929</v>
      </c>
      <c r="AU31" s="20">
        <v>936.65112675772184</v>
      </c>
      <c r="AV31" s="20">
        <v>0</v>
      </c>
    </row>
    <row r="32" spans="1:48" x14ac:dyDescent="0.25">
      <c r="AR32" s="21">
        <v>2022</v>
      </c>
      <c r="AS32" s="20">
        <v>215.56131549609808</v>
      </c>
      <c r="AT32" s="20">
        <v>3357.2436007814827</v>
      </c>
      <c r="AU32" s="20">
        <v>5124.9994315485064</v>
      </c>
      <c r="AV32" s="20">
        <v>7.195652173913043</v>
      </c>
    </row>
    <row r="33" spans="44:48" x14ac:dyDescent="0.25">
      <c r="AR33" s="11" t="s">
        <v>51</v>
      </c>
      <c r="AS33" s="36">
        <v>742.77797202797206</v>
      </c>
      <c r="AT33" s="36">
        <v>224.22202797202797</v>
      </c>
      <c r="AU33" s="36">
        <v>0</v>
      </c>
      <c r="AV33" s="36">
        <v>0</v>
      </c>
    </row>
    <row r="34" spans="44:48" x14ac:dyDescent="0.25">
      <c r="AR34" s="21">
        <v>2010</v>
      </c>
      <c r="AS34" s="36">
        <v>7</v>
      </c>
      <c r="AT34" s="36">
        <v>21</v>
      </c>
      <c r="AU34" s="36">
        <v>0</v>
      </c>
      <c r="AV34" s="36">
        <v>0</v>
      </c>
    </row>
    <row r="35" spans="44:48" x14ac:dyDescent="0.25">
      <c r="AR35" s="21">
        <v>2011</v>
      </c>
      <c r="AS35" s="36">
        <v>19</v>
      </c>
      <c r="AT35" s="36">
        <v>0</v>
      </c>
      <c r="AU35" s="36">
        <v>0</v>
      </c>
      <c r="AV35" s="36">
        <v>0</v>
      </c>
    </row>
    <row r="36" spans="44:48" x14ac:dyDescent="0.25">
      <c r="AR36" s="21">
        <v>2012</v>
      </c>
      <c r="AS36" s="36">
        <v>32</v>
      </c>
      <c r="AT36" s="36">
        <v>0</v>
      </c>
      <c r="AU36" s="36">
        <v>0</v>
      </c>
      <c r="AV36" s="36">
        <v>0</v>
      </c>
    </row>
    <row r="37" spans="44:48" x14ac:dyDescent="0.25">
      <c r="AR37" s="21">
        <v>2013</v>
      </c>
      <c r="AS37" s="36">
        <v>178.84615384615387</v>
      </c>
      <c r="AT37" s="36">
        <v>13.153846153846155</v>
      </c>
      <c r="AU37" s="36">
        <v>0</v>
      </c>
      <c r="AV37" s="36">
        <v>0</v>
      </c>
    </row>
    <row r="38" spans="44:48" x14ac:dyDescent="0.25">
      <c r="AR38" s="21">
        <v>2014</v>
      </c>
      <c r="AS38" s="36">
        <v>20</v>
      </c>
      <c r="AT38" s="36">
        <v>0</v>
      </c>
      <c r="AU38" s="36">
        <v>0</v>
      </c>
      <c r="AV38" s="36">
        <v>0</v>
      </c>
    </row>
    <row r="39" spans="44:48" x14ac:dyDescent="0.25">
      <c r="AR39" s="21">
        <v>2015</v>
      </c>
      <c r="AS39" s="36">
        <v>13</v>
      </c>
      <c r="AT39" s="36">
        <v>0</v>
      </c>
      <c r="AU39" s="36">
        <v>0</v>
      </c>
      <c r="AV39" s="36">
        <v>0</v>
      </c>
    </row>
    <row r="40" spans="44:48" x14ac:dyDescent="0.25">
      <c r="AR40" s="21">
        <v>2016</v>
      </c>
      <c r="AS40" s="36">
        <v>109</v>
      </c>
      <c r="AT40" s="36">
        <v>0</v>
      </c>
      <c r="AU40" s="36">
        <v>0</v>
      </c>
      <c r="AV40" s="36">
        <v>0</v>
      </c>
    </row>
    <row r="41" spans="44:48" x14ac:dyDescent="0.25">
      <c r="AR41" s="21">
        <v>2017</v>
      </c>
      <c r="AS41" s="36">
        <v>8.5</v>
      </c>
      <c r="AT41" s="36">
        <v>8.5</v>
      </c>
      <c r="AU41" s="36">
        <v>0</v>
      </c>
      <c r="AV41" s="36">
        <v>0</v>
      </c>
    </row>
    <row r="42" spans="44:48" x14ac:dyDescent="0.25">
      <c r="AR42" s="21">
        <v>2018</v>
      </c>
      <c r="AS42" s="20">
        <v>0</v>
      </c>
      <c r="AT42" s="20">
        <v>16</v>
      </c>
      <c r="AU42" s="20">
        <v>0</v>
      </c>
      <c r="AV42" s="20">
        <v>0</v>
      </c>
    </row>
    <row r="43" spans="44:48" x14ac:dyDescent="0.25">
      <c r="AR43" s="21">
        <v>2020</v>
      </c>
      <c r="AS43" s="20">
        <v>143</v>
      </c>
      <c r="AT43" s="20">
        <v>0</v>
      </c>
      <c r="AU43" s="20">
        <v>0</v>
      </c>
      <c r="AV43" s="20">
        <v>0</v>
      </c>
    </row>
    <row r="44" spans="44:48" x14ac:dyDescent="0.25">
      <c r="AR44" s="21">
        <v>2021</v>
      </c>
      <c r="AS44" s="20">
        <v>96.181818181818187</v>
      </c>
      <c r="AT44" s="20">
        <v>101.81818181818183</v>
      </c>
      <c r="AU44" s="20">
        <v>0</v>
      </c>
      <c r="AV44" s="20">
        <v>0</v>
      </c>
    </row>
    <row r="45" spans="44:48" x14ac:dyDescent="0.25">
      <c r="AR45" s="21">
        <v>2022</v>
      </c>
      <c r="AS45" s="20">
        <v>116.25</v>
      </c>
      <c r="AT45" s="20">
        <v>63.75</v>
      </c>
      <c r="AU45" s="20">
        <v>0</v>
      </c>
      <c r="AV45" s="20">
        <v>0</v>
      </c>
    </row>
    <row r="46" spans="44:48" x14ac:dyDescent="0.25">
      <c r="AR46" s="11" t="s">
        <v>145</v>
      </c>
      <c r="AS46" s="20">
        <v>0</v>
      </c>
      <c r="AT46" s="20">
        <v>1349.148780487805</v>
      </c>
      <c r="AU46" s="20">
        <v>1059.0300813008132</v>
      </c>
      <c r="AV46" s="20">
        <v>77.82113821138212</v>
      </c>
    </row>
    <row r="47" spans="44:48" x14ac:dyDescent="0.25">
      <c r="AR47" s="21">
        <v>2019</v>
      </c>
      <c r="AS47" s="20">
        <v>0</v>
      </c>
      <c r="AT47" s="20">
        <v>1349.148780487805</v>
      </c>
      <c r="AU47" s="20">
        <v>1059.0300813008132</v>
      </c>
      <c r="AV47" s="20">
        <v>77.82113821138212</v>
      </c>
    </row>
    <row r="48" spans="44:48" x14ac:dyDescent="0.25">
      <c r="AR48" s="11" t="s">
        <v>8</v>
      </c>
      <c r="AS48" s="17">
        <v>1391.4153583249451</v>
      </c>
      <c r="AT48" s="17">
        <v>34339.001150894328</v>
      </c>
      <c r="AU48" s="17">
        <v>50468.625727817089</v>
      </c>
      <c r="AV48" s="17">
        <v>1574.9577629636524</v>
      </c>
    </row>
    <row r="49" spans="44:44" x14ac:dyDescent="0.25">
      <c r="AR49"/>
    </row>
    <row r="50" spans="44:44" x14ac:dyDescent="0.25">
      <c r="AR50"/>
    </row>
    <row r="51" spans="44:44" x14ac:dyDescent="0.25">
      <c r="AR51"/>
    </row>
    <row r="52" spans="44:44" x14ac:dyDescent="0.25">
      <c r="AR52"/>
    </row>
    <row r="53" spans="44:44" x14ac:dyDescent="0.25">
      <c r="AR53"/>
    </row>
    <row r="54" spans="44:44" x14ac:dyDescent="0.25">
      <c r="AR54"/>
    </row>
    <row r="55" spans="44:44" x14ac:dyDescent="0.25">
      <c r="AR55"/>
    </row>
    <row r="56" spans="44:44" x14ac:dyDescent="0.25">
      <c r="AR56"/>
    </row>
    <row r="57" spans="44:44" x14ac:dyDescent="0.25">
      <c r="AR57"/>
    </row>
    <row r="58" spans="44:44" x14ac:dyDescent="0.25">
      <c r="AR58"/>
    </row>
    <row r="59" spans="44:44" x14ac:dyDescent="0.25">
      <c r="AR59"/>
    </row>
    <row r="60" spans="44:44" x14ac:dyDescent="0.25">
      <c r="AR60"/>
    </row>
    <row r="61" spans="44:44" x14ac:dyDescent="0.25">
      <c r="AR61"/>
    </row>
    <row r="62" spans="44:44" x14ac:dyDescent="0.25">
      <c r="AR62"/>
    </row>
    <row r="63" spans="44:44" x14ac:dyDescent="0.25">
      <c r="AR63"/>
    </row>
    <row r="64" spans="44:44" x14ac:dyDescent="0.25">
      <c r="AR64"/>
    </row>
    <row r="65" spans="44:44" x14ac:dyDescent="0.25">
      <c r="AR65"/>
    </row>
    <row r="66" spans="44:44" x14ac:dyDescent="0.25">
      <c r="AR66"/>
    </row>
    <row r="67" spans="44:44" x14ac:dyDescent="0.25">
      <c r="AR67"/>
    </row>
    <row r="68" spans="44:44" x14ac:dyDescent="0.25">
      <c r="AR68"/>
    </row>
    <row r="69" spans="44:44" x14ac:dyDescent="0.25">
      <c r="AR69"/>
    </row>
    <row r="70" spans="44:44" x14ac:dyDescent="0.25">
      <c r="AR70"/>
    </row>
    <row r="71" spans="44:44" x14ac:dyDescent="0.25">
      <c r="AR71"/>
    </row>
    <row r="72" spans="44:44" x14ac:dyDescent="0.25">
      <c r="AR72"/>
    </row>
    <row r="73" spans="44:44" x14ac:dyDescent="0.25">
      <c r="AR73"/>
    </row>
    <row r="74" spans="44:44" x14ac:dyDescent="0.25">
      <c r="AR74"/>
    </row>
    <row r="75" spans="44:44" x14ac:dyDescent="0.25">
      <c r="AR75"/>
    </row>
    <row r="76" spans="44:44" x14ac:dyDescent="0.25">
      <c r="AR76"/>
    </row>
    <row r="77" spans="44:44" x14ac:dyDescent="0.25">
      <c r="AR77"/>
    </row>
    <row r="78" spans="44:44" x14ac:dyDescent="0.25">
      <c r="AR78"/>
    </row>
    <row r="79" spans="44:44" x14ac:dyDescent="0.25">
      <c r="AR79"/>
    </row>
    <row r="80" spans="44:44" x14ac:dyDescent="0.25">
      <c r="AR80"/>
    </row>
    <row r="81" spans="44:44" x14ac:dyDescent="0.25">
      <c r="AR81"/>
    </row>
    <row r="82" spans="44:44" x14ac:dyDescent="0.25">
      <c r="AR82"/>
    </row>
    <row r="83" spans="44:44" x14ac:dyDescent="0.25">
      <c r="AR83"/>
    </row>
    <row r="84" spans="44:44" x14ac:dyDescent="0.25">
      <c r="AR84"/>
    </row>
    <row r="85" spans="44:44" x14ac:dyDescent="0.25">
      <c r="AR85"/>
    </row>
    <row r="86" spans="44:44" x14ac:dyDescent="0.25">
      <c r="AR86"/>
    </row>
    <row r="87" spans="44:44" x14ac:dyDescent="0.25">
      <c r="AR87"/>
    </row>
    <row r="88" spans="44:44" x14ac:dyDescent="0.25">
      <c r="AR88"/>
    </row>
    <row r="89" spans="44:44" x14ac:dyDescent="0.25">
      <c r="AR89"/>
    </row>
    <row r="90" spans="44:44" x14ac:dyDescent="0.25">
      <c r="AR90"/>
    </row>
    <row r="91" spans="44:44" x14ac:dyDescent="0.25">
      <c r="AR91"/>
    </row>
    <row r="92" spans="44:44" x14ac:dyDescent="0.25">
      <c r="AR92"/>
    </row>
    <row r="93" spans="44:44" x14ac:dyDescent="0.25">
      <c r="AR93"/>
    </row>
    <row r="94" spans="44:44" x14ac:dyDescent="0.25">
      <c r="AR94"/>
    </row>
    <row r="95" spans="44:44" x14ac:dyDescent="0.25">
      <c r="AR95"/>
    </row>
    <row r="96" spans="44:44" x14ac:dyDescent="0.25">
      <c r="AR96"/>
    </row>
    <row r="97" spans="44:44" x14ac:dyDescent="0.25">
      <c r="AR97"/>
    </row>
    <row r="98" spans="44:44" x14ac:dyDescent="0.25">
      <c r="AR98"/>
    </row>
    <row r="99" spans="44:44" x14ac:dyDescent="0.25">
      <c r="AR99"/>
    </row>
    <row r="100" spans="44:44" x14ac:dyDescent="0.25">
      <c r="AR100"/>
    </row>
    <row r="101" spans="44:44" x14ac:dyDescent="0.25">
      <c r="AR101"/>
    </row>
    <row r="102" spans="44:44" x14ac:dyDescent="0.25">
      <c r="AR102"/>
    </row>
    <row r="103" spans="44:44" x14ac:dyDescent="0.25">
      <c r="AR103"/>
    </row>
    <row r="104" spans="44:44" x14ac:dyDescent="0.25">
      <c r="AR104"/>
    </row>
    <row r="105" spans="44:44" x14ac:dyDescent="0.25">
      <c r="AR105"/>
    </row>
    <row r="106" spans="44:44" x14ac:dyDescent="0.25">
      <c r="AR106"/>
    </row>
    <row r="107" spans="44:44" x14ac:dyDescent="0.25">
      <c r="AR107"/>
    </row>
    <row r="108" spans="44:44" x14ac:dyDescent="0.25">
      <c r="AR108"/>
    </row>
    <row r="109" spans="44:44" x14ac:dyDescent="0.25">
      <c r="AR109"/>
    </row>
    <row r="110" spans="44:44" x14ac:dyDescent="0.25">
      <c r="AR110"/>
    </row>
    <row r="111" spans="44:44" x14ac:dyDescent="0.25">
      <c r="AR111"/>
    </row>
  </sheetData>
  <pageMargins left="0.7" right="0.7" top="0.75" bottom="0.75" header="0.3" footer="0.3"/>
  <pageSetup orientation="portrait" r:id="rId3"/>
  <headerFooter>
    <oddHeader>&amp;R&amp;"Calibri"&amp;12&amp;K000000 Unclassified - Non-Classifié&amp;1#_x000D_</oddHead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2:N62"/>
  <sheetViews>
    <sheetView topLeftCell="A31" workbookViewId="0">
      <selection activeCell="P58" sqref="P58"/>
    </sheetView>
  </sheetViews>
  <sheetFormatPr defaultRowHeight="15" x14ac:dyDescent="0.25"/>
  <sheetData>
    <row r="2" spans="1:8" x14ac:dyDescent="0.25">
      <c r="A2" t="s">
        <v>6</v>
      </c>
    </row>
    <row r="3" spans="1:8" x14ac:dyDescent="0.25">
      <c r="A3" t="s">
        <v>7</v>
      </c>
    </row>
    <row r="4" spans="1:8" s="6" customFormat="1" x14ac:dyDescent="0.25"/>
    <row r="5" spans="1:8" s="6" customFormat="1" x14ac:dyDescent="0.25"/>
    <row r="7" spans="1:8" x14ac:dyDescent="0.25">
      <c r="A7">
        <v>2017</v>
      </c>
    </row>
    <row r="8" spans="1:8" x14ac:dyDescent="0.25">
      <c r="A8" t="s">
        <v>55</v>
      </c>
    </row>
    <row r="9" spans="1:8" x14ac:dyDescent="0.25">
      <c r="A9" t="s">
        <v>87</v>
      </c>
    </row>
    <row r="10" spans="1:8" x14ac:dyDescent="0.25">
      <c r="A10" t="s">
        <v>102</v>
      </c>
    </row>
    <row r="12" spans="1:8" x14ac:dyDescent="0.25">
      <c r="A12">
        <v>2018</v>
      </c>
    </row>
    <row r="13" spans="1:8" x14ac:dyDescent="0.25">
      <c r="A13" t="s">
        <v>99</v>
      </c>
    </row>
    <row r="15" spans="1:8" x14ac:dyDescent="0.25">
      <c r="A15" s="54" t="s">
        <v>89</v>
      </c>
      <c r="B15" s="54" t="s">
        <v>76</v>
      </c>
      <c r="C15" s="54"/>
      <c r="D15" s="54"/>
      <c r="E15" s="54"/>
      <c r="F15" s="54"/>
      <c r="G15" s="54"/>
      <c r="H15" s="54"/>
    </row>
    <row r="16" spans="1:8" x14ac:dyDescent="0.25">
      <c r="A16" s="53" t="s">
        <v>71</v>
      </c>
      <c r="B16" s="53" t="s">
        <v>90</v>
      </c>
      <c r="C16" s="53" t="s">
        <v>91</v>
      </c>
      <c r="D16" s="53" t="s">
        <v>92</v>
      </c>
      <c r="E16" s="53" t="s">
        <v>93</v>
      </c>
      <c r="F16" s="53" t="s">
        <v>100</v>
      </c>
      <c r="G16" s="53" t="s">
        <v>94</v>
      </c>
      <c r="H16" s="53" t="s">
        <v>8</v>
      </c>
    </row>
    <row r="17" spans="1:8" x14ac:dyDescent="0.25">
      <c r="A17" s="11" t="s">
        <v>95</v>
      </c>
      <c r="B17" s="20">
        <v>3</v>
      </c>
      <c r="C17" s="20">
        <v>32</v>
      </c>
      <c r="D17" s="20">
        <v>131</v>
      </c>
      <c r="E17" s="20">
        <v>169</v>
      </c>
      <c r="F17" s="20"/>
      <c r="G17" s="20">
        <v>10</v>
      </c>
      <c r="H17" s="20">
        <v>345</v>
      </c>
    </row>
    <row r="18" spans="1:8" x14ac:dyDescent="0.25">
      <c r="A18" s="11" t="s">
        <v>96</v>
      </c>
      <c r="B18" s="20"/>
      <c r="C18" s="20"/>
      <c r="D18" s="20">
        <v>1</v>
      </c>
      <c r="E18" s="20"/>
      <c r="F18" s="20"/>
      <c r="G18" s="20"/>
      <c r="H18" s="20">
        <v>1</v>
      </c>
    </row>
    <row r="19" spans="1:8" x14ac:dyDescent="0.25">
      <c r="A19" s="11" t="s">
        <v>97</v>
      </c>
      <c r="B19" s="20">
        <v>11</v>
      </c>
      <c r="C19" s="20">
        <v>17</v>
      </c>
      <c r="D19" s="20">
        <v>139</v>
      </c>
      <c r="E19" s="20">
        <v>77</v>
      </c>
      <c r="F19" s="20">
        <v>1</v>
      </c>
      <c r="G19" s="20">
        <v>2</v>
      </c>
      <c r="H19" s="20">
        <v>247</v>
      </c>
    </row>
    <row r="20" spans="1:8" x14ac:dyDescent="0.25">
      <c r="A20" s="51" t="s">
        <v>8</v>
      </c>
      <c r="B20" s="52">
        <v>14</v>
      </c>
      <c r="C20" s="52">
        <v>49</v>
      </c>
      <c r="D20" s="52">
        <v>271</v>
      </c>
      <c r="E20" s="52">
        <v>246</v>
      </c>
      <c r="F20" s="52">
        <v>1</v>
      </c>
      <c r="G20" s="52">
        <v>12</v>
      </c>
      <c r="H20" s="52">
        <v>593</v>
      </c>
    </row>
    <row r="22" spans="1:8" x14ac:dyDescent="0.25">
      <c r="A22" s="11" t="s">
        <v>98</v>
      </c>
    </row>
    <row r="24" spans="1:8" x14ac:dyDescent="0.25">
      <c r="A24" t="s">
        <v>101</v>
      </c>
    </row>
    <row r="26" spans="1:8" x14ac:dyDescent="0.25">
      <c r="A26" s="6" t="s">
        <v>102</v>
      </c>
    </row>
    <row r="27" spans="1:8" x14ac:dyDescent="0.25">
      <c r="A27" s="11"/>
    </row>
    <row r="29" spans="1:8" x14ac:dyDescent="0.25">
      <c r="A29">
        <v>2019</v>
      </c>
    </row>
    <row r="30" spans="1:8" x14ac:dyDescent="0.25">
      <c r="A30" t="s">
        <v>142</v>
      </c>
    </row>
    <row r="31" spans="1:8" x14ac:dyDescent="0.25">
      <c r="A31" t="s">
        <v>143</v>
      </c>
    </row>
    <row r="32" spans="1:8" x14ac:dyDescent="0.25">
      <c r="A32" t="s">
        <v>144</v>
      </c>
    </row>
    <row r="33" spans="1:14" x14ac:dyDescent="0.25">
      <c r="A33" t="s">
        <v>146</v>
      </c>
    </row>
    <row r="34" spans="1:14" x14ac:dyDescent="0.25">
      <c r="A34" s="6"/>
      <c r="B34" s="6"/>
      <c r="C34" s="6"/>
      <c r="D34" s="6"/>
      <c r="E34" s="6"/>
      <c r="F34" s="6"/>
      <c r="G34" s="6" t="s">
        <v>4</v>
      </c>
      <c r="H34" s="6"/>
      <c r="I34" s="6"/>
      <c r="J34" s="6"/>
      <c r="K34" s="6"/>
      <c r="L34" s="6" t="s">
        <v>29</v>
      </c>
      <c r="M34" s="6"/>
      <c r="N34" s="6"/>
    </row>
    <row r="35" spans="1:14" x14ac:dyDescent="0.25">
      <c r="A35" s="1" t="s">
        <v>30</v>
      </c>
      <c r="B35" s="1" t="s">
        <v>31</v>
      </c>
      <c r="C35" s="1" t="s">
        <v>32</v>
      </c>
      <c r="D35" s="1" t="s">
        <v>33</v>
      </c>
      <c r="E35" s="1" t="s">
        <v>0</v>
      </c>
      <c r="F35" s="1" t="s">
        <v>1</v>
      </c>
      <c r="G35" s="2" t="s">
        <v>34</v>
      </c>
      <c r="H35" s="2" t="s">
        <v>35</v>
      </c>
      <c r="I35" s="2" t="s">
        <v>36</v>
      </c>
      <c r="J35" s="2" t="s">
        <v>37</v>
      </c>
      <c r="K35" s="1" t="s">
        <v>38</v>
      </c>
      <c r="L35" s="1" t="s">
        <v>39</v>
      </c>
      <c r="M35" s="1" t="s">
        <v>40</v>
      </c>
      <c r="N35" s="1" t="s">
        <v>41</v>
      </c>
    </row>
    <row r="36" spans="1:14" x14ac:dyDescent="0.25">
      <c r="A36" s="6" t="s">
        <v>2</v>
      </c>
      <c r="B36" s="6" t="s">
        <v>42</v>
      </c>
      <c r="C36" s="6" t="s">
        <v>43</v>
      </c>
      <c r="D36" s="6" t="s">
        <v>44</v>
      </c>
      <c r="E36" s="6">
        <v>2019</v>
      </c>
      <c r="F36" s="13"/>
      <c r="G36" s="24"/>
      <c r="H36" s="24">
        <v>1</v>
      </c>
      <c r="I36" s="24">
        <v>1</v>
      </c>
      <c r="J36" s="24"/>
      <c r="K36" s="8">
        <f>+(G36/(SUM($G36:$J36)))*$F36</f>
        <v>0</v>
      </c>
      <c r="L36" s="8">
        <f>+(H36/(SUM($G36:$J36)))*$F36</f>
        <v>0</v>
      </c>
      <c r="M36" s="8">
        <f>+(I36/(SUM($G36:$J36)))*$F36</f>
        <v>0</v>
      </c>
      <c r="N36" s="8">
        <f>+(J36/(SUM($G36:$J36)))*$F36</f>
        <v>0</v>
      </c>
    </row>
    <row r="37" spans="1:14" x14ac:dyDescent="0.25">
      <c r="A37" s="6" t="s">
        <v>2</v>
      </c>
      <c r="B37" s="6" t="s">
        <v>42</v>
      </c>
      <c r="C37" s="6" t="s">
        <v>45</v>
      </c>
      <c r="D37" s="6" t="s">
        <v>33</v>
      </c>
      <c r="E37" s="6">
        <v>2019</v>
      </c>
      <c r="F37" s="14"/>
      <c r="G37" s="16"/>
      <c r="H37" s="16"/>
      <c r="I37" s="16"/>
      <c r="J37" s="16"/>
      <c r="K37" s="8" t="e">
        <f t="shared" ref="K37:N38" si="0">+(G37/(SUM($G37:$J37)))*$F37</f>
        <v>#DIV/0!</v>
      </c>
      <c r="L37" s="8" t="e">
        <f t="shared" si="0"/>
        <v>#DIV/0!</v>
      </c>
      <c r="M37" s="8" t="e">
        <f t="shared" si="0"/>
        <v>#DIV/0!</v>
      </c>
      <c r="N37" s="8" t="e">
        <f t="shared" si="0"/>
        <v>#DIV/0!</v>
      </c>
    </row>
    <row r="38" spans="1:14" x14ac:dyDescent="0.25">
      <c r="A38" s="6" t="s">
        <v>2</v>
      </c>
      <c r="B38" s="6" t="s">
        <v>42</v>
      </c>
      <c r="C38" s="6" t="s">
        <v>45</v>
      </c>
      <c r="D38" s="6" t="s">
        <v>46</v>
      </c>
      <c r="E38" s="6">
        <v>2019</v>
      </c>
      <c r="F38" s="25">
        <f>+F41-SUM(F36:F37)</f>
        <v>0</v>
      </c>
      <c r="G38" s="16"/>
      <c r="H38" s="16">
        <v>31</v>
      </c>
      <c r="I38" s="16">
        <v>13</v>
      </c>
      <c r="J38" s="16">
        <v>2</v>
      </c>
      <c r="K38" s="8">
        <f>+(G38/(SUM($G38:$J38)))*$F38</f>
        <v>0</v>
      </c>
      <c r="L38" s="8">
        <f t="shared" si="0"/>
        <v>0</v>
      </c>
      <c r="M38" s="8">
        <f t="shared" si="0"/>
        <v>0</v>
      </c>
      <c r="N38" s="8">
        <f t="shared" si="0"/>
        <v>0</v>
      </c>
    </row>
    <row r="39" spans="1:14" x14ac:dyDescent="0.25">
      <c r="A39" s="14" t="s">
        <v>47</v>
      </c>
      <c r="B39" s="6" t="s">
        <v>42</v>
      </c>
      <c r="C39" s="6" t="s">
        <v>43</v>
      </c>
      <c r="D39" s="6" t="s">
        <v>46</v>
      </c>
      <c r="E39" s="6">
        <v>2019</v>
      </c>
      <c r="F39" s="28"/>
      <c r="G39" s="26"/>
      <c r="H39" s="26"/>
      <c r="I39" s="26"/>
      <c r="J39" s="26"/>
      <c r="K39" s="8">
        <f>+IF($F39=0,0,(G39/(SUM($G39:$J39)))*$F39)</f>
        <v>0</v>
      </c>
      <c r="L39" s="8">
        <f>+IF($F39=0,0,(H39/(SUM($G39:$J39)))*$F39)</f>
        <v>0</v>
      </c>
      <c r="M39" s="8">
        <f>+IF($F39=0,0,(I39/(SUM($G39:$J39)))*$F39)</f>
        <v>0</v>
      </c>
      <c r="N39" s="8">
        <f>+IF($F39=0,0,(J39/(SUM($G39:$J39)))*$F39)</f>
        <v>0</v>
      </c>
    </row>
    <row r="40" spans="1:14" x14ac:dyDescent="0.25">
      <c r="A40" s="14" t="s">
        <v>47</v>
      </c>
      <c r="B40" s="6" t="s">
        <v>42</v>
      </c>
      <c r="C40" s="6" t="s">
        <v>45</v>
      </c>
      <c r="D40" s="6" t="s">
        <v>46</v>
      </c>
      <c r="E40" s="6">
        <v>2019</v>
      </c>
      <c r="F40" s="28"/>
      <c r="G40" s="27"/>
      <c r="H40" s="27"/>
      <c r="I40" s="27"/>
      <c r="J40" s="27"/>
      <c r="K40" s="8">
        <f>+IF(G40="",(G38/(SUM($G38:$J38)))*$F40,(G40/(SUM($G40:$J40)))*$F40)</f>
        <v>0</v>
      </c>
      <c r="L40" s="8">
        <f>+IF(H40="",(H38/(SUM($G38:$J38)))*$F40,(H40/(SUM($G40:$J40)))*$F40)</f>
        <v>0</v>
      </c>
      <c r="M40" s="8">
        <f>+IF(I40="",(I38/(SUM($G38:$J38)))*$F40,(I40/(SUM($G40:$J40)))*$F40)</f>
        <v>0</v>
      </c>
      <c r="N40" s="8">
        <f>+IF(J40="",(J38/(SUM($G38:$J38)))*$F40,(J40/(SUM($G40:$J40)))*$F40)</f>
        <v>0</v>
      </c>
    </row>
    <row r="41" spans="1:14" x14ac:dyDescent="0.25">
      <c r="A41" s="6" t="s">
        <v>2</v>
      </c>
      <c r="B41" s="6" t="s">
        <v>42</v>
      </c>
      <c r="C41" s="6" t="s">
        <v>48</v>
      </c>
      <c r="D41" s="6" t="s">
        <v>48</v>
      </c>
      <c r="E41" s="6">
        <v>2019</v>
      </c>
      <c r="F41" s="13"/>
      <c r="G41" s="29"/>
      <c r="H41" s="29"/>
      <c r="I41" s="29"/>
      <c r="J41" s="29"/>
      <c r="K41" s="8" t="e">
        <f>+SUM(K36:K38)</f>
        <v>#DIV/0!</v>
      </c>
      <c r="L41" s="8" t="e">
        <f>+SUM(L36:L38)</f>
        <v>#DIV/0!</v>
      </c>
      <c r="M41" s="8" t="e">
        <f>+SUM(M36:M38)</f>
        <v>#DIV/0!</v>
      </c>
      <c r="N41" s="8" t="e">
        <f>+SUM(N36:N38)</f>
        <v>#DIV/0!</v>
      </c>
    </row>
    <row r="42" spans="1:14" x14ac:dyDescent="0.25">
      <c r="A42" s="14" t="s">
        <v>49</v>
      </c>
      <c r="B42" s="6" t="s">
        <v>42</v>
      </c>
      <c r="C42" s="6" t="s">
        <v>48</v>
      </c>
      <c r="D42" s="6" t="s">
        <v>48</v>
      </c>
      <c r="E42" s="6">
        <v>2019</v>
      </c>
      <c r="F42" s="31">
        <f>F41+SUM(F39:F40)</f>
        <v>0</v>
      </c>
      <c r="G42" s="29"/>
      <c r="H42" s="29"/>
      <c r="I42" s="29"/>
      <c r="J42" s="29"/>
      <c r="K42" s="8" t="e">
        <f t="shared" ref="K42:L42" si="1">SUM(K36:K40)</f>
        <v>#DIV/0!</v>
      </c>
      <c r="L42" s="8" t="e">
        <f t="shared" si="1"/>
        <v>#DIV/0!</v>
      </c>
      <c r="M42" s="8" t="e">
        <f>SUM(M36:M40)</f>
        <v>#DIV/0!</v>
      </c>
      <c r="N42" s="8" t="e">
        <f>SUM(N36:N40)</f>
        <v>#DIV/0!</v>
      </c>
    </row>
    <row r="43" spans="1:14" x14ac:dyDescent="0.25">
      <c r="A43" s="6"/>
      <c r="B43" s="6"/>
      <c r="C43" s="6"/>
      <c r="D43" s="6"/>
      <c r="E43" s="6"/>
      <c r="F43" s="17"/>
      <c r="G43" s="6"/>
      <c r="H43" s="6"/>
      <c r="I43" s="6"/>
      <c r="J43" s="6"/>
      <c r="K43" s="6"/>
      <c r="L43" s="6"/>
      <c r="M43" s="6"/>
      <c r="N43" s="6"/>
    </row>
    <row r="44" spans="1:14" x14ac:dyDescent="0.25">
      <c r="A44" s="6" t="s">
        <v>2</v>
      </c>
      <c r="B44" s="6" t="s">
        <v>50</v>
      </c>
      <c r="C44" s="6" t="s">
        <v>43</v>
      </c>
      <c r="D44" s="6" t="s">
        <v>44</v>
      </c>
      <c r="E44" s="6">
        <v>2019</v>
      </c>
      <c r="F44" s="13"/>
      <c r="G44" s="24"/>
      <c r="H44" s="24">
        <v>6</v>
      </c>
      <c r="I44" s="24">
        <v>2</v>
      </c>
      <c r="J44" s="24"/>
      <c r="K44" s="8">
        <f>+(G44/(SUM($G44:$J44)))*$F44</f>
        <v>0</v>
      </c>
      <c r="L44" s="8">
        <f>+(H44/(SUM($G44:$J44)))*$F44</f>
        <v>0</v>
      </c>
      <c r="M44" s="8">
        <f>+(I44/(SUM($G44:$J44)))*$F44</f>
        <v>0</v>
      </c>
      <c r="N44" s="8">
        <f>+(J44/(SUM($G44:$J44)))*$F44</f>
        <v>0</v>
      </c>
    </row>
    <row r="45" spans="1:14" x14ac:dyDescent="0.25">
      <c r="A45" s="6" t="s">
        <v>2</v>
      </c>
      <c r="B45" s="6" t="s">
        <v>50</v>
      </c>
      <c r="C45" s="6" t="s">
        <v>45</v>
      </c>
      <c r="D45" s="6" t="s">
        <v>33</v>
      </c>
      <c r="E45" s="6">
        <v>2019</v>
      </c>
      <c r="F45" s="15"/>
      <c r="G45" s="16"/>
      <c r="H45" s="16"/>
      <c r="I45" s="16"/>
      <c r="J45" s="16"/>
      <c r="K45" s="8" t="e">
        <f>+(G45/(SUM($G45:$J45)))*$F45</f>
        <v>#DIV/0!</v>
      </c>
      <c r="L45" s="8" t="e">
        <f t="shared" ref="L45" si="2">+(H45/(SUM($G45:$J45)))*$F45</f>
        <v>#DIV/0!</v>
      </c>
      <c r="M45" s="8" t="e">
        <f>+(I45/(SUM($G45:$J45)))*$F45</f>
        <v>#DIV/0!</v>
      </c>
      <c r="N45" s="8" t="e">
        <f>+(J45/(SUM($G45:$J45)))*$F45</f>
        <v>#DIV/0!</v>
      </c>
    </row>
    <row r="46" spans="1:14" x14ac:dyDescent="0.25">
      <c r="A46" s="6" t="s">
        <v>2</v>
      </c>
      <c r="B46" s="6" t="s">
        <v>50</v>
      </c>
      <c r="C46" s="6" t="s">
        <v>45</v>
      </c>
      <c r="D46" s="6" t="s">
        <v>46</v>
      </c>
      <c r="E46" s="6">
        <v>2019</v>
      </c>
      <c r="F46" s="25">
        <f>+F49-SUM(F44:F45)</f>
        <v>0</v>
      </c>
      <c r="G46" s="16"/>
      <c r="H46" s="16">
        <v>35</v>
      </c>
      <c r="I46" s="16">
        <v>40</v>
      </c>
      <c r="J46" s="16">
        <v>2</v>
      </c>
      <c r="K46" s="8">
        <f>+(G46/(SUM($G46:$J46)))*$F46</f>
        <v>0</v>
      </c>
      <c r="L46" s="8">
        <f>+(H46/(SUM($G46:$J46)))*$F46</f>
        <v>0</v>
      </c>
      <c r="M46" s="8">
        <f>+(I46/(SUM($G46:$J46)))*$F46</f>
        <v>0</v>
      </c>
      <c r="N46" s="8">
        <f>+(J46/(SUM($G46:$J46)))*$F46</f>
        <v>0</v>
      </c>
    </row>
    <row r="47" spans="1:14" x14ac:dyDescent="0.25">
      <c r="A47" s="14" t="s">
        <v>47</v>
      </c>
      <c r="B47" s="6" t="s">
        <v>50</v>
      </c>
      <c r="C47" s="6" t="s">
        <v>43</v>
      </c>
      <c r="D47" s="6" t="s">
        <v>46</v>
      </c>
      <c r="E47" s="6">
        <v>2019</v>
      </c>
      <c r="F47" s="28"/>
      <c r="G47" s="26"/>
      <c r="H47" s="26"/>
      <c r="I47" s="26"/>
      <c r="J47" s="26"/>
      <c r="K47" s="8">
        <f>+IF($F47=0,0,(G47/(SUM($G47:$J47)))*$F47)</f>
        <v>0</v>
      </c>
      <c r="L47" s="8">
        <f>+IF($F47=0,0,(H47/(SUM($G47:$J47)))*$F47)</f>
        <v>0</v>
      </c>
      <c r="M47" s="8">
        <f>+IF($F47=0,0,(I47/(SUM($G47:$J47)))*$F47)</f>
        <v>0</v>
      </c>
      <c r="N47" s="8">
        <f>+IF($F47=0,0,(J47/(SUM($G47:$J47)))*$F47)</f>
        <v>0</v>
      </c>
    </row>
    <row r="48" spans="1:14" x14ac:dyDescent="0.25">
      <c r="A48" s="14" t="s">
        <v>47</v>
      </c>
      <c r="B48" s="6" t="s">
        <v>50</v>
      </c>
      <c r="C48" s="6" t="s">
        <v>45</v>
      </c>
      <c r="D48" s="6" t="s">
        <v>46</v>
      </c>
      <c r="E48" s="6">
        <v>2019</v>
      </c>
      <c r="F48" s="28"/>
      <c r="G48" s="27"/>
      <c r="H48" s="27"/>
      <c r="I48" s="27"/>
      <c r="J48" s="27"/>
      <c r="K48" s="8">
        <f>+IF(G48="",(G46/(SUM($G46:$J46)))*$F48,(G48/(SUM($G48:$J48)))*$F48)</f>
        <v>0</v>
      </c>
      <c r="L48" s="8">
        <f>+IF(H48="",(H46/(SUM($G46:$J46)))*$F48,(H48/(SUM($G48:$J48)))*$F48)</f>
        <v>0</v>
      </c>
      <c r="M48" s="8">
        <f>+IF(I48="",(I46/(SUM($G46:$J46)))*$F48,(I48/(SUM($G48:$J48)))*$F48)</f>
        <v>0</v>
      </c>
      <c r="N48" s="8">
        <f>+IF(J48="",(J46/(SUM($G46:$J46)))*$F48,(J48/(SUM($G48:$J48)))*$F48)</f>
        <v>0</v>
      </c>
    </row>
    <row r="49" spans="1:14" x14ac:dyDescent="0.25">
      <c r="A49" s="6" t="s">
        <v>2</v>
      </c>
      <c r="B49" s="6" t="s">
        <v>50</v>
      </c>
      <c r="C49" s="6" t="s">
        <v>48</v>
      </c>
      <c r="D49" s="6" t="s">
        <v>48</v>
      </c>
      <c r="E49" s="6">
        <v>2019</v>
      </c>
      <c r="F49" s="15"/>
      <c r="G49" s="29"/>
      <c r="H49" s="29"/>
      <c r="I49" s="29"/>
      <c r="J49" s="29"/>
      <c r="K49" s="8" t="e">
        <f>+SUM(K44:K46)</f>
        <v>#DIV/0!</v>
      </c>
      <c r="L49" s="8" t="e">
        <f>+SUM(L44:L46)</f>
        <v>#DIV/0!</v>
      </c>
      <c r="M49" s="8" t="e">
        <f>+SUM(M44:M46)</f>
        <v>#DIV/0!</v>
      </c>
      <c r="N49" s="8" t="e">
        <f>+SUM(N44:N46)</f>
        <v>#DIV/0!</v>
      </c>
    </row>
    <row r="50" spans="1:14" x14ac:dyDescent="0.25">
      <c r="A50" s="14" t="s">
        <v>49</v>
      </c>
      <c r="B50" s="6" t="s">
        <v>50</v>
      </c>
      <c r="C50" s="6" t="s">
        <v>48</v>
      </c>
      <c r="D50" s="6" t="s">
        <v>48</v>
      </c>
      <c r="E50" s="6">
        <v>2019</v>
      </c>
      <c r="F50" s="30">
        <f>F49+SUM(F47:F48)</f>
        <v>0</v>
      </c>
      <c r="G50" s="29"/>
      <c r="H50" s="29"/>
      <c r="I50" s="29"/>
      <c r="J50" s="29"/>
      <c r="K50" s="8" t="e">
        <f t="shared" ref="K50:L50" si="3">SUM(K44:K48)</f>
        <v>#DIV/0!</v>
      </c>
      <c r="L50" s="8" t="e">
        <f t="shared" si="3"/>
        <v>#DIV/0!</v>
      </c>
      <c r="M50" s="8" t="e">
        <f>SUM(M44:M48)</f>
        <v>#DIV/0!</v>
      </c>
      <c r="N50" s="8" t="e">
        <f>SUM(N44:N48)</f>
        <v>#DIV/0!</v>
      </c>
    </row>
    <row r="51" spans="1:14" x14ac:dyDescent="0.25">
      <c r="A51" s="6"/>
      <c r="B51" s="6"/>
      <c r="C51" s="6"/>
      <c r="D51" s="6"/>
      <c r="E51" s="6"/>
      <c r="F51" s="17"/>
      <c r="G51" s="29"/>
      <c r="H51" s="29"/>
      <c r="I51" s="29"/>
      <c r="J51" s="29"/>
      <c r="K51" s="6"/>
      <c r="L51" s="6"/>
      <c r="M51" s="6"/>
      <c r="N51" s="6"/>
    </row>
    <row r="52" spans="1:14" x14ac:dyDescent="0.25">
      <c r="A52" s="6" t="s">
        <v>2</v>
      </c>
      <c r="B52" s="6" t="s">
        <v>51</v>
      </c>
      <c r="C52" s="6" t="s">
        <v>43</v>
      </c>
      <c r="D52" s="6" t="s">
        <v>44</v>
      </c>
      <c r="E52" s="6">
        <v>2019</v>
      </c>
      <c r="F52" s="13"/>
      <c r="G52" s="24"/>
      <c r="H52" s="24"/>
      <c r="I52" s="24"/>
      <c r="J52" s="24"/>
      <c r="K52" s="8"/>
      <c r="L52" s="8"/>
      <c r="M52" s="8"/>
      <c r="N52" s="8"/>
    </row>
    <row r="53" spans="1:14" x14ac:dyDescent="0.25">
      <c r="A53" s="6" t="s">
        <v>2</v>
      </c>
      <c r="B53" s="6" t="s">
        <v>51</v>
      </c>
      <c r="C53" s="6" t="s">
        <v>45</v>
      </c>
      <c r="D53" s="6" t="s">
        <v>33</v>
      </c>
      <c r="E53" s="6">
        <v>2019</v>
      </c>
      <c r="F53" s="14"/>
      <c r="G53" s="16"/>
      <c r="H53" s="16"/>
      <c r="I53" s="16"/>
      <c r="J53" s="16"/>
      <c r="K53" s="8">
        <f>+IF(G53="",(G54/(SUM($G54:$J54)))*$F53,(G53/(SUM($G53:$J53)))*$F53)</f>
        <v>0</v>
      </c>
      <c r="L53" s="8">
        <f t="shared" ref="L53:N53" si="4">+IF(H53="",(H54/(SUM($G54:$J54)))*$F53,(H53/(SUM($G53:$J53)))*$F53)</f>
        <v>0</v>
      </c>
      <c r="M53" s="8">
        <f t="shared" si="4"/>
        <v>0</v>
      </c>
      <c r="N53" s="8">
        <f t="shared" si="4"/>
        <v>0</v>
      </c>
    </row>
    <row r="54" spans="1:14" x14ac:dyDescent="0.25">
      <c r="A54" s="6" t="s">
        <v>2</v>
      </c>
      <c r="B54" s="6" t="s">
        <v>51</v>
      </c>
      <c r="C54" s="6" t="s">
        <v>45</v>
      </c>
      <c r="D54" s="6" t="s">
        <v>46</v>
      </c>
      <c r="E54" s="6">
        <v>2019</v>
      </c>
      <c r="F54" s="25">
        <f>+F57-SUM(F52:F53)</f>
        <v>0</v>
      </c>
      <c r="G54" s="16">
        <v>1</v>
      </c>
      <c r="H54" s="16"/>
      <c r="I54" s="16"/>
      <c r="J54" s="16"/>
      <c r="K54" s="8">
        <f t="shared" ref="K54" si="5">+(G54/(SUM($G54:$J54)))*$F54</f>
        <v>0</v>
      </c>
      <c r="L54" s="8">
        <f t="shared" ref="L54" si="6">+(H54/(SUM($G54:$J54)))*$F54</f>
        <v>0</v>
      </c>
      <c r="M54" s="8">
        <f t="shared" ref="M54:N54" si="7">+(I54/(SUM($G54:$J54)))*$F54</f>
        <v>0</v>
      </c>
      <c r="N54" s="8">
        <f t="shared" si="7"/>
        <v>0</v>
      </c>
    </row>
    <row r="55" spans="1:14" x14ac:dyDescent="0.25">
      <c r="A55" s="14" t="s">
        <v>47</v>
      </c>
      <c r="B55" s="6" t="s">
        <v>51</v>
      </c>
      <c r="C55" s="6" t="s">
        <v>43</v>
      </c>
      <c r="D55" s="6" t="s">
        <v>46</v>
      </c>
      <c r="E55" s="6">
        <v>2019</v>
      </c>
      <c r="F55" s="28"/>
      <c r="G55" s="26"/>
      <c r="H55" s="26"/>
      <c r="I55" s="26"/>
      <c r="J55" s="26"/>
      <c r="K55" s="8">
        <f>+IF($F55=0,0,(G55/(SUM($G55:$J55)))*$F55)</f>
        <v>0</v>
      </c>
      <c r="L55" s="8">
        <f>+IF($F55=0,0,(H55/(SUM($G55:$J55)))*$F55)</f>
        <v>0</v>
      </c>
      <c r="M55" s="8">
        <f>+IF($F55=0,0,(I55/(SUM($G55:$J55)))*$F55)</f>
        <v>0</v>
      </c>
      <c r="N55" s="8">
        <f>+IF($F55=0,0,(J55/(SUM($G55:$J55)))*$F55)</f>
        <v>0</v>
      </c>
    </row>
    <row r="56" spans="1:14" x14ac:dyDescent="0.25">
      <c r="A56" s="14" t="s">
        <v>47</v>
      </c>
      <c r="B56" s="6" t="s">
        <v>51</v>
      </c>
      <c r="C56" s="6" t="s">
        <v>45</v>
      </c>
      <c r="D56" s="6" t="s">
        <v>46</v>
      </c>
      <c r="E56" s="6">
        <v>2019</v>
      </c>
      <c r="F56" s="28"/>
      <c r="G56" s="27"/>
      <c r="H56" s="27"/>
      <c r="I56" s="27"/>
      <c r="J56" s="27"/>
      <c r="K56" s="8">
        <f>+IF(G56="",(G54/(SUM($G54:$J54)))*$F56,(G56/(SUM($G56:$J56)))*$F56)</f>
        <v>0</v>
      </c>
      <c r="L56" s="8">
        <f>+IF(H56="",(H54/(SUM($G54:$J54)))*$F56,(H56/(SUM($G56:$J56)))*$F56)</f>
        <v>0</v>
      </c>
      <c r="M56" s="8">
        <f>+IF(I56="",(I54/(SUM($G54:$J54)))*$F56,(I56/(SUM($G56:$J56)))*$F56)</f>
        <v>0</v>
      </c>
      <c r="N56" s="8">
        <f>+IF(J56="",(J54/(SUM($G54:$J54)))*$F56,(J56/(SUM($G56:$J56)))*$F56)</f>
        <v>0</v>
      </c>
    </row>
    <row r="57" spans="1:14" x14ac:dyDescent="0.25">
      <c r="A57" s="6" t="s">
        <v>2</v>
      </c>
      <c r="B57" s="6" t="s">
        <v>51</v>
      </c>
      <c r="C57" s="6" t="s">
        <v>48</v>
      </c>
      <c r="D57" s="6" t="s">
        <v>48</v>
      </c>
      <c r="E57" s="6">
        <v>2019</v>
      </c>
      <c r="F57" s="15"/>
      <c r="G57" s="29"/>
      <c r="H57" s="29"/>
      <c r="I57" s="29"/>
      <c r="J57" s="29"/>
      <c r="K57" s="8">
        <f>+SUM(K52:K54)</f>
        <v>0</v>
      </c>
      <c r="L57" s="8">
        <f>+SUM(L52:L54)</f>
        <v>0</v>
      </c>
      <c r="M57" s="8">
        <f>+SUM(M52:M54)</f>
        <v>0</v>
      </c>
      <c r="N57" s="8">
        <f>+SUM(N52:N54)</f>
        <v>0</v>
      </c>
    </row>
    <row r="58" spans="1:14" x14ac:dyDescent="0.25">
      <c r="A58" s="14" t="s">
        <v>49</v>
      </c>
      <c r="B58" s="6" t="s">
        <v>51</v>
      </c>
      <c r="C58" s="6" t="s">
        <v>48</v>
      </c>
      <c r="D58" s="6" t="s">
        <v>48</v>
      </c>
      <c r="E58" s="6">
        <v>2019</v>
      </c>
      <c r="F58" s="31">
        <f>F57+SUM(F55:F56)</f>
        <v>0</v>
      </c>
      <c r="G58" s="6"/>
      <c r="H58" s="6"/>
      <c r="I58" s="6"/>
      <c r="J58" s="6"/>
      <c r="K58" s="8">
        <f t="shared" ref="K58:L58" si="8">SUM(K52:K56)</f>
        <v>0</v>
      </c>
      <c r="L58" s="8">
        <f t="shared" si="8"/>
        <v>0</v>
      </c>
      <c r="M58" s="8">
        <f>SUM(M52:M56)</f>
        <v>0</v>
      </c>
      <c r="N58" s="8">
        <f>SUM(N52:N56)</f>
        <v>0</v>
      </c>
    </row>
    <row r="60" spans="1:14" x14ac:dyDescent="0.25">
      <c r="A60">
        <v>2024</v>
      </c>
    </row>
    <row r="61" spans="1:14" x14ac:dyDescent="0.25">
      <c r="A61" t="s">
        <v>3140</v>
      </c>
    </row>
    <row r="62" spans="1:14" x14ac:dyDescent="0.25">
      <c r="A62" t="s">
        <v>3141</v>
      </c>
    </row>
  </sheetData>
  <phoneticPr fontId="2" type="noConversion"/>
  <pageMargins left="0.7" right="0.7" top="0.75" bottom="0.75" header="0.3" footer="0.3"/>
  <pageSetup orientation="portrait" r:id="rId1"/>
  <headerFooter>
    <oddHeader>&amp;R&amp;"Calibri"&amp;12&amp;K000000 Unclassified - Non-Classifié&amp;1#_x000D_</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46"/>
  <sheetViews>
    <sheetView topLeftCell="A22" workbookViewId="0">
      <selection activeCell="B20" sqref="B20"/>
    </sheetView>
  </sheetViews>
  <sheetFormatPr defaultRowHeight="15" x14ac:dyDescent="0.25"/>
  <cols>
    <col min="1" max="1" width="14.85546875" bestFit="1" customWidth="1"/>
    <col min="2" max="2" width="22" bestFit="1" customWidth="1"/>
    <col min="4" max="4" width="11.85546875" bestFit="1" customWidth="1"/>
    <col min="5" max="5" width="5.42578125" customWidth="1"/>
  </cols>
  <sheetData>
    <row r="3" spans="1:5" x14ac:dyDescent="0.25">
      <c r="A3" s="10" t="s">
        <v>140</v>
      </c>
    </row>
    <row r="4" spans="1:5" x14ac:dyDescent="0.25">
      <c r="A4" s="10" t="s">
        <v>77</v>
      </c>
      <c r="B4" s="10" t="s">
        <v>78</v>
      </c>
      <c r="C4" s="10" t="s">
        <v>79</v>
      </c>
      <c r="D4" s="10" t="s">
        <v>84</v>
      </c>
      <c r="E4" t="s">
        <v>67</v>
      </c>
    </row>
    <row r="5" spans="1:5" x14ac:dyDescent="0.25">
      <c r="A5" s="6">
        <v>2010</v>
      </c>
      <c r="B5" s="6">
        <v>3</v>
      </c>
      <c r="C5" s="6">
        <v>2007</v>
      </c>
      <c r="D5" s="6" t="s">
        <v>104</v>
      </c>
      <c r="E5" s="17">
        <v>44.751014357053684</v>
      </c>
    </row>
    <row r="6" spans="1:5" x14ac:dyDescent="0.25">
      <c r="B6" s="6">
        <v>4</v>
      </c>
      <c r="C6" s="6">
        <v>2006</v>
      </c>
      <c r="D6" s="6" t="s">
        <v>105</v>
      </c>
      <c r="E6" s="17">
        <v>3880.8798690109156</v>
      </c>
    </row>
    <row r="7" spans="1:5" x14ac:dyDescent="0.25">
      <c r="B7" s="6">
        <v>5</v>
      </c>
      <c r="C7" s="6">
        <v>2005</v>
      </c>
      <c r="D7" s="6" t="s">
        <v>106</v>
      </c>
      <c r="E7" s="17">
        <v>3241.3351428742781</v>
      </c>
    </row>
    <row r="8" spans="1:5" x14ac:dyDescent="0.25">
      <c r="B8" s="6">
        <v>6</v>
      </c>
      <c r="C8" s="6">
        <v>2004</v>
      </c>
      <c r="D8" s="6" t="s">
        <v>107</v>
      </c>
      <c r="E8" s="17">
        <v>351.03397375775205</v>
      </c>
    </row>
    <row r="9" spans="1:5" x14ac:dyDescent="0.25">
      <c r="A9" s="6">
        <v>2011</v>
      </c>
      <c r="B9" s="6">
        <v>3</v>
      </c>
      <c r="C9" s="6">
        <v>2008</v>
      </c>
      <c r="D9" s="6" t="s">
        <v>108</v>
      </c>
      <c r="E9" s="17">
        <v>19</v>
      </c>
    </row>
    <row r="10" spans="1:5" x14ac:dyDescent="0.25">
      <c r="B10" s="6">
        <v>4</v>
      </c>
      <c r="C10" s="6">
        <v>2007</v>
      </c>
      <c r="D10" s="6" t="s">
        <v>109</v>
      </c>
      <c r="E10" s="17">
        <v>1405.2216040009296</v>
      </c>
    </row>
    <row r="11" spans="1:5" x14ac:dyDescent="0.25">
      <c r="B11" s="6">
        <v>5</v>
      </c>
      <c r="C11" s="6">
        <v>2006</v>
      </c>
      <c r="D11" s="6" t="s">
        <v>110</v>
      </c>
      <c r="E11" s="17">
        <v>6811.3083797317649</v>
      </c>
    </row>
    <row r="12" spans="1:5" x14ac:dyDescent="0.25">
      <c r="B12" s="6">
        <v>6</v>
      </c>
      <c r="C12" s="6">
        <v>2005</v>
      </c>
      <c r="D12" s="6" t="s">
        <v>111</v>
      </c>
      <c r="E12" s="17">
        <v>179.47001626730588</v>
      </c>
    </row>
    <row r="13" spans="1:5" x14ac:dyDescent="0.25">
      <c r="A13" s="6">
        <v>2012</v>
      </c>
      <c r="B13" s="6">
        <v>3</v>
      </c>
      <c r="C13" s="6">
        <v>2009</v>
      </c>
      <c r="D13" s="6" t="s">
        <v>112</v>
      </c>
      <c r="E13" s="17">
        <v>176.92207269381183</v>
      </c>
    </row>
    <row r="14" spans="1:5" x14ac:dyDescent="0.25">
      <c r="B14" s="6">
        <v>4</v>
      </c>
      <c r="C14" s="6">
        <v>2008</v>
      </c>
      <c r="D14" s="6" t="s">
        <v>113</v>
      </c>
      <c r="E14" s="17">
        <v>1411.3554609481762</v>
      </c>
    </row>
    <row r="15" spans="1:5" x14ac:dyDescent="0.25">
      <c r="B15" s="6">
        <v>5</v>
      </c>
      <c r="C15" s="6">
        <v>2007</v>
      </c>
      <c r="D15" s="6" t="s">
        <v>114</v>
      </c>
      <c r="E15" s="17">
        <v>2626.4035134225169</v>
      </c>
    </row>
    <row r="16" spans="1:5" x14ac:dyDescent="0.25">
      <c r="B16" s="6">
        <v>6</v>
      </c>
      <c r="C16" s="6">
        <v>2006</v>
      </c>
      <c r="D16" s="6" t="s">
        <v>115</v>
      </c>
      <c r="E16" s="17">
        <v>72.318952935494821</v>
      </c>
    </row>
    <row r="17" spans="1:5" x14ac:dyDescent="0.25">
      <c r="A17" s="6">
        <v>2013</v>
      </c>
      <c r="B17" s="6">
        <v>3</v>
      </c>
      <c r="C17" s="6">
        <v>2010</v>
      </c>
      <c r="D17" s="6" t="s">
        <v>116</v>
      </c>
      <c r="E17" s="17">
        <v>400.75590451345658</v>
      </c>
    </row>
    <row r="18" spans="1:5" x14ac:dyDescent="0.25">
      <c r="B18" s="6">
        <v>4</v>
      </c>
      <c r="C18" s="6">
        <v>2009</v>
      </c>
      <c r="D18" s="6" t="s">
        <v>117</v>
      </c>
      <c r="E18" s="17">
        <v>2495.8152482962564</v>
      </c>
    </row>
    <row r="19" spans="1:5" x14ac:dyDescent="0.25">
      <c r="B19" s="6">
        <v>5</v>
      </c>
      <c r="C19" s="6">
        <v>2008</v>
      </c>
      <c r="D19" s="6" t="s">
        <v>118</v>
      </c>
      <c r="E19" s="17">
        <v>1486.2444547810755</v>
      </c>
    </row>
    <row r="20" spans="1:5" x14ac:dyDescent="0.25">
      <c r="B20" s="6">
        <v>6</v>
      </c>
      <c r="C20" s="6">
        <v>2007</v>
      </c>
      <c r="D20" s="6" t="s">
        <v>119</v>
      </c>
      <c r="E20" s="17">
        <v>40.184392409211426</v>
      </c>
    </row>
    <row r="21" spans="1:5" x14ac:dyDescent="0.25">
      <c r="A21" s="6">
        <v>2014</v>
      </c>
      <c r="B21" s="6">
        <v>3</v>
      </c>
      <c r="C21" s="6">
        <v>2011</v>
      </c>
      <c r="D21" s="6" t="s">
        <v>120</v>
      </c>
      <c r="E21" s="17">
        <v>30.842105263157894</v>
      </c>
    </row>
    <row r="22" spans="1:5" x14ac:dyDescent="0.25">
      <c r="B22" s="6">
        <v>4</v>
      </c>
      <c r="C22" s="6">
        <v>2010</v>
      </c>
      <c r="D22" s="6" t="s">
        <v>121</v>
      </c>
      <c r="E22" s="17">
        <v>5816.2648276535492</v>
      </c>
    </row>
    <row r="23" spans="1:5" x14ac:dyDescent="0.25">
      <c r="B23" s="6">
        <v>5</v>
      </c>
      <c r="C23" s="6">
        <v>2009</v>
      </c>
      <c r="D23" s="6" t="s">
        <v>122</v>
      </c>
      <c r="E23" s="17">
        <v>7388.9483025746185</v>
      </c>
    </row>
    <row r="24" spans="1:5" x14ac:dyDescent="0.25">
      <c r="B24" s="6">
        <v>6</v>
      </c>
      <c r="C24" s="6">
        <v>2008</v>
      </c>
      <c r="D24" s="6" t="s">
        <v>123</v>
      </c>
      <c r="E24" s="17">
        <v>129.9447645086743</v>
      </c>
    </row>
    <row r="25" spans="1:5" x14ac:dyDescent="0.25">
      <c r="A25" s="6">
        <v>2015</v>
      </c>
      <c r="B25" s="6">
        <v>3</v>
      </c>
      <c r="C25" s="6">
        <v>2012</v>
      </c>
      <c r="D25" s="6" t="s">
        <v>124</v>
      </c>
      <c r="E25" s="17">
        <v>19.136842105263156</v>
      </c>
    </row>
    <row r="26" spans="1:5" x14ac:dyDescent="0.25">
      <c r="B26" s="6">
        <v>4</v>
      </c>
      <c r="C26" s="6">
        <v>2011</v>
      </c>
      <c r="D26" s="6" t="s">
        <v>125</v>
      </c>
      <c r="E26" s="17">
        <v>3350.2609958074904</v>
      </c>
    </row>
    <row r="27" spans="1:5" x14ac:dyDescent="0.25">
      <c r="B27" s="6">
        <v>5</v>
      </c>
      <c r="C27" s="6">
        <v>2010</v>
      </c>
      <c r="D27" s="6" t="s">
        <v>126</v>
      </c>
      <c r="E27" s="17">
        <v>7530.9114601018682</v>
      </c>
    </row>
    <row r="28" spans="1:5" x14ac:dyDescent="0.25">
      <c r="B28" s="6">
        <v>6</v>
      </c>
      <c r="C28" s="6">
        <v>2009</v>
      </c>
      <c r="D28" s="6" t="s">
        <v>127</v>
      </c>
      <c r="E28" s="17">
        <v>97.690701985378183</v>
      </c>
    </row>
    <row r="29" spans="1:5" x14ac:dyDescent="0.25">
      <c r="A29" s="6">
        <v>2016</v>
      </c>
      <c r="B29" s="6">
        <v>3</v>
      </c>
      <c r="C29" s="6">
        <v>2013</v>
      </c>
      <c r="D29" s="6" t="s">
        <v>128</v>
      </c>
      <c r="E29" s="17">
        <v>109</v>
      </c>
    </row>
    <row r="30" spans="1:5" x14ac:dyDescent="0.25">
      <c r="B30" s="6">
        <v>4</v>
      </c>
      <c r="C30" s="6">
        <v>2012</v>
      </c>
      <c r="D30" s="6" t="s">
        <v>129</v>
      </c>
      <c r="E30" s="17">
        <v>1251.3861111111112</v>
      </c>
    </row>
    <row r="31" spans="1:5" x14ac:dyDescent="0.25">
      <c r="B31" s="6">
        <v>5</v>
      </c>
      <c r="C31" s="6">
        <v>2011</v>
      </c>
      <c r="D31" s="6" t="s">
        <v>130</v>
      </c>
      <c r="E31" s="17">
        <v>2613.9068888888887</v>
      </c>
    </row>
    <row r="32" spans="1:5" x14ac:dyDescent="0.25">
      <c r="B32" s="6">
        <v>6</v>
      </c>
      <c r="C32" s="6">
        <v>2010</v>
      </c>
      <c r="D32" s="6" t="s">
        <v>131</v>
      </c>
      <c r="E32" s="17">
        <v>308.70699999999999</v>
      </c>
    </row>
    <row r="33" spans="1:5" x14ac:dyDescent="0.25">
      <c r="A33" s="6">
        <v>2017</v>
      </c>
      <c r="B33" s="6">
        <v>3</v>
      </c>
      <c r="C33" s="6">
        <v>2014</v>
      </c>
      <c r="D33" s="6" t="s">
        <v>132</v>
      </c>
      <c r="E33" s="17">
        <v>8.5</v>
      </c>
    </row>
    <row r="34" spans="1:5" x14ac:dyDescent="0.25">
      <c r="B34" s="6">
        <v>4</v>
      </c>
      <c r="C34" s="6">
        <v>2013</v>
      </c>
      <c r="D34" s="6" t="s">
        <v>133</v>
      </c>
      <c r="E34" s="17">
        <v>1540.0465320538451</v>
      </c>
    </row>
    <row r="35" spans="1:5" x14ac:dyDescent="0.25">
      <c r="B35" s="6">
        <v>5</v>
      </c>
      <c r="C35" s="6">
        <v>2012</v>
      </c>
      <c r="D35" s="6" t="s">
        <v>134</v>
      </c>
      <c r="E35" s="17">
        <v>1940.5082900173263</v>
      </c>
    </row>
    <row r="36" spans="1:5" x14ac:dyDescent="0.25">
      <c r="B36" s="6">
        <v>6</v>
      </c>
      <c r="C36" s="6">
        <v>2011</v>
      </c>
      <c r="D36" s="6" t="s">
        <v>135</v>
      </c>
      <c r="E36" s="17">
        <v>200.94517792882849</v>
      </c>
    </row>
    <row r="37" spans="1:5" x14ac:dyDescent="0.25">
      <c r="A37" s="6">
        <v>2018</v>
      </c>
      <c r="B37" s="6">
        <v>3</v>
      </c>
      <c r="C37" s="6">
        <v>2015</v>
      </c>
      <c r="D37" s="6" t="s">
        <v>136</v>
      </c>
      <c r="E37" s="17">
        <v>0</v>
      </c>
    </row>
    <row r="38" spans="1:5" x14ac:dyDescent="0.25">
      <c r="B38" s="6">
        <v>4</v>
      </c>
      <c r="C38" s="6">
        <v>2014</v>
      </c>
      <c r="D38" s="6" t="s">
        <v>137</v>
      </c>
      <c r="E38" s="17">
        <v>1125.4591301230801</v>
      </c>
    </row>
    <row r="39" spans="1:5" x14ac:dyDescent="0.25">
      <c r="B39" s="6">
        <v>5</v>
      </c>
      <c r="C39" s="6">
        <v>2013</v>
      </c>
      <c r="D39" s="6" t="s">
        <v>138</v>
      </c>
      <c r="E39" s="17">
        <v>1049.9035471248776</v>
      </c>
    </row>
    <row r="40" spans="1:5" x14ac:dyDescent="0.25">
      <c r="B40" s="6">
        <v>6</v>
      </c>
      <c r="C40" s="6">
        <v>2012</v>
      </c>
      <c r="D40" s="6" t="s">
        <v>139</v>
      </c>
      <c r="E40" s="17">
        <v>42.637322752042415</v>
      </c>
    </row>
    <row r="41" spans="1:5" x14ac:dyDescent="0.25">
      <c r="A41" s="6" t="s">
        <v>103</v>
      </c>
      <c r="B41" s="6" t="s">
        <v>103</v>
      </c>
      <c r="C41" s="6" t="s">
        <v>103</v>
      </c>
      <c r="D41" s="6" t="s">
        <v>103</v>
      </c>
      <c r="E41" s="17"/>
    </row>
    <row r="42" spans="1:5" x14ac:dyDescent="0.25">
      <c r="A42" s="6">
        <v>2019</v>
      </c>
      <c r="B42" s="6">
        <v>3</v>
      </c>
      <c r="C42" s="6">
        <v>2016</v>
      </c>
      <c r="D42" s="6" t="s">
        <v>147</v>
      </c>
      <c r="E42" s="17">
        <v>0</v>
      </c>
    </row>
    <row r="43" spans="1:5" x14ac:dyDescent="0.25">
      <c r="B43" s="6">
        <v>4</v>
      </c>
      <c r="C43" s="6">
        <v>2015</v>
      </c>
      <c r="D43" s="6" t="s">
        <v>148</v>
      </c>
      <c r="E43" s="17">
        <v>1284.0487804878051</v>
      </c>
    </row>
    <row r="44" spans="1:5" x14ac:dyDescent="0.25">
      <c r="B44" s="6">
        <v>5</v>
      </c>
      <c r="C44" s="6">
        <v>2014</v>
      </c>
      <c r="D44" s="6" t="s">
        <v>149</v>
      </c>
      <c r="E44" s="17">
        <v>1031.1300813008131</v>
      </c>
    </row>
    <row r="45" spans="1:5" x14ac:dyDescent="0.25">
      <c r="B45" s="6">
        <v>6</v>
      </c>
      <c r="C45" s="6">
        <v>2013</v>
      </c>
      <c r="D45" s="6" t="s">
        <v>150</v>
      </c>
      <c r="E45" s="17">
        <v>77.82113821138212</v>
      </c>
    </row>
    <row r="46" spans="1:5" x14ac:dyDescent="0.25">
      <c r="A46" s="6" t="s">
        <v>8</v>
      </c>
      <c r="E46" s="17">
        <v>1539.7749999999999</v>
      </c>
    </row>
  </sheetData>
  <pageMargins left="0.7" right="0.7" top="0.75" bottom="0.75" header="0.3" footer="0.3"/>
  <pageSetup orientation="portrait" r:id="rId2"/>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2874"/>
  <sheetViews>
    <sheetView zoomScale="90" zoomScaleNormal="90" workbookViewId="0">
      <pane ySplit="7" topLeftCell="A2848" activePane="bottomLeft" state="frozen"/>
      <selection pane="bottomLeft" activeCell="B2854" sqref="B2854"/>
    </sheetView>
  </sheetViews>
  <sheetFormatPr defaultColWidth="9.140625" defaultRowHeight="12.75" x14ac:dyDescent="0.2"/>
  <cols>
    <col min="1" max="2" width="9.140625" style="68"/>
    <col min="3" max="3" width="9.140625" style="69"/>
    <col min="4" max="4" width="9.140625" style="68"/>
    <col min="5" max="5" width="12.140625" style="68" bestFit="1" customWidth="1"/>
    <col min="6" max="9" width="9.140625" style="68"/>
    <col min="10" max="10" width="16" style="68" bestFit="1" customWidth="1"/>
    <col min="11" max="11" width="34.42578125" style="68" bestFit="1" customWidth="1"/>
    <col min="12" max="15" width="9.140625" style="68"/>
    <col min="16" max="16" width="26" style="68" bestFit="1" customWidth="1"/>
    <col min="17" max="16384" width="9.140625" style="68"/>
  </cols>
  <sheetData>
    <row r="1" spans="1:23" x14ac:dyDescent="0.2">
      <c r="A1" s="102" t="s">
        <v>3115</v>
      </c>
      <c r="C1" s="68"/>
    </row>
    <row r="2" spans="1:23" x14ac:dyDescent="0.2">
      <c r="A2" s="102" t="s">
        <v>3114</v>
      </c>
      <c r="C2" s="68"/>
    </row>
    <row r="3" spans="1:23" x14ac:dyDescent="0.2">
      <c r="A3" s="102" t="s">
        <v>3113</v>
      </c>
      <c r="C3" s="68"/>
    </row>
    <row r="4" spans="1:23" x14ac:dyDescent="0.2">
      <c r="A4" s="102" t="s">
        <v>3112</v>
      </c>
      <c r="C4" s="68"/>
    </row>
    <row r="5" spans="1:23" x14ac:dyDescent="0.2">
      <c r="A5" s="102" t="s">
        <v>3111</v>
      </c>
      <c r="C5" s="68"/>
    </row>
    <row r="6" spans="1:23" x14ac:dyDescent="0.2">
      <c r="C6" s="68"/>
    </row>
    <row r="7" spans="1:23" x14ac:dyDescent="0.2">
      <c r="A7" s="102" t="s">
        <v>3110</v>
      </c>
      <c r="B7" s="102" t="s">
        <v>3106</v>
      </c>
      <c r="C7" s="102" t="s">
        <v>3109</v>
      </c>
      <c r="D7" s="102" t="s">
        <v>3108</v>
      </c>
      <c r="E7" s="102" t="s">
        <v>3107</v>
      </c>
      <c r="F7" s="102" t="s">
        <v>3106</v>
      </c>
      <c r="G7" s="102" t="s">
        <v>3105</v>
      </c>
      <c r="H7" s="102" t="s">
        <v>3104</v>
      </c>
      <c r="I7" s="68" t="s">
        <v>3103</v>
      </c>
      <c r="J7" s="68" t="s">
        <v>3102</v>
      </c>
      <c r="K7" s="68" t="s">
        <v>3101</v>
      </c>
      <c r="L7" s="68" t="s">
        <v>3100</v>
      </c>
      <c r="M7" s="68" t="s">
        <v>3099</v>
      </c>
      <c r="N7" s="68" t="s">
        <v>3098</v>
      </c>
      <c r="O7" s="68" t="s">
        <v>3097</v>
      </c>
      <c r="P7" s="68" t="s">
        <v>3096</v>
      </c>
      <c r="U7" s="101" t="s">
        <v>3095</v>
      </c>
      <c r="V7" s="101" t="s">
        <v>3094</v>
      </c>
    </row>
    <row r="8" spans="1:23" ht="15" x14ac:dyDescent="0.25">
      <c r="A8" s="88" t="s">
        <v>2811</v>
      </c>
      <c r="B8" s="88">
        <v>1975</v>
      </c>
      <c r="C8" s="89" t="s">
        <v>3093</v>
      </c>
      <c r="D8" s="88" t="s">
        <v>160</v>
      </c>
      <c r="F8" s="70">
        <f t="shared" ref="F8:F71" si="0">+B8</f>
        <v>1975</v>
      </c>
      <c r="G8" s="70" t="s">
        <v>159</v>
      </c>
      <c r="H8" s="70" t="str">
        <f t="shared" ref="H8:H71" si="1">A8</f>
        <v>ATN</v>
      </c>
      <c r="I8" s="68" t="s">
        <v>2811</v>
      </c>
      <c r="J8" s="68" t="s">
        <v>3092</v>
      </c>
      <c r="K8" s="68" t="s">
        <v>3091</v>
      </c>
      <c r="L8" s="68">
        <v>2</v>
      </c>
      <c r="M8" s="68" t="s">
        <v>3030</v>
      </c>
      <c r="N8" s="68">
        <v>2</v>
      </c>
      <c r="O8" s="68">
        <v>6</v>
      </c>
      <c r="P8" s="68" t="s">
        <v>3029</v>
      </c>
      <c r="U8" s="99">
        <v>1985</v>
      </c>
      <c r="V8" s="68" t="s">
        <v>1560</v>
      </c>
      <c r="W8" s="68" t="s">
        <v>3024</v>
      </c>
    </row>
    <row r="9" spans="1:23" ht="15" x14ac:dyDescent="0.25">
      <c r="A9" s="88" t="s">
        <v>2811</v>
      </c>
      <c r="B9" s="88">
        <v>1976</v>
      </c>
      <c r="C9" s="89" t="s">
        <v>3090</v>
      </c>
      <c r="D9" s="88" t="s">
        <v>160</v>
      </c>
      <c r="F9" s="70">
        <f t="shared" si="0"/>
        <v>1976</v>
      </c>
      <c r="G9" s="70" t="s">
        <v>159</v>
      </c>
      <c r="H9" s="70" t="str">
        <f t="shared" si="1"/>
        <v>ATN</v>
      </c>
      <c r="I9" s="68" t="s">
        <v>2495</v>
      </c>
      <c r="J9" s="68" t="s">
        <v>3089</v>
      </c>
      <c r="K9" s="68" t="s">
        <v>3088</v>
      </c>
      <c r="L9" s="68">
        <v>3</v>
      </c>
      <c r="M9" s="68" t="s">
        <v>3040</v>
      </c>
      <c r="N9" s="68">
        <v>2</v>
      </c>
      <c r="O9" s="68">
        <v>5</v>
      </c>
      <c r="P9" s="68" t="s">
        <v>3056</v>
      </c>
      <c r="U9" s="99">
        <v>1985</v>
      </c>
      <c r="V9" s="68" t="s">
        <v>1559</v>
      </c>
      <c r="W9" s="68" t="s">
        <v>3024</v>
      </c>
    </row>
    <row r="10" spans="1:23" ht="15" x14ac:dyDescent="0.25">
      <c r="A10" s="88" t="s">
        <v>2811</v>
      </c>
      <c r="B10" s="88">
        <v>1976</v>
      </c>
      <c r="C10" s="89" t="s">
        <v>3087</v>
      </c>
      <c r="D10" s="88" t="s">
        <v>160</v>
      </c>
      <c r="F10" s="70">
        <f t="shared" si="0"/>
        <v>1976</v>
      </c>
      <c r="G10" s="70" t="s">
        <v>159</v>
      </c>
      <c r="H10" s="70" t="str">
        <f t="shared" si="1"/>
        <v>ATN</v>
      </c>
      <c r="I10" s="68" t="s">
        <v>3086</v>
      </c>
      <c r="J10" s="68" t="s">
        <v>3085</v>
      </c>
      <c r="K10" s="68" t="s">
        <v>3084</v>
      </c>
      <c r="L10" s="68">
        <v>3</v>
      </c>
      <c r="M10" s="68" t="s">
        <v>3040</v>
      </c>
      <c r="N10" s="68">
        <v>2</v>
      </c>
      <c r="O10" s="68">
        <v>5</v>
      </c>
      <c r="P10" s="68" t="s">
        <v>3056</v>
      </c>
      <c r="Q10" s="68" t="s">
        <v>3028</v>
      </c>
      <c r="U10" s="99">
        <v>1985</v>
      </c>
      <c r="V10" s="68" t="s">
        <v>1562</v>
      </c>
      <c r="W10" s="68" t="s">
        <v>3004</v>
      </c>
    </row>
    <row r="11" spans="1:23" ht="15" x14ac:dyDescent="0.25">
      <c r="A11" s="88" t="s">
        <v>2811</v>
      </c>
      <c r="B11" s="88">
        <v>1976</v>
      </c>
      <c r="C11" s="89" t="s">
        <v>3083</v>
      </c>
      <c r="D11" s="88" t="s">
        <v>160</v>
      </c>
      <c r="F11" s="70">
        <f t="shared" si="0"/>
        <v>1976</v>
      </c>
      <c r="G11" s="70" t="s">
        <v>159</v>
      </c>
      <c r="H11" s="70" t="str">
        <f t="shared" si="1"/>
        <v>ATN</v>
      </c>
      <c r="I11" s="68" t="s">
        <v>3082</v>
      </c>
      <c r="J11" s="68" t="s">
        <v>3081</v>
      </c>
      <c r="K11" s="68" t="s">
        <v>3080</v>
      </c>
      <c r="L11" s="68">
        <v>3</v>
      </c>
      <c r="M11" s="68" t="s">
        <v>3040</v>
      </c>
      <c r="N11" s="68">
        <v>2</v>
      </c>
      <c r="O11" s="68">
        <v>5</v>
      </c>
      <c r="P11" s="68" t="s">
        <v>3079</v>
      </c>
      <c r="U11" s="98">
        <v>1985</v>
      </c>
      <c r="V11" s="68" t="s">
        <v>1561</v>
      </c>
      <c r="W11" s="68" t="s">
        <v>3004</v>
      </c>
    </row>
    <row r="12" spans="1:23" ht="15" x14ac:dyDescent="0.25">
      <c r="A12" s="88" t="s">
        <v>2811</v>
      </c>
      <c r="B12" s="88">
        <v>1977</v>
      </c>
      <c r="C12" s="89" t="s">
        <v>3078</v>
      </c>
      <c r="D12" s="88" t="s">
        <v>160</v>
      </c>
      <c r="F12" s="70">
        <f t="shared" si="0"/>
        <v>1977</v>
      </c>
      <c r="G12" s="70" t="s">
        <v>159</v>
      </c>
      <c r="H12" s="70" t="str">
        <f t="shared" si="1"/>
        <v>ATN</v>
      </c>
      <c r="I12" s="68" t="s">
        <v>2390</v>
      </c>
      <c r="J12" s="68" t="s">
        <v>3077</v>
      </c>
      <c r="K12" s="68" t="s">
        <v>3076</v>
      </c>
      <c r="L12" s="68">
        <v>3</v>
      </c>
      <c r="M12" s="68" t="s">
        <v>3040</v>
      </c>
      <c r="N12" s="68">
        <v>2</v>
      </c>
      <c r="O12" s="68">
        <v>5</v>
      </c>
      <c r="P12" s="68" t="s">
        <v>3056</v>
      </c>
      <c r="U12" s="99">
        <v>1986</v>
      </c>
      <c r="V12" s="68" t="s">
        <v>1558</v>
      </c>
      <c r="W12" s="68" t="s">
        <v>3024</v>
      </c>
    </row>
    <row r="13" spans="1:23" ht="15" x14ac:dyDescent="0.25">
      <c r="A13" s="88" t="s">
        <v>2811</v>
      </c>
      <c r="B13" s="88">
        <v>1977</v>
      </c>
      <c r="C13" s="89" t="s">
        <v>3075</v>
      </c>
      <c r="D13" s="88" t="s">
        <v>160</v>
      </c>
      <c r="F13" s="70">
        <f t="shared" si="0"/>
        <v>1977</v>
      </c>
      <c r="G13" s="70" t="s">
        <v>159</v>
      </c>
      <c r="H13" s="70" t="str">
        <f t="shared" si="1"/>
        <v>ATN</v>
      </c>
      <c r="I13" s="68" t="s">
        <v>168</v>
      </c>
      <c r="J13" s="68" t="s">
        <v>3074</v>
      </c>
      <c r="K13" s="68" t="s">
        <v>3073</v>
      </c>
      <c r="L13" s="68">
        <v>1</v>
      </c>
      <c r="M13" s="68" t="s">
        <v>3052</v>
      </c>
      <c r="N13" s="68">
        <v>3</v>
      </c>
      <c r="O13" s="68">
        <v>6</v>
      </c>
      <c r="P13" s="68" t="s">
        <v>3035</v>
      </c>
      <c r="Q13" s="68" t="s">
        <v>3028</v>
      </c>
      <c r="U13" s="98">
        <v>1986</v>
      </c>
      <c r="V13" s="68" t="s">
        <v>1557</v>
      </c>
      <c r="W13" s="68" t="s">
        <v>3004</v>
      </c>
    </row>
    <row r="14" spans="1:23" ht="15" x14ac:dyDescent="0.25">
      <c r="A14" s="88" t="s">
        <v>2811</v>
      </c>
      <c r="B14" s="88">
        <v>1977</v>
      </c>
      <c r="C14" s="89" t="s">
        <v>3072</v>
      </c>
      <c r="D14" s="88" t="s">
        <v>160</v>
      </c>
      <c r="F14" s="70">
        <f t="shared" si="0"/>
        <v>1977</v>
      </c>
      <c r="G14" s="70" t="s">
        <v>159</v>
      </c>
      <c r="H14" s="70" t="str">
        <f t="shared" si="1"/>
        <v>ATN</v>
      </c>
      <c r="I14" s="68" t="s">
        <v>2064</v>
      </c>
      <c r="J14" s="68" t="s">
        <v>3071</v>
      </c>
      <c r="K14" s="68" t="s">
        <v>3070</v>
      </c>
      <c r="L14" s="68">
        <v>3</v>
      </c>
      <c r="M14" s="68" t="s">
        <v>3040</v>
      </c>
      <c r="N14" s="68">
        <v>2</v>
      </c>
      <c r="O14" s="68">
        <v>5</v>
      </c>
      <c r="P14" s="68" t="s">
        <v>3035</v>
      </c>
      <c r="U14" s="99">
        <v>1987</v>
      </c>
      <c r="V14" s="68" t="s">
        <v>1556</v>
      </c>
      <c r="W14" s="68" t="s">
        <v>3024</v>
      </c>
    </row>
    <row r="15" spans="1:23" ht="15" x14ac:dyDescent="0.25">
      <c r="A15" s="88" t="s">
        <v>2811</v>
      </c>
      <c r="B15" s="88">
        <v>1978</v>
      </c>
      <c r="C15" s="89" t="s">
        <v>3069</v>
      </c>
      <c r="D15" s="88" t="s">
        <v>160</v>
      </c>
      <c r="F15" s="70">
        <f t="shared" si="0"/>
        <v>1978</v>
      </c>
      <c r="G15" s="70" t="s">
        <v>159</v>
      </c>
      <c r="H15" s="70" t="str">
        <f t="shared" si="1"/>
        <v>ATN</v>
      </c>
      <c r="I15" s="68" t="s">
        <v>2018</v>
      </c>
      <c r="J15" s="68" t="s">
        <v>3068</v>
      </c>
      <c r="K15" s="68" t="s">
        <v>3067</v>
      </c>
      <c r="L15" s="68">
        <v>1</v>
      </c>
      <c r="M15" s="68" t="s">
        <v>3052</v>
      </c>
      <c r="N15" s="68">
        <v>3</v>
      </c>
      <c r="O15" s="68">
        <v>6</v>
      </c>
      <c r="P15" s="68" t="s">
        <v>3056</v>
      </c>
      <c r="U15" s="99">
        <v>1987</v>
      </c>
      <c r="V15" s="68" t="s">
        <v>1555</v>
      </c>
      <c r="W15" s="68" t="s">
        <v>3024</v>
      </c>
    </row>
    <row r="16" spans="1:23" ht="15" x14ac:dyDescent="0.25">
      <c r="A16" s="88" t="s">
        <v>2811</v>
      </c>
      <c r="B16" s="88">
        <v>1986</v>
      </c>
      <c r="C16" s="89" t="s">
        <v>3066</v>
      </c>
      <c r="D16" s="88" t="s">
        <v>160</v>
      </c>
      <c r="F16" s="70">
        <f t="shared" si="0"/>
        <v>1986</v>
      </c>
      <c r="G16" s="70" t="s">
        <v>159</v>
      </c>
      <c r="H16" s="70" t="str">
        <f t="shared" si="1"/>
        <v>ATN</v>
      </c>
      <c r="I16" s="68" t="s">
        <v>1622</v>
      </c>
      <c r="J16" s="68" t="s">
        <v>3065</v>
      </c>
      <c r="K16" s="68" t="s">
        <v>3064</v>
      </c>
      <c r="L16" s="68">
        <v>2</v>
      </c>
      <c r="M16" s="68" t="s">
        <v>3030</v>
      </c>
      <c r="N16" s="68">
        <v>2</v>
      </c>
      <c r="O16" s="68">
        <v>6</v>
      </c>
      <c r="P16" s="68" t="s">
        <v>3029</v>
      </c>
      <c r="U16" s="99">
        <v>1987</v>
      </c>
      <c r="V16" s="68" t="s">
        <v>1554</v>
      </c>
      <c r="W16" s="68" t="s">
        <v>3004</v>
      </c>
    </row>
    <row r="17" spans="1:23" ht="15" x14ac:dyDescent="0.25">
      <c r="A17" s="88" t="s">
        <v>2811</v>
      </c>
      <c r="B17" s="88">
        <v>1986</v>
      </c>
      <c r="C17" s="89" t="s">
        <v>3063</v>
      </c>
      <c r="D17" s="88" t="s">
        <v>160</v>
      </c>
      <c r="F17" s="70">
        <f t="shared" si="0"/>
        <v>1986</v>
      </c>
      <c r="G17" s="70" t="s">
        <v>159</v>
      </c>
      <c r="H17" s="70" t="str">
        <f t="shared" si="1"/>
        <v>ATN</v>
      </c>
      <c r="I17" s="68" t="s">
        <v>1857</v>
      </c>
      <c r="J17" s="68" t="s">
        <v>3062</v>
      </c>
      <c r="K17" s="68" t="s">
        <v>3061</v>
      </c>
      <c r="L17" s="68">
        <v>1</v>
      </c>
      <c r="M17" s="68" t="s">
        <v>3052</v>
      </c>
      <c r="N17" s="68">
        <v>3</v>
      </c>
      <c r="O17" s="68">
        <v>6</v>
      </c>
      <c r="P17" s="68" t="s">
        <v>3060</v>
      </c>
      <c r="Q17" s="68" t="s">
        <v>3028</v>
      </c>
      <c r="U17" s="98">
        <v>1987</v>
      </c>
      <c r="V17" s="68" t="s">
        <v>1553</v>
      </c>
      <c r="W17" s="68" t="s">
        <v>3004</v>
      </c>
    </row>
    <row r="18" spans="1:23" ht="15" x14ac:dyDescent="0.25">
      <c r="A18" s="88" t="s">
        <v>2811</v>
      </c>
      <c r="B18" s="88">
        <v>1986</v>
      </c>
      <c r="C18" s="89" t="s">
        <v>3059</v>
      </c>
      <c r="D18" s="88" t="s">
        <v>160</v>
      </c>
      <c r="F18" s="70">
        <f t="shared" si="0"/>
        <v>1986</v>
      </c>
      <c r="G18" s="70" t="s">
        <v>159</v>
      </c>
      <c r="H18" s="70" t="str">
        <f t="shared" si="1"/>
        <v>ATN</v>
      </c>
      <c r="I18" s="68" t="s">
        <v>1416</v>
      </c>
      <c r="J18" s="68" t="s">
        <v>3058</v>
      </c>
      <c r="K18" s="68" t="s">
        <v>3057</v>
      </c>
      <c r="L18" s="68">
        <v>3</v>
      </c>
      <c r="M18" s="68" t="s">
        <v>3040</v>
      </c>
      <c r="N18" s="68">
        <v>2</v>
      </c>
      <c r="O18" s="68">
        <v>5</v>
      </c>
      <c r="P18" s="68" t="s">
        <v>3056</v>
      </c>
      <c r="U18" s="99">
        <v>1988</v>
      </c>
      <c r="V18" s="68" t="s">
        <v>1552</v>
      </c>
      <c r="W18" s="68" t="s">
        <v>3024</v>
      </c>
    </row>
    <row r="19" spans="1:23" ht="15" x14ac:dyDescent="0.25">
      <c r="A19" s="88" t="s">
        <v>2811</v>
      </c>
      <c r="B19" s="88">
        <v>1986</v>
      </c>
      <c r="C19" s="89" t="s">
        <v>3055</v>
      </c>
      <c r="D19" s="88" t="s">
        <v>160</v>
      </c>
      <c r="F19" s="70">
        <f t="shared" si="0"/>
        <v>1986</v>
      </c>
      <c r="G19" s="70" t="s">
        <v>159</v>
      </c>
      <c r="H19" s="70" t="str">
        <f t="shared" si="1"/>
        <v>ATN</v>
      </c>
      <c r="I19" s="68" t="s">
        <v>164</v>
      </c>
      <c r="J19" s="68" t="s">
        <v>3054</v>
      </c>
      <c r="K19" s="68" t="s">
        <v>3053</v>
      </c>
      <c r="L19" s="68">
        <v>1</v>
      </c>
      <c r="M19" s="68" t="s">
        <v>3052</v>
      </c>
      <c r="N19" s="68">
        <v>2</v>
      </c>
      <c r="O19" s="68">
        <v>5</v>
      </c>
      <c r="P19" s="68" t="s">
        <v>3035</v>
      </c>
      <c r="U19" s="99">
        <v>1988</v>
      </c>
      <c r="V19" s="68" t="s">
        <v>1551</v>
      </c>
      <c r="W19" s="68" t="s">
        <v>3024</v>
      </c>
    </row>
    <row r="20" spans="1:23" ht="15" x14ac:dyDescent="0.25">
      <c r="A20" s="88" t="s">
        <v>2811</v>
      </c>
      <c r="B20" s="88">
        <v>1986</v>
      </c>
      <c r="C20" s="89" t="s">
        <v>3051</v>
      </c>
      <c r="D20" s="88" t="s">
        <v>160</v>
      </c>
      <c r="F20" s="70">
        <f t="shared" si="0"/>
        <v>1986</v>
      </c>
      <c r="G20" s="70" t="s">
        <v>159</v>
      </c>
      <c r="H20" s="70" t="str">
        <f t="shared" si="1"/>
        <v>ATN</v>
      </c>
      <c r="I20" s="68" t="s">
        <v>1152</v>
      </c>
      <c r="J20" s="68" t="s">
        <v>3050</v>
      </c>
      <c r="K20" s="68" t="s">
        <v>3049</v>
      </c>
      <c r="L20" s="68">
        <v>2</v>
      </c>
      <c r="M20" s="68" t="s">
        <v>3030</v>
      </c>
      <c r="N20" s="68">
        <v>2</v>
      </c>
      <c r="O20" s="68">
        <v>5</v>
      </c>
      <c r="P20" s="68" t="s">
        <v>3044</v>
      </c>
      <c r="U20" s="99">
        <v>1988</v>
      </c>
      <c r="V20" s="68" t="s">
        <v>1550</v>
      </c>
      <c r="W20" s="68" t="s">
        <v>3004</v>
      </c>
    </row>
    <row r="21" spans="1:23" ht="15" x14ac:dyDescent="0.25">
      <c r="A21" s="88" t="s">
        <v>2811</v>
      </c>
      <c r="B21" s="88">
        <v>1986</v>
      </c>
      <c r="C21" s="89" t="s">
        <v>3048</v>
      </c>
      <c r="D21" s="88" t="s">
        <v>160</v>
      </c>
      <c r="F21" s="70">
        <f t="shared" si="0"/>
        <v>1986</v>
      </c>
      <c r="G21" s="70" t="s">
        <v>159</v>
      </c>
      <c r="H21" s="70" t="str">
        <f t="shared" si="1"/>
        <v>ATN</v>
      </c>
      <c r="I21" s="68" t="s">
        <v>817</v>
      </c>
      <c r="J21" s="68" t="s">
        <v>3046</v>
      </c>
      <c r="K21" s="68" t="s">
        <v>3045</v>
      </c>
      <c r="L21" s="68">
        <v>3</v>
      </c>
      <c r="M21" s="68" t="s">
        <v>3040</v>
      </c>
      <c r="N21" s="68">
        <v>2</v>
      </c>
      <c r="O21" s="68">
        <v>5</v>
      </c>
      <c r="P21" s="68" t="s">
        <v>3035</v>
      </c>
      <c r="U21" s="98">
        <v>1988</v>
      </c>
      <c r="V21" s="68" t="s">
        <v>1549</v>
      </c>
      <c r="W21" s="68" t="s">
        <v>3004</v>
      </c>
    </row>
    <row r="22" spans="1:23" ht="15" x14ac:dyDescent="0.25">
      <c r="A22" s="88" t="s">
        <v>2811</v>
      </c>
      <c r="B22" s="88">
        <v>1986</v>
      </c>
      <c r="C22" s="89" t="s">
        <v>3047</v>
      </c>
      <c r="D22" s="88" t="s">
        <v>160</v>
      </c>
      <c r="F22" s="70">
        <f t="shared" si="0"/>
        <v>1986</v>
      </c>
      <c r="G22" s="70" t="s">
        <v>159</v>
      </c>
      <c r="H22" s="70" t="str">
        <f t="shared" si="1"/>
        <v>ATN</v>
      </c>
      <c r="I22" s="68" t="s">
        <v>817</v>
      </c>
      <c r="J22" s="68" t="s">
        <v>3046</v>
      </c>
      <c r="K22" s="68" t="s">
        <v>3045</v>
      </c>
      <c r="L22" s="68">
        <v>3</v>
      </c>
      <c r="M22" s="68" t="s">
        <v>3040</v>
      </c>
      <c r="N22" s="68">
        <v>2</v>
      </c>
      <c r="O22" s="68">
        <v>5</v>
      </c>
      <c r="P22" s="68" t="s">
        <v>3044</v>
      </c>
      <c r="U22" s="99">
        <v>1989</v>
      </c>
      <c r="V22" s="100" t="s">
        <v>1548</v>
      </c>
      <c r="W22" s="68" t="s">
        <v>3024</v>
      </c>
    </row>
    <row r="23" spans="1:23" ht="15" x14ac:dyDescent="0.25">
      <c r="A23" s="88" t="s">
        <v>2811</v>
      </c>
      <c r="B23" s="88">
        <v>1986</v>
      </c>
      <c r="C23" s="89" t="s">
        <v>3043</v>
      </c>
      <c r="D23" s="88" t="s">
        <v>160</v>
      </c>
      <c r="F23" s="70">
        <f t="shared" si="0"/>
        <v>1986</v>
      </c>
      <c r="G23" s="70" t="s">
        <v>159</v>
      </c>
      <c r="H23" s="70" t="str">
        <f t="shared" si="1"/>
        <v>ATN</v>
      </c>
      <c r="I23" s="68" t="s">
        <v>212</v>
      </c>
      <c r="J23" s="68" t="s">
        <v>3042</v>
      </c>
      <c r="K23" s="68" t="s">
        <v>3041</v>
      </c>
      <c r="L23" s="68">
        <v>3</v>
      </c>
      <c r="M23" s="68" t="s">
        <v>3040</v>
      </c>
      <c r="N23" s="68">
        <v>2</v>
      </c>
      <c r="O23" s="68">
        <v>5</v>
      </c>
      <c r="P23" s="68" t="s">
        <v>3039</v>
      </c>
      <c r="U23" s="99">
        <v>1989</v>
      </c>
      <c r="V23" s="100" t="s">
        <v>1547</v>
      </c>
      <c r="W23" s="68" t="s">
        <v>3024</v>
      </c>
    </row>
    <row r="24" spans="1:23" ht="15" x14ac:dyDescent="0.25">
      <c r="A24" s="88" t="s">
        <v>2811</v>
      </c>
      <c r="B24" s="88">
        <v>1987</v>
      </c>
      <c r="C24" s="89" t="s">
        <v>3038</v>
      </c>
      <c r="D24" s="88" t="s">
        <v>160</v>
      </c>
      <c r="F24" s="70">
        <f t="shared" si="0"/>
        <v>1987</v>
      </c>
      <c r="G24" s="70" t="s">
        <v>159</v>
      </c>
      <c r="H24" s="70" t="str">
        <f t="shared" si="1"/>
        <v>ATN</v>
      </c>
      <c r="I24" s="68" t="s">
        <v>162</v>
      </c>
      <c r="J24" s="68" t="s">
        <v>3037</v>
      </c>
      <c r="K24" s="68" t="s">
        <v>3036</v>
      </c>
      <c r="L24" s="68">
        <v>2</v>
      </c>
      <c r="M24" s="68" t="s">
        <v>3030</v>
      </c>
      <c r="N24" s="68">
        <v>2</v>
      </c>
      <c r="O24" s="68">
        <v>5</v>
      </c>
      <c r="P24" s="68" t="s">
        <v>3035</v>
      </c>
      <c r="U24" s="99">
        <v>1989</v>
      </c>
      <c r="V24" s="68" t="s">
        <v>1546</v>
      </c>
      <c r="W24" s="68" t="s">
        <v>3004</v>
      </c>
    </row>
    <row r="25" spans="1:23" ht="15" x14ac:dyDescent="0.25">
      <c r="A25" s="88" t="s">
        <v>2811</v>
      </c>
      <c r="B25" s="88">
        <v>1987</v>
      </c>
      <c r="C25" s="89" t="s">
        <v>3034</v>
      </c>
      <c r="D25" s="88" t="s">
        <v>160</v>
      </c>
      <c r="F25" s="70">
        <f t="shared" si="0"/>
        <v>1987</v>
      </c>
      <c r="G25" s="70" t="s">
        <v>159</v>
      </c>
      <c r="H25" s="70" t="str">
        <f t="shared" si="1"/>
        <v>ATN</v>
      </c>
      <c r="I25" s="68" t="s">
        <v>3033</v>
      </c>
      <c r="J25" s="68" t="s">
        <v>3032</v>
      </c>
      <c r="K25" s="68" t="s">
        <v>3031</v>
      </c>
      <c r="L25" s="68">
        <v>3</v>
      </c>
      <c r="M25" s="68" t="s">
        <v>3030</v>
      </c>
      <c r="N25" s="68">
        <v>2</v>
      </c>
      <c r="O25" s="68">
        <v>6</v>
      </c>
      <c r="P25" s="68" t="s">
        <v>3029</v>
      </c>
      <c r="Q25" s="68" t="s">
        <v>3028</v>
      </c>
      <c r="U25" s="98">
        <v>1989</v>
      </c>
      <c r="V25" s="68" t="s">
        <v>1545</v>
      </c>
      <c r="W25" s="68" t="s">
        <v>3004</v>
      </c>
    </row>
    <row r="26" spans="1:23" ht="15" x14ac:dyDescent="0.25">
      <c r="A26" s="88" t="s">
        <v>2811</v>
      </c>
      <c r="B26" s="88">
        <v>1987</v>
      </c>
      <c r="C26" s="89" t="s">
        <v>3027</v>
      </c>
      <c r="D26" s="88" t="s">
        <v>160</v>
      </c>
      <c r="F26" s="70">
        <f t="shared" si="0"/>
        <v>1987</v>
      </c>
      <c r="G26" s="70" t="s">
        <v>159</v>
      </c>
      <c r="H26" s="70" t="str">
        <f t="shared" si="1"/>
        <v>ATN</v>
      </c>
      <c r="U26" s="99">
        <v>1990</v>
      </c>
      <c r="V26" s="100" t="s">
        <v>1544</v>
      </c>
      <c r="W26" s="68" t="s">
        <v>3024</v>
      </c>
    </row>
    <row r="27" spans="1:23" ht="15" x14ac:dyDescent="0.25">
      <c r="A27" s="88" t="s">
        <v>2811</v>
      </c>
      <c r="B27" s="88">
        <v>1987</v>
      </c>
      <c r="C27" s="89" t="s">
        <v>3026</v>
      </c>
      <c r="D27" s="88" t="s">
        <v>160</v>
      </c>
      <c r="F27" s="70">
        <f t="shared" si="0"/>
        <v>1987</v>
      </c>
      <c r="G27" s="70" t="s">
        <v>159</v>
      </c>
      <c r="H27" s="70" t="str">
        <f t="shared" si="1"/>
        <v>ATN</v>
      </c>
      <c r="U27" s="98">
        <v>1990</v>
      </c>
      <c r="V27" s="68" t="s">
        <v>1543</v>
      </c>
      <c r="W27" s="68" t="s">
        <v>3004</v>
      </c>
    </row>
    <row r="28" spans="1:23" ht="15" x14ac:dyDescent="0.25">
      <c r="A28" s="88" t="s">
        <v>2811</v>
      </c>
      <c r="B28" s="88">
        <v>1988</v>
      </c>
      <c r="C28" s="89" t="s">
        <v>3025</v>
      </c>
      <c r="D28" s="88" t="s">
        <v>160</v>
      </c>
      <c r="F28" s="70">
        <f t="shared" si="0"/>
        <v>1988</v>
      </c>
      <c r="G28" s="70" t="s">
        <v>159</v>
      </c>
      <c r="H28" s="70" t="str">
        <f t="shared" si="1"/>
        <v>ATN</v>
      </c>
      <c r="U28" s="99">
        <v>1991</v>
      </c>
      <c r="V28" s="100" t="s">
        <v>1542</v>
      </c>
      <c r="W28" s="68" t="s">
        <v>3024</v>
      </c>
    </row>
    <row r="29" spans="1:23" ht="15" x14ac:dyDescent="0.25">
      <c r="A29" s="88" t="s">
        <v>2811</v>
      </c>
      <c r="B29" s="88">
        <v>1988</v>
      </c>
      <c r="C29" s="89" t="s">
        <v>3023</v>
      </c>
      <c r="D29" s="88" t="s">
        <v>160</v>
      </c>
      <c r="F29" s="70">
        <f t="shared" si="0"/>
        <v>1988</v>
      </c>
      <c r="G29" s="70" t="s">
        <v>159</v>
      </c>
      <c r="H29" s="70" t="str">
        <f t="shared" si="1"/>
        <v>ATN</v>
      </c>
      <c r="U29" s="98">
        <v>1991</v>
      </c>
      <c r="V29" s="68" t="s">
        <v>1541</v>
      </c>
      <c r="W29" s="68" t="s">
        <v>3004</v>
      </c>
    </row>
    <row r="30" spans="1:23" ht="15" x14ac:dyDescent="0.25">
      <c r="A30" s="88" t="s">
        <v>2811</v>
      </c>
      <c r="B30" s="88">
        <v>1988</v>
      </c>
      <c r="C30" s="89" t="s">
        <v>3022</v>
      </c>
      <c r="D30" s="88" t="s">
        <v>160</v>
      </c>
      <c r="F30" s="70">
        <f t="shared" si="0"/>
        <v>1988</v>
      </c>
      <c r="G30" s="70" t="s">
        <v>159</v>
      </c>
      <c r="H30" s="70" t="str">
        <f t="shared" si="1"/>
        <v>ATN</v>
      </c>
      <c r="U30" s="98">
        <v>1992</v>
      </c>
      <c r="V30" s="68" t="s">
        <v>1540</v>
      </c>
      <c r="W30" s="68" t="s">
        <v>3004</v>
      </c>
    </row>
    <row r="31" spans="1:23" ht="15" x14ac:dyDescent="0.25">
      <c r="A31" s="88" t="s">
        <v>2811</v>
      </c>
      <c r="B31" s="88">
        <v>1988</v>
      </c>
      <c r="C31" s="89" t="s">
        <v>3021</v>
      </c>
      <c r="D31" s="88" t="s">
        <v>160</v>
      </c>
      <c r="F31" s="70">
        <f t="shared" si="0"/>
        <v>1988</v>
      </c>
      <c r="G31" s="70" t="s">
        <v>159</v>
      </c>
      <c r="H31" s="70" t="str">
        <f t="shared" si="1"/>
        <v>ATN</v>
      </c>
      <c r="U31" s="98">
        <v>1993</v>
      </c>
      <c r="V31" s="68" t="s">
        <v>1539</v>
      </c>
      <c r="W31" s="68" t="s">
        <v>3004</v>
      </c>
    </row>
    <row r="32" spans="1:23" ht="15" x14ac:dyDescent="0.25">
      <c r="A32" s="88" t="s">
        <v>2811</v>
      </c>
      <c r="B32" s="88">
        <v>1988</v>
      </c>
      <c r="C32" s="89" t="s">
        <v>3020</v>
      </c>
      <c r="D32" s="88" t="s">
        <v>160</v>
      </c>
      <c r="F32" s="70">
        <f t="shared" si="0"/>
        <v>1988</v>
      </c>
      <c r="G32" s="70" t="s">
        <v>159</v>
      </c>
      <c r="H32" s="70" t="str">
        <f t="shared" si="1"/>
        <v>ATN</v>
      </c>
      <c r="U32" s="98">
        <v>1994</v>
      </c>
      <c r="V32" s="68" t="s">
        <v>1538</v>
      </c>
      <c r="W32" s="68" t="s">
        <v>3004</v>
      </c>
    </row>
    <row r="33" spans="1:23" ht="15" x14ac:dyDescent="0.25">
      <c r="A33" s="88" t="s">
        <v>2811</v>
      </c>
      <c r="B33" s="88">
        <v>1988</v>
      </c>
      <c r="C33" s="89" t="s">
        <v>3019</v>
      </c>
      <c r="D33" s="88" t="s">
        <v>160</v>
      </c>
      <c r="F33" s="70">
        <f t="shared" si="0"/>
        <v>1988</v>
      </c>
      <c r="G33" s="70" t="s">
        <v>159</v>
      </c>
      <c r="H33" s="70" t="str">
        <f t="shared" si="1"/>
        <v>ATN</v>
      </c>
      <c r="U33" s="98">
        <v>1995</v>
      </c>
      <c r="V33" s="68" t="s">
        <v>1537</v>
      </c>
      <c r="W33" s="68" t="s">
        <v>3004</v>
      </c>
    </row>
    <row r="34" spans="1:23" ht="15" x14ac:dyDescent="0.25">
      <c r="A34" s="88" t="s">
        <v>2811</v>
      </c>
      <c r="B34" s="88">
        <v>1989</v>
      </c>
      <c r="C34" s="89" t="s">
        <v>3018</v>
      </c>
      <c r="D34" s="88" t="s">
        <v>160</v>
      </c>
      <c r="F34" s="70">
        <f t="shared" si="0"/>
        <v>1989</v>
      </c>
      <c r="G34" s="70" t="s">
        <v>159</v>
      </c>
      <c r="H34" s="70" t="str">
        <f t="shared" si="1"/>
        <v>ATN</v>
      </c>
      <c r="U34" s="98">
        <v>1996</v>
      </c>
      <c r="V34" s="68" t="s">
        <v>1536</v>
      </c>
      <c r="W34" s="68" t="s">
        <v>3004</v>
      </c>
    </row>
    <row r="35" spans="1:23" ht="15" x14ac:dyDescent="0.25">
      <c r="A35" s="88" t="s">
        <v>2811</v>
      </c>
      <c r="B35" s="88">
        <v>1989</v>
      </c>
      <c r="C35" s="89" t="s">
        <v>3017</v>
      </c>
      <c r="D35" s="88" t="s">
        <v>160</v>
      </c>
      <c r="F35" s="70">
        <f t="shared" si="0"/>
        <v>1989</v>
      </c>
      <c r="G35" s="70" t="s">
        <v>159</v>
      </c>
      <c r="H35" s="70" t="str">
        <f t="shared" si="1"/>
        <v>ATN</v>
      </c>
      <c r="U35" s="98">
        <v>1997</v>
      </c>
      <c r="V35" s="68" t="s">
        <v>1535</v>
      </c>
      <c r="W35" s="68" t="s">
        <v>3004</v>
      </c>
    </row>
    <row r="36" spans="1:23" ht="15" x14ac:dyDescent="0.25">
      <c r="A36" s="88" t="s">
        <v>2811</v>
      </c>
      <c r="B36" s="88">
        <v>1989</v>
      </c>
      <c r="C36" s="89" t="s">
        <v>3016</v>
      </c>
      <c r="D36" s="88" t="s">
        <v>160</v>
      </c>
      <c r="F36" s="70">
        <f t="shared" si="0"/>
        <v>1989</v>
      </c>
      <c r="G36" s="70" t="s">
        <v>159</v>
      </c>
      <c r="H36" s="70" t="str">
        <f t="shared" si="1"/>
        <v>ATN</v>
      </c>
      <c r="U36" s="99">
        <v>1998</v>
      </c>
      <c r="V36" s="68" t="s">
        <v>1534</v>
      </c>
      <c r="W36" s="68" t="s">
        <v>3004</v>
      </c>
    </row>
    <row r="37" spans="1:23" ht="15" x14ac:dyDescent="0.25">
      <c r="A37" s="88" t="s">
        <v>2811</v>
      </c>
      <c r="B37" s="88">
        <v>1989</v>
      </c>
      <c r="C37" s="89" t="s">
        <v>3015</v>
      </c>
      <c r="D37" s="88" t="s">
        <v>160</v>
      </c>
      <c r="F37" s="70">
        <f t="shared" si="0"/>
        <v>1989</v>
      </c>
      <c r="G37" s="70" t="s">
        <v>159</v>
      </c>
      <c r="H37" s="70" t="str">
        <f t="shared" si="1"/>
        <v>ATN</v>
      </c>
      <c r="U37" s="99">
        <v>1998</v>
      </c>
      <c r="V37" s="68" t="s">
        <v>1533</v>
      </c>
      <c r="W37" s="68" t="s">
        <v>3004</v>
      </c>
    </row>
    <row r="38" spans="1:23" ht="15" x14ac:dyDescent="0.25">
      <c r="A38" s="88" t="s">
        <v>2811</v>
      </c>
      <c r="B38" s="88">
        <v>1989</v>
      </c>
      <c r="C38" s="89" t="s">
        <v>3014</v>
      </c>
      <c r="D38" s="88" t="s">
        <v>160</v>
      </c>
      <c r="F38" s="70">
        <f t="shared" si="0"/>
        <v>1989</v>
      </c>
      <c r="G38" s="70" t="s">
        <v>159</v>
      </c>
      <c r="H38" s="70" t="str">
        <f t="shared" si="1"/>
        <v>ATN</v>
      </c>
      <c r="U38" s="98">
        <v>1998</v>
      </c>
      <c r="V38" s="68" t="s">
        <v>1532</v>
      </c>
      <c r="W38" s="68" t="s">
        <v>3004</v>
      </c>
    </row>
    <row r="39" spans="1:23" ht="15" x14ac:dyDescent="0.25">
      <c r="A39" s="88" t="s">
        <v>2811</v>
      </c>
      <c r="B39" s="88">
        <v>1989</v>
      </c>
      <c r="C39" s="89" t="s">
        <v>3013</v>
      </c>
      <c r="D39" s="88" t="s">
        <v>160</v>
      </c>
      <c r="F39" s="70">
        <f t="shared" si="0"/>
        <v>1989</v>
      </c>
      <c r="G39" s="70" t="s">
        <v>159</v>
      </c>
      <c r="H39" s="70" t="str">
        <f t="shared" si="1"/>
        <v>ATN</v>
      </c>
      <c r="U39" s="99">
        <v>1999</v>
      </c>
      <c r="V39" s="68" t="s">
        <v>1531</v>
      </c>
      <c r="W39" s="68" t="s">
        <v>3004</v>
      </c>
    </row>
    <row r="40" spans="1:23" ht="15" x14ac:dyDescent="0.25">
      <c r="A40" s="88" t="s">
        <v>2811</v>
      </c>
      <c r="B40" s="88">
        <v>1990</v>
      </c>
      <c r="C40" s="89" t="s">
        <v>3012</v>
      </c>
      <c r="D40" s="88" t="s">
        <v>160</v>
      </c>
      <c r="F40" s="70">
        <f t="shared" si="0"/>
        <v>1990</v>
      </c>
      <c r="G40" s="70" t="s">
        <v>159</v>
      </c>
      <c r="H40" s="70" t="str">
        <f t="shared" si="1"/>
        <v>ATN</v>
      </c>
      <c r="U40" s="99">
        <v>1999</v>
      </c>
      <c r="V40" s="68" t="s">
        <v>1530</v>
      </c>
      <c r="W40" s="68" t="s">
        <v>3004</v>
      </c>
    </row>
    <row r="41" spans="1:23" ht="15" x14ac:dyDescent="0.25">
      <c r="A41" s="88" t="s">
        <v>2811</v>
      </c>
      <c r="B41" s="88">
        <v>1990</v>
      </c>
      <c r="C41" s="89" t="s">
        <v>3011</v>
      </c>
      <c r="D41" s="88" t="s">
        <v>160</v>
      </c>
      <c r="F41" s="70">
        <f t="shared" si="0"/>
        <v>1990</v>
      </c>
      <c r="G41" s="70" t="s">
        <v>159</v>
      </c>
      <c r="H41" s="70" t="str">
        <f t="shared" si="1"/>
        <v>ATN</v>
      </c>
      <c r="U41" s="98">
        <v>1999</v>
      </c>
      <c r="V41" s="68" t="s">
        <v>1529</v>
      </c>
      <c r="W41" s="68" t="s">
        <v>3004</v>
      </c>
    </row>
    <row r="42" spans="1:23" ht="15" x14ac:dyDescent="0.25">
      <c r="A42" s="88" t="s">
        <v>2811</v>
      </c>
      <c r="B42" s="88">
        <v>1990</v>
      </c>
      <c r="C42" s="89" t="s">
        <v>3010</v>
      </c>
      <c r="D42" s="88" t="s">
        <v>160</v>
      </c>
      <c r="F42" s="70">
        <f t="shared" si="0"/>
        <v>1990</v>
      </c>
      <c r="G42" s="70" t="s">
        <v>159</v>
      </c>
      <c r="H42" s="70" t="str">
        <f t="shared" si="1"/>
        <v>ATN</v>
      </c>
      <c r="U42" s="99">
        <v>2000</v>
      </c>
      <c r="V42" s="68" t="s">
        <v>1528</v>
      </c>
      <c r="W42" s="68" t="s">
        <v>3004</v>
      </c>
    </row>
    <row r="43" spans="1:23" ht="15" x14ac:dyDescent="0.25">
      <c r="A43" s="88" t="s">
        <v>2811</v>
      </c>
      <c r="B43" s="88">
        <v>1990</v>
      </c>
      <c r="C43" s="89" t="s">
        <v>3009</v>
      </c>
      <c r="D43" s="88" t="s">
        <v>160</v>
      </c>
      <c r="F43" s="70">
        <f t="shared" si="0"/>
        <v>1990</v>
      </c>
      <c r="G43" s="70" t="s">
        <v>159</v>
      </c>
      <c r="H43" s="70" t="str">
        <f t="shared" si="1"/>
        <v>ATN</v>
      </c>
      <c r="U43" s="99">
        <v>2000</v>
      </c>
      <c r="V43" s="68" t="s">
        <v>1527</v>
      </c>
      <c r="W43" s="68" t="s">
        <v>3004</v>
      </c>
    </row>
    <row r="44" spans="1:23" ht="15" x14ac:dyDescent="0.25">
      <c r="A44" s="88" t="s">
        <v>2811</v>
      </c>
      <c r="B44" s="88">
        <v>1990</v>
      </c>
      <c r="C44" s="89" t="s">
        <v>3008</v>
      </c>
      <c r="D44" s="88" t="s">
        <v>160</v>
      </c>
      <c r="F44" s="70">
        <f t="shared" si="0"/>
        <v>1990</v>
      </c>
      <c r="G44" s="70" t="s">
        <v>159</v>
      </c>
      <c r="H44" s="70" t="str">
        <f t="shared" si="1"/>
        <v>ATN</v>
      </c>
      <c r="U44" s="98">
        <v>2000</v>
      </c>
      <c r="V44" s="68" t="s">
        <v>1526</v>
      </c>
      <c r="W44" s="68" t="s">
        <v>3004</v>
      </c>
    </row>
    <row r="45" spans="1:23" ht="15" x14ac:dyDescent="0.25">
      <c r="A45" s="88" t="s">
        <v>2811</v>
      </c>
      <c r="B45" s="88">
        <v>1990</v>
      </c>
      <c r="C45" s="89" t="s">
        <v>3007</v>
      </c>
      <c r="D45" s="88" t="s">
        <v>160</v>
      </c>
      <c r="F45" s="70">
        <f t="shared" si="0"/>
        <v>1990</v>
      </c>
      <c r="G45" s="70" t="s">
        <v>159</v>
      </c>
      <c r="H45" s="70" t="str">
        <f t="shared" si="1"/>
        <v>ATN</v>
      </c>
      <c r="U45" s="99">
        <v>2001</v>
      </c>
      <c r="V45" s="68" t="s">
        <v>1525</v>
      </c>
      <c r="W45" s="68" t="s">
        <v>3004</v>
      </c>
    </row>
    <row r="46" spans="1:23" ht="15" x14ac:dyDescent="0.25">
      <c r="A46" s="88" t="s">
        <v>2811</v>
      </c>
      <c r="B46" s="88">
        <v>1991</v>
      </c>
      <c r="C46" s="89" t="s">
        <v>3006</v>
      </c>
      <c r="D46" s="88" t="s">
        <v>160</v>
      </c>
      <c r="F46" s="70">
        <f t="shared" si="0"/>
        <v>1991</v>
      </c>
      <c r="G46" s="70" t="s">
        <v>159</v>
      </c>
      <c r="H46" s="70" t="str">
        <f t="shared" si="1"/>
        <v>ATN</v>
      </c>
      <c r="U46" s="99">
        <v>2001</v>
      </c>
      <c r="V46" s="68" t="s">
        <v>1524</v>
      </c>
      <c r="W46" s="68" t="s">
        <v>3004</v>
      </c>
    </row>
    <row r="47" spans="1:23" ht="15" x14ac:dyDescent="0.25">
      <c r="A47" s="88" t="s">
        <v>2811</v>
      </c>
      <c r="B47" s="88">
        <v>1991</v>
      </c>
      <c r="C47" s="89" t="s">
        <v>3005</v>
      </c>
      <c r="D47" s="88" t="s">
        <v>160</v>
      </c>
      <c r="F47" s="70">
        <f t="shared" si="0"/>
        <v>1991</v>
      </c>
      <c r="G47" s="70" t="s">
        <v>159</v>
      </c>
      <c r="H47" s="70" t="str">
        <f t="shared" si="1"/>
        <v>ATN</v>
      </c>
      <c r="U47" s="98">
        <v>2001</v>
      </c>
      <c r="V47" s="68" t="s">
        <v>1523</v>
      </c>
      <c r="W47" s="68" t="s">
        <v>3004</v>
      </c>
    </row>
    <row r="48" spans="1:23" ht="15" x14ac:dyDescent="0.25">
      <c r="A48" s="88" t="s">
        <v>2811</v>
      </c>
      <c r="B48" s="88">
        <v>1991</v>
      </c>
      <c r="C48" s="89" t="s">
        <v>3003</v>
      </c>
      <c r="D48" s="88" t="s">
        <v>160</v>
      </c>
      <c r="F48" s="70">
        <f t="shared" si="0"/>
        <v>1991</v>
      </c>
      <c r="G48" s="70" t="s">
        <v>159</v>
      </c>
      <c r="H48" s="70" t="str">
        <f t="shared" si="1"/>
        <v>ATN</v>
      </c>
    </row>
    <row r="49" spans="1:8" ht="15" x14ac:dyDescent="0.25">
      <c r="A49" s="88" t="s">
        <v>2811</v>
      </c>
      <c r="B49" s="88">
        <v>1992</v>
      </c>
      <c r="C49" s="89" t="s">
        <v>3002</v>
      </c>
      <c r="D49" s="88" t="s">
        <v>160</v>
      </c>
      <c r="F49" s="70">
        <f t="shared" si="0"/>
        <v>1992</v>
      </c>
      <c r="G49" s="70" t="s">
        <v>159</v>
      </c>
      <c r="H49" s="70" t="str">
        <f t="shared" si="1"/>
        <v>ATN</v>
      </c>
    </row>
    <row r="50" spans="1:8" ht="15" x14ac:dyDescent="0.25">
      <c r="A50" s="88" t="s">
        <v>2811</v>
      </c>
      <c r="B50" s="88">
        <v>1992</v>
      </c>
      <c r="C50" s="89" t="s">
        <v>3001</v>
      </c>
      <c r="D50" s="88" t="s">
        <v>160</v>
      </c>
      <c r="F50" s="70">
        <f t="shared" si="0"/>
        <v>1992</v>
      </c>
      <c r="G50" s="70" t="s">
        <v>159</v>
      </c>
      <c r="H50" s="70" t="str">
        <f t="shared" si="1"/>
        <v>ATN</v>
      </c>
    </row>
    <row r="51" spans="1:8" ht="15" x14ac:dyDescent="0.25">
      <c r="A51" s="88" t="s">
        <v>2811</v>
      </c>
      <c r="B51" s="88">
        <v>1992</v>
      </c>
      <c r="C51" s="89" t="s">
        <v>3000</v>
      </c>
      <c r="D51" s="88" t="s">
        <v>160</v>
      </c>
      <c r="F51" s="70">
        <f t="shared" si="0"/>
        <v>1992</v>
      </c>
      <c r="G51" s="70" t="s">
        <v>159</v>
      </c>
      <c r="H51" s="70" t="str">
        <f t="shared" si="1"/>
        <v>ATN</v>
      </c>
    </row>
    <row r="52" spans="1:8" ht="15" x14ac:dyDescent="0.25">
      <c r="A52" s="88" t="s">
        <v>2811</v>
      </c>
      <c r="B52" s="88">
        <v>1993</v>
      </c>
      <c r="C52" s="89" t="s">
        <v>2999</v>
      </c>
      <c r="D52" s="88" t="s">
        <v>160</v>
      </c>
      <c r="F52" s="70">
        <f t="shared" si="0"/>
        <v>1993</v>
      </c>
      <c r="G52" s="70" t="s">
        <v>159</v>
      </c>
      <c r="H52" s="70" t="str">
        <f t="shared" si="1"/>
        <v>ATN</v>
      </c>
    </row>
    <row r="53" spans="1:8" ht="15" x14ac:dyDescent="0.25">
      <c r="A53" s="88" t="s">
        <v>2811</v>
      </c>
      <c r="B53" s="88">
        <v>1993</v>
      </c>
      <c r="C53" s="89" t="s">
        <v>2998</v>
      </c>
      <c r="D53" s="88" t="s">
        <v>160</v>
      </c>
      <c r="F53" s="70">
        <f t="shared" si="0"/>
        <v>1993</v>
      </c>
      <c r="G53" s="70" t="s">
        <v>159</v>
      </c>
      <c r="H53" s="70" t="str">
        <f t="shared" si="1"/>
        <v>ATN</v>
      </c>
    </row>
    <row r="54" spans="1:8" ht="15" x14ac:dyDescent="0.25">
      <c r="A54" s="88" t="s">
        <v>2811</v>
      </c>
      <c r="B54" s="88">
        <v>1994</v>
      </c>
      <c r="C54" s="89" t="s">
        <v>2997</v>
      </c>
      <c r="D54" s="88" t="s">
        <v>160</v>
      </c>
      <c r="F54" s="70">
        <f t="shared" si="0"/>
        <v>1994</v>
      </c>
      <c r="G54" s="70" t="s">
        <v>159</v>
      </c>
      <c r="H54" s="70" t="str">
        <f t="shared" si="1"/>
        <v>ATN</v>
      </c>
    </row>
    <row r="55" spans="1:8" ht="15" x14ac:dyDescent="0.25">
      <c r="A55" s="88" t="s">
        <v>2811</v>
      </c>
      <c r="B55" s="88">
        <v>1994</v>
      </c>
      <c r="C55" s="89" t="s">
        <v>2996</v>
      </c>
      <c r="D55" s="88" t="s">
        <v>160</v>
      </c>
      <c r="F55" s="70">
        <f t="shared" si="0"/>
        <v>1994</v>
      </c>
      <c r="G55" s="70" t="s">
        <v>159</v>
      </c>
      <c r="H55" s="70" t="str">
        <f t="shared" si="1"/>
        <v>ATN</v>
      </c>
    </row>
    <row r="56" spans="1:8" ht="15" x14ac:dyDescent="0.25">
      <c r="A56" s="88" t="s">
        <v>2811</v>
      </c>
      <c r="B56" s="88">
        <v>1995</v>
      </c>
      <c r="C56" s="89" t="s">
        <v>2995</v>
      </c>
      <c r="D56" s="88" t="s">
        <v>160</v>
      </c>
      <c r="F56" s="70">
        <f t="shared" si="0"/>
        <v>1995</v>
      </c>
      <c r="G56" s="70" t="s">
        <v>159</v>
      </c>
      <c r="H56" s="70" t="str">
        <f t="shared" si="1"/>
        <v>ATN</v>
      </c>
    </row>
    <row r="57" spans="1:8" ht="15" x14ac:dyDescent="0.25">
      <c r="A57" s="88" t="s">
        <v>2811</v>
      </c>
      <c r="B57" s="88">
        <v>1995</v>
      </c>
      <c r="C57" s="89" t="s">
        <v>2994</v>
      </c>
      <c r="D57" s="88" t="s">
        <v>160</v>
      </c>
      <c r="F57" s="70">
        <f t="shared" si="0"/>
        <v>1995</v>
      </c>
      <c r="G57" s="70" t="s">
        <v>159</v>
      </c>
      <c r="H57" s="70" t="str">
        <f t="shared" si="1"/>
        <v>ATN</v>
      </c>
    </row>
    <row r="58" spans="1:8" ht="15" x14ac:dyDescent="0.25">
      <c r="A58" s="88" t="s">
        <v>2811</v>
      </c>
      <c r="B58" s="88">
        <v>1996</v>
      </c>
      <c r="C58" s="89" t="s">
        <v>2993</v>
      </c>
      <c r="D58" s="88" t="s">
        <v>160</v>
      </c>
      <c r="F58" s="70">
        <f t="shared" si="0"/>
        <v>1996</v>
      </c>
      <c r="G58" s="70" t="s">
        <v>159</v>
      </c>
      <c r="H58" s="70" t="str">
        <f t="shared" si="1"/>
        <v>ATN</v>
      </c>
    </row>
    <row r="59" spans="1:8" ht="15" x14ac:dyDescent="0.25">
      <c r="A59" s="88" t="s">
        <v>2811</v>
      </c>
      <c r="B59" s="88">
        <v>1996</v>
      </c>
      <c r="C59" s="89" t="s">
        <v>2992</v>
      </c>
      <c r="D59" s="88" t="s">
        <v>160</v>
      </c>
      <c r="F59" s="70">
        <f t="shared" si="0"/>
        <v>1996</v>
      </c>
      <c r="G59" s="70" t="s">
        <v>159</v>
      </c>
      <c r="H59" s="70" t="str">
        <f t="shared" si="1"/>
        <v>ATN</v>
      </c>
    </row>
    <row r="60" spans="1:8" ht="15" x14ac:dyDescent="0.25">
      <c r="A60" s="88" t="s">
        <v>2811</v>
      </c>
      <c r="B60" s="88">
        <v>1996</v>
      </c>
      <c r="C60" s="89" t="s">
        <v>2991</v>
      </c>
      <c r="D60" s="88" t="s">
        <v>160</v>
      </c>
      <c r="F60" s="70">
        <f t="shared" si="0"/>
        <v>1996</v>
      </c>
      <c r="G60" s="70" t="s">
        <v>159</v>
      </c>
      <c r="H60" s="70" t="str">
        <f t="shared" si="1"/>
        <v>ATN</v>
      </c>
    </row>
    <row r="61" spans="1:8" ht="15" x14ac:dyDescent="0.25">
      <c r="A61" s="88" t="s">
        <v>2811</v>
      </c>
      <c r="B61" s="88">
        <v>1996</v>
      </c>
      <c r="C61" s="89" t="s">
        <v>2990</v>
      </c>
      <c r="D61" s="88" t="s">
        <v>160</v>
      </c>
      <c r="F61" s="70">
        <f t="shared" si="0"/>
        <v>1996</v>
      </c>
      <c r="G61" s="70" t="s">
        <v>159</v>
      </c>
      <c r="H61" s="70" t="str">
        <f t="shared" si="1"/>
        <v>ATN</v>
      </c>
    </row>
    <row r="62" spans="1:8" ht="15" x14ac:dyDescent="0.25">
      <c r="A62" s="88" t="s">
        <v>2811</v>
      </c>
      <c r="B62" s="88">
        <v>1996</v>
      </c>
      <c r="C62" s="89" t="s">
        <v>2989</v>
      </c>
      <c r="D62" s="88" t="s">
        <v>160</v>
      </c>
      <c r="F62" s="70">
        <f t="shared" si="0"/>
        <v>1996</v>
      </c>
      <c r="G62" s="70" t="s">
        <v>159</v>
      </c>
      <c r="H62" s="70" t="str">
        <f t="shared" si="1"/>
        <v>ATN</v>
      </c>
    </row>
    <row r="63" spans="1:8" ht="15" x14ac:dyDescent="0.25">
      <c r="A63" s="88" t="s">
        <v>2811</v>
      </c>
      <c r="B63" s="88">
        <v>1996</v>
      </c>
      <c r="C63" s="89" t="s">
        <v>2988</v>
      </c>
      <c r="D63" s="88" t="s">
        <v>160</v>
      </c>
      <c r="F63" s="70">
        <f t="shared" si="0"/>
        <v>1996</v>
      </c>
      <c r="G63" s="70" t="s">
        <v>159</v>
      </c>
      <c r="H63" s="70" t="str">
        <f t="shared" si="1"/>
        <v>ATN</v>
      </c>
    </row>
    <row r="64" spans="1:8" ht="15" x14ac:dyDescent="0.25">
      <c r="A64" s="88" t="s">
        <v>2811</v>
      </c>
      <c r="B64" s="88">
        <v>1997</v>
      </c>
      <c r="C64" s="89" t="s">
        <v>2987</v>
      </c>
      <c r="D64" s="88" t="s">
        <v>160</v>
      </c>
      <c r="F64" s="70">
        <f t="shared" si="0"/>
        <v>1997</v>
      </c>
      <c r="G64" s="70" t="s">
        <v>159</v>
      </c>
      <c r="H64" s="70" t="str">
        <f t="shared" si="1"/>
        <v>ATN</v>
      </c>
    </row>
    <row r="65" spans="1:8" ht="15" x14ac:dyDescent="0.25">
      <c r="A65" s="88" t="s">
        <v>2811</v>
      </c>
      <c r="B65" s="88">
        <v>1997</v>
      </c>
      <c r="C65" s="89" t="s">
        <v>2986</v>
      </c>
      <c r="D65" s="88" t="s">
        <v>160</v>
      </c>
      <c r="F65" s="70">
        <f t="shared" si="0"/>
        <v>1997</v>
      </c>
      <c r="G65" s="70" t="s">
        <v>159</v>
      </c>
      <c r="H65" s="70" t="str">
        <f t="shared" si="1"/>
        <v>ATN</v>
      </c>
    </row>
    <row r="66" spans="1:8" ht="15" x14ac:dyDescent="0.25">
      <c r="A66" s="88" t="s">
        <v>2811</v>
      </c>
      <c r="B66" s="88">
        <v>1997</v>
      </c>
      <c r="C66" s="89" t="s">
        <v>2985</v>
      </c>
      <c r="D66" s="88" t="s">
        <v>160</v>
      </c>
      <c r="F66" s="70">
        <f t="shared" si="0"/>
        <v>1997</v>
      </c>
      <c r="G66" s="70" t="s">
        <v>159</v>
      </c>
      <c r="H66" s="70" t="str">
        <f t="shared" si="1"/>
        <v>ATN</v>
      </c>
    </row>
    <row r="67" spans="1:8" ht="15" x14ac:dyDescent="0.25">
      <c r="A67" s="88" t="s">
        <v>2811</v>
      </c>
      <c r="B67" s="88">
        <v>1997</v>
      </c>
      <c r="C67" s="89" t="s">
        <v>2984</v>
      </c>
      <c r="D67" s="88" t="s">
        <v>160</v>
      </c>
      <c r="F67" s="70">
        <f t="shared" si="0"/>
        <v>1997</v>
      </c>
      <c r="G67" s="70" t="s">
        <v>159</v>
      </c>
      <c r="H67" s="70" t="str">
        <f t="shared" si="1"/>
        <v>ATN</v>
      </c>
    </row>
    <row r="68" spans="1:8" ht="15" x14ac:dyDescent="0.25">
      <c r="A68" s="88" t="s">
        <v>2811</v>
      </c>
      <c r="B68" s="88">
        <v>1997</v>
      </c>
      <c r="C68" s="89" t="s">
        <v>2983</v>
      </c>
      <c r="D68" s="88" t="s">
        <v>160</v>
      </c>
      <c r="F68" s="70">
        <f t="shared" si="0"/>
        <v>1997</v>
      </c>
      <c r="G68" s="70" t="s">
        <v>159</v>
      </c>
      <c r="H68" s="70" t="str">
        <f t="shared" si="1"/>
        <v>ATN</v>
      </c>
    </row>
    <row r="69" spans="1:8" ht="15" x14ac:dyDescent="0.25">
      <c r="A69" s="88" t="s">
        <v>2811</v>
      </c>
      <c r="B69" s="88">
        <v>1997</v>
      </c>
      <c r="C69" s="89" t="s">
        <v>2982</v>
      </c>
      <c r="D69" s="88" t="s">
        <v>160</v>
      </c>
      <c r="F69" s="70">
        <f t="shared" si="0"/>
        <v>1997</v>
      </c>
      <c r="G69" s="70" t="s">
        <v>159</v>
      </c>
      <c r="H69" s="70" t="str">
        <f t="shared" si="1"/>
        <v>ATN</v>
      </c>
    </row>
    <row r="70" spans="1:8" ht="15" x14ac:dyDescent="0.25">
      <c r="A70" s="88" t="s">
        <v>2811</v>
      </c>
      <c r="B70" s="88">
        <v>1998</v>
      </c>
      <c r="C70" s="89" t="s">
        <v>2981</v>
      </c>
      <c r="D70" s="88" t="s">
        <v>160</v>
      </c>
      <c r="F70" s="70">
        <f t="shared" si="0"/>
        <v>1998</v>
      </c>
      <c r="G70" s="70" t="s">
        <v>159</v>
      </c>
      <c r="H70" s="70" t="str">
        <f t="shared" si="1"/>
        <v>ATN</v>
      </c>
    </row>
    <row r="71" spans="1:8" ht="15" x14ac:dyDescent="0.25">
      <c r="A71" s="88" t="s">
        <v>2811</v>
      </c>
      <c r="B71" s="88">
        <v>1998</v>
      </c>
      <c r="C71" s="89" t="s">
        <v>2980</v>
      </c>
      <c r="D71" s="88" t="s">
        <v>160</v>
      </c>
      <c r="F71" s="70">
        <f t="shared" si="0"/>
        <v>1998</v>
      </c>
      <c r="G71" s="70" t="s">
        <v>159</v>
      </c>
      <c r="H71" s="70" t="str">
        <f t="shared" si="1"/>
        <v>ATN</v>
      </c>
    </row>
    <row r="72" spans="1:8" ht="15" x14ac:dyDescent="0.25">
      <c r="A72" s="88" t="s">
        <v>2811</v>
      </c>
      <c r="B72" s="88">
        <v>1998</v>
      </c>
      <c r="C72" s="89" t="s">
        <v>2979</v>
      </c>
      <c r="D72" s="88" t="s">
        <v>160</v>
      </c>
      <c r="F72" s="70">
        <f t="shared" ref="F72:F135" si="2">+B72</f>
        <v>1998</v>
      </c>
      <c r="G72" s="70" t="s">
        <v>159</v>
      </c>
      <c r="H72" s="70" t="str">
        <f t="shared" ref="H72:H135" si="3">A72</f>
        <v>ATN</v>
      </c>
    </row>
    <row r="73" spans="1:8" ht="15" x14ac:dyDescent="0.25">
      <c r="A73" s="88" t="s">
        <v>2811</v>
      </c>
      <c r="B73" s="88">
        <v>1998</v>
      </c>
      <c r="C73" s="89" t="s">
        <v>2978</v>
      </c>
      <c r="D73" s="88" t="s">
        <v>160</v>
      </c>
      <c r="F73" s="70">
        <f t="shared" si="2"/>
        <v>1998</v>
      </c>
      <c r="G73" s="70" t="s">
        <v>159</v>
      </c>
      <c r="H73" s="70" t="str">
        <f t="shared" si="3"/>
        <v>ATN</v>
      </c>
    </row>
    <row r="74" spans="1:8" ht="15" x14ac:dyDescent="0.25">
      <c r="A74" s="88" t="s">
        <v>2811</v>
      </c>
      <c r="B74" s="88">
        <v>1998</v>
      </c>
      <c r="C74" s="89" t="s">
        <v>2977</v>
      </c>
      <c r="D74" s="88" t="s">
        <v>160</v>
      </c>
      <c r="F74" s="70">
        <f t="shared" si="2"/>
        <v>1998</v>
      </c>
      <c r="G74" s="70" t="s">
        <v>159</v>
      </c>
      <c r="H74" s="70" t="str">
        <f t="shared" si="3"/>
        <v>ATN</v>
      </c>
    </row>
    <row r="75" spans="1:8" ht="15" x14ac:dyDescent="0.25">
      <c r="A75" s="88" t="s">
        <v>2811</v>
      </c>
      <c r="B75" s="88">
        <v>1998</v>
      </c>
      <c r="C75" s="89" t="s">
        <v>2976</v>
      </c>
      <c r="D75" s="88" t="s">
        <v>160</v>
      </c>
      <c r="F75" s="70">
        <f t="shared" si="2"/>
        <v>1998</v>
      </c>
      <c r="G75" s="70" t="s">
        <v>159</v>
      </c>
      <c r="H75" s="70" t="str">
        <f t="shared" si="3"/>
        <v>ATN</v>
      </c>
    </row>
    <row r="76" spans="1:8" ht="15" x14ac:dyDescent="0.25">
      <c r="A76" s="88" t="s">
        <v>2811</v>
      </c>
      <c r="B76" s="88">
        <v>1999</v>
      </c>
      <c r="C76" s="89" t="s">
        <v>2975</v>
      </c>
      <c r="D76" s="88" t="s">
        <v>160</v>
      </c>
      <c r="F76" s="70">
        <f t="shared" si="2"/>
        <v>1999</v>
      </c>
      <c r="G76" s="70" t="s">
        <v>159</v>
      </c>
      <c r="H76" s="70" t="str">
        <f t="shared" si="3"/>
        <v>ATN</v>
      </c>
    </row>
    <row r="77" spans="1:8" ht="15" x14ac:dyDescent="0.25">
      <c r="A77" s="88" t="s">
        <v>2811</v>
      </c>
      <c r="B77" s="88">
        <v>1999</v>
      </c>
      <c r="C77" s="89" t="s">
        <v>2974</v>
      </c>
      <c r="D77" s="88" t="s">
        <v>160</v>
      </c>
      <c r="F77" s="70">
        <f t="shared" si="2"/>
        <v>1999</v>
      </c>
      <c r="G77" s="70" t="s">
        <v>159</v>
      </c>
      <c r="H77" s="70" t="str">
        <f t="shared" si="3"/>
        <v>ATN</v>
      </c>
    </row>
    <row r="78" spans="1:8" ht="15" x14ac:dyDescent="0.25">
      <c r="A78" s="88" t="s">
        <v>2811</v>
      </c>
      <c r="B78" s="88">
        <v>1999</v>
      </c>
      <c r="C78" s="89" t="s">
        <v>2973</v>
      </c>
      <c r="D78" s="88" t="s">
        <v>160</v>
      </c>
      <c r="F78" s="70">
        <f t="shared" si="2"/>
        <v>1999</v>
      </c>
      <c r="G78" s="70" t="s">
        <v>159</v>
      </c>
      <c r="H78" s="70" t="str">
        <f t="shared" si="3"/>
        <v>ATN</v>
      </c>
    </row>
    <row r="79" spans="1:8" ht="15" x14ac:dyDescent="0.25">
      <c r="A79" s="88" t="s">
        <v>2811</v>
      </c>
      <c r="B79" s="88">
        <v>1999</v>
      </c>
      <c r="C79" s="89" t="s">
        <v>2972</v>
      </c>
      <c r="D79" s="88" t="s">
        <v>160</v>
      </c>
      <c r="F79" s="70">
        <f t="shared" si="2"/>
        <v>1999</v>
      </c>
      <c r="G79" s="70" t="s">
        <v>159</v>
      </c>
      <c r="H79" s="70" t="str">
        <f t="shared" si="3"/>
        <v>ATN</v>
      </c>
    </row>
    <row r="80" spans="1:8" ht="15" x14ac:dyDescent="0.25">
      <c r="A80" s="88" t="s">
        <v>2811</v>
      </c>
      <c r="B80" s="88">
        <v>1999</v>
      </c>
      <c r="C80" s="89" t="s">
        <v>2971</v>
      </c>
      <c r="D80" s="88" t="s">
        <v>160</v>
      </c>
      <c r="F80" s="70">
        <f t="shared" si="2"/>
        <v>1999</v>
      </c>
      <c r="G80" s="70" t="s">
        <v>159</v>
      </c>
      <c r="H80" s="70" t="str">
        <f t="shared" si="3"/>
        <v>ATN</v>
      </c>
    </row>
    <row r="81" spans="1:8" ht="15" x14ac:dyDescent="0.25">
      <c r="A81" s="88" t="s">
        <v>2811</v>
      </c>
      <c r="B81" s="88">
        <v>1999</v>
      </c>
      <c r="C81" s="89" t="s">
        <v>2970</v>
      </c>
      <c r="D81" s="88" t="s">
        <v>160</v>
      </c>
      <c r="F81" s="70">
        <f t="shared" si="2"/>
        <v>1999</v>
      </c>
      <c r="G81" s="70" t="s">
        <v>159</v>
      </c>
      <c r="H81" s="70" t="str">
        <f t="shared" si="3"/>
        <v>ATN</v>
      </c>
    </row>
    <row r="82" spans="1:8" ht="15" x14ac:dyDescent="0.25">
      <c r="A82" s="88" t="s">
        <v>2811</v>
      </c>
      <c r="B82" s="88">
        <v>2000</v>
      </c>
      <c r="C82" s="89" t="s">
        <v>2969</v>
      </c>
      <c r="D82" s="88" t="s">
        <v>160</v>
      </c>
      <c r="F82" s="70">
        <f t="shared" si="2"/>
        <v>2000</v>
      </c>
      <c r="G82" s="70" t="s">
        <v>159</v>
      </c>
      <c r="H82" s="70" t="str">
        <f t="shared" si="3"/>
        <v>ATN</v>
      </c>
    </row>
    <row r="83" spans="1:8" ht="15" x14ac:dyDescent="0.25">
      <c r="A83" s="88" t="s">
        <v>2811</v>
      </c>
      <c r="B83" s="88">
        <v>2000</v>
      </c>
      <c r="C83" s="89" t="s">
        <v>2968</v>
      </c>
      <c r="D83" s="88" t="s">
        <v>160</v>
      </c>
      <c r="F83" s="70">
        <f t="shared" si="2"/>
        <v>2000</v>
      </c>
      <c r="G83" s="70" t="s">
        <v>159</v>
      </c>
      <c r="H83" s="70" t="str">
        <f t="shared" si="3"/>
        <v>ATN</v>
      </c>
    </row>
    <row r="84" spans="1:8" ht="15" x14ac:dyDescent="0.25">
      <c r="A84" s="88" t="s">
        <v>2811</v>
      </c>
      <c r="B84" s="88">
        <v>2000</v>
      </c>
      <c r="C84" s="89" t="s">
        <v>2967</v>
      </c>
      <c r="D84" s="88" t="s">
        <v>160</v>
      </c>
      <c r="F84" s="70">
        <f t="shared" si="2"/>
        <v>2000</v>
      </c>
      <c r="G84" s="70" t="s">
        <v>159</v>
      </c>
      <c r="H84" s="70" t="str">
        <f t="shared" si="3"/>
        <v>ATN</v>
      </c>
    </row>
    <row r="85" spans="1:8" ht="15" x14ac:dyDescent="0.25">
      <c r="A85" s="88" t="s">
        <v>2811</v>
      </c>
      <c r="B85" s="88">
        <v>2000</v>
      </c>
      <c r="C85" s="89" t="s">
        <v>2966</v>
      </c>
      <c r="D85" s="88" t="s">
        <v>160</v>
      </c>
      <c r="F85" s="70">
        <f t="shared" si="2"/>
        <v>2000</v>
      </c>
      <c r="G85" s="70" t="s">
        <v>159</v>
      </c>
      <c r="H85" s="70" t="str">
        <f t="shared" si="3"/>
        <v>ATN</v>
      </c>
    </row>
    <row r="86" spans="1:8" ht="15" x14ac:dyDescent="0.25">
      <c r="A86" s="88" t="s">
        <v>2811</v>
      </c>
      <c r="B86" s="88">
        <v>2000</v>
      </c>
      <c r="C86" s="89" t="s">
        <v>2965</v>
      </c>
      <c r="D86" s="88" t="s">
        <v>160</v>
      </c>
      <c r="F86" s="70">
        <f t="shared" si="2"/>
        <v>2000</v>
      </c>
      <c r="G86" s="70" t="s">
        <v>159</v>
      </c>
      <c r="H86" s="70" t="str">
        <f t="shared" si="3"/>
        <v>ATN</v>
      </c>
    </row>
    <row r="87" spans="1:8" ht="15" x14ac:dyDescent="0.25">
      <c r="A87" s="88" t="s">
        <v>2811</v>
      </c>
      <c r="B87" s="88">
        <v>2000</v>
      </c>
      <c r="C87" s="89" t="s">
        <v>2964</v>
      </c>
      <c r="D87" s="88" t="s">
        <v>160</v>
      </c>
      <c r="F87" s="70">
        <f t="shared" si="2"/>
        <v>2000</v>
      </c>
      <c r="G87" s="70" t="s">
        <v>159</v>
      </c>
      <c r="H87" s="70" t="str">
        <f t="shared" si="3"/>
        <v>ATN</v>
      </c>
    </row>
    <row r="88" spans="1:8" ht="15" x14ac:dyDescent="0.25">
      <c r="A88" s="88" t="s">
        <v>2811</v>
      </c>
      <c r="B88" s="88">
        <v>2001</v>
      </c>
      <c r="C88" s="89" t="s">
        <v>2963</v>
      </c>
      <c r="D88" s="88" t="s">
        <v>160</v>
      </c>
      <c r="F88" s="70">
        <f t="shared" si="2"/>
        <v>2001</v>
      </c>
      <c r="G88" s="70" t="s">
        <v>159</v>
      </c>
      <c r="H88" s="70" t="str">
        <f t="shared" si="3"/>
        <v>ATN</v>
      </c>
    </row>
    <row r="89" spans="1:8" ht="15" x14ac:dyDescent="0.25">
      <c r="A89" s="88" t="s">
        <v>2811</v>
      </c>
      <c r="B89" s="88">
        <v>2001</v>
      </c>
      <c r="C89" s="89" t="s">
        <v>2962</v>
      </c>
      <c r="D89" s="88" t="s">
        <v>160</v>
      </c>
      <c r="F89" s="70">
        <f t="shared" si="2"/>
        <v>2001</v>
      </c>
      <c r="G89" s="70" t="s">
        <v>159</v>
      </c>
      <c r="H89" s="70" t="str">
        <f t="shared" si="3"/>
        <v>ATN</v>
      </c>
    </row>
    <row r="90" spans="1:8" ht="15" x14ac:dyDescent="0.25">
      <c r="A90" s="88" t="s">
        <v>2811</v>
      </c>
      <c r="B90" s="88">
        <v>2001</v>
      </c>
      <c r="C90" s="89" t="s">
        <v>2961</v>
      </c>
      <c r="D90" s="88" t="s">
        <v>160</v>
      </c>
      <c r="F90" s="70">
        <f t="shared" si="2"/>
        <v>2001</v>
      </c>
      <c r="G90" s="70" t="s">
        <v>159</v>
      </c>
      <c r="H90" s="70" t="str">
        <f t="shared" si="3"/>
        <v>ATN</v>
      </c>
    </row>
    <row r="91" spans="1:8" ht="15" x14ac:dyDescent="0.25">
      <c r="A91" s="88" t="s">
        <v>2811</v>
      </c>
      <c r="B91" s="88">
        <v>2001</v>
      </c>
      <c r="C91" s="89" t="s">
        <v>2960</v>
      </c>
      <c r="D91" s="88" t="s">
        <v>160</v>
      </c>
      <c r="F91" s="70">
        <f t="shared" si="2"/>
        <v>2001</v>
      </c>
      <c r="G91" s="70" t="s">
        <v>159</v>
      </c>
      <c r="H91" s="70" t="str">
        <f t="shared" si="3"/>
        <v>ATN</v>
      </c>
    </row>
    <row r="92" spans="1:8" ht="15" x14ac:dyDescent="0.25">
      <c r="A92" s="88" t="s">
        <v>2811</v>
      </c>
      <c r="B92" s="88">
        <v>2001</v>
      </c>
      <c r="C92" s="89" t="s">
        <v>2959</v>
      </c>
      <c r="D92" s="88" t="s">
        <v>160</v>
      </c>
      <c r="F92" s="70">
        <f t="shared" si="2"/>
        <v>2001</v>
      </c>
      <c r="G92" s="70" t="s">
        <v>159</v>
      </c>
      <c r="H92" s="70" t="str">
        <f t="shared" si="3"/>
        <v>ATN</v>
      </c>
    </row>
    <row r="93" spans="1:8" ht="15" x14ac:dyDescent="0.25">
      <c r="A93" s="88" t="s">
        <v>2811</v>
      </c>
      <c r="B93" s="88">
        <v>2001</v>
      </c>
      <c r="C93" s="89" t="s">
        <v>2958</v>
      </c>
      <c r="D93" s="88" t="s">
        <v>160</v>
      </c>
      <c r="F93" s="70">
        <f t="shared" si="2"/>
        <v>2001</v>
      </c>
      <c r="G93" s="70" t="s">
        <v>159</v>
      </c>
      <c r="H93" s="70" t="str">
        <f t="shared" si="3"/>
        <v>ATN</v>
      </c>
    </row>
    <row r="94" spans="1:8" ht="15" x14ac:dyDescent="0.25">
      <c r="A94" s="88" t="s">
        <v>2811</v>
      </c>
      <c r="B94" s="88">
        <v>2002</v>
      </c>
      <c r="C94" s="89" t="s">
        <v>2957</v>
      </c>
      <c r="D94" s="88" t="s">
        <v>160</v>
      </c>
      <c r="F94" s="70">
        <f t="shared" si="2"/>
        <v>2002</v>
      </c>
      <c r="G94" s="70" t="s">
        <v>159</v>
      </c>
      <c r="H94" s="70" t="str">
        <f t="shared" si="3"/>
        <v>ATN</v>
      </c>
    </row>
    <row r="95" spans="1:8" ht="15" x14ac:dyDescent="0.25">
      <c r="A95" s="88" t="s">
        <v>2811</v>
      </c>
      <c r="B95" s="88">
        <v>2002</v>
      </c>
      <c r="C95" s="89" t="s">
        <v>2956</v>
      </c>
      <c r="D95" s="88" t="s">
        <v>160</v>
      </c>
      <c r="F95" s="70">
        <f t="shared" si="2"/>
        <v>2002</v>
      </c>
      <c r="G95" s="70" t="s">
        <v>159</v>
      </c>
      <c r="H95" s="70" t="str">
        <f t="shared" si="3"/>
        <v>ATN</v>
      </c>
    </row>
    <row r="96" spans="1:8" ht="15" x14ac:dyDescent="0.25">
      <c r="A96" s="88" t="s">
        <v>2811</v>
      </c>
      <c r="B96" s="88">
        <v>2002</v>
      </c>
      <c r="C96" s="89" t="s">
        <v>2955</v>
      </c>
      <c r="D96" s="88" t="s">
        <v>160</v>
      </c>
      <c r="F96" s="70">
        <f t="shared" si="2"/>
        <v>2002</v>
      </c>
      <c r="G96" s="70" t="s">
        <v>159</v>
      </c>
      <c r="H96" s="70" t="str">
        <f t="shared" si="3"/>
        <v>ATN</v>
      </c>
    </row>
    <row r="97" spans="1:8" ht="15" x14ac:dyDescent="0.25">
      <c r="A97" s="88" t="s">
        <v>2811</v>
      </c>
      <c r="B97" s="88">
        <v>2002</v>
      </c>
      <c r="C97" s="89" t="s">
        <v>2954</v>
      </c>
      <c r="D97" s="88" t="s">
        <v>160</v>
      </c>
      <c r="F97" s="70">
        <f t="shared" si="2"/>
        <v>2002</v>
      </c>
      <c r="G97" s="70" t="s">
        <v>159</v>
      </c>
      <c r="H97" s="70" t="str">
        <f t="shared" si="3"/>
        <v>ATN</v>
      </c>
    </row>
    <row r="98" spans="1:8" ht="15" x14ac:dyDescent="0.25">
      <c r="A98" s="88" t="s">
        <v>2811</v>
      </c>
      <c r="B98" s="88">
        <v>2002</v>
      </c>
      <c r="C98" s="89" t="s">
        <v>2953</v>
      </c>
      <c r="D98" s="88" t="s">
        <v>160</v>
      </c>
      <c r="F98" s="70">
        <f t="shared" si="2"/>
        <v>2002</v>
      </c>
      <c r="G98" s="70" t="s">
        <v>159</v>
      </c>
      <c r="H98" s="70" t="str">
        <f t="shared" si="3"/>
        <v>ATN</v>
      </c>
    </row>
    <row r="99" spans="1:8" ht="15" x14ac:dyDescent="0.25">
      <c r="A99" s="88" t="s">
        <v>2811</v>
      </c>
      <c r="B99" s="88">
        <v>2002</v>
      </c>
      <c r="C99" s="89" t="s">
        <v>2952</v>
      </c>
      <c r="D99" s="88" t="s">
        <v>160</v>
      </c>
      <c r="F99" s="70">
        <f t="shared" si="2"/>
        <v>2002</v>
      </c>
      <c r="G99" s="70" t="s">
        <v>159</v>
      </c>
      <c r="H99" s="70" t="str">
        <f t="shared" si="3"/>
        <v>ATN</v>
      </c>
    </row>
    <row r="100" spans="1:8" ht="15" x14ac:dyDescent="0.25">
      <c r="A100" s="88" t="s">
        <v>2811</v>
      </c>
      <c r="B100" s="88">
        <v>2005</v>
      </c>
      <c r="C100" s="89" t="s">
        <v>2951</v>
      </c>
      <c r="D100" s="88" t="s">
        <v>160</v>
      </c>
      <c r="F100" s="70">
        <f t="shared" si="2"/>
        <v>2005</v>
      </c>
      <c r="G100" s="70" t="s">
        <v>159</v>
      </c>
      <c r="H100" s="70" t="str">
        <f t="shared" si="3"/>
        <v>ATN</v>
      </c>
    </row>
    <row r="101" spans="1:8" ht="15" x14ac:dyDescent="0.25">
      <c r="A101" s="88" t="s">
        <v>2811</v>
      </c>
      <c r="B101" s="88">
        <v>2005</v>
      </c>
      <c r="C101" s="89" t="s">
        <v>2950</v>
      </c>
      <c r="D101" s="88" t="s">
        <v>160</v>
      </c>
      <c r="F101" s="70">
        <f t="shared" si="2"/>
        <v>2005</v>
      </c>
      <c r="G101" s="70" t="s">
        <v>159</v>
      </c>
      <c r="H101" s="70" t="str">
        <f t="shared" si="3"/>
        <v>ATN</v>
      </c>
    </row>
    <row r="102" spans="1:8" ht="15" x14ac:dyDescent="0.25">
      <c r="A102" s="88" t="s">
        <v>2811</v>
      </c>
      <c r="B102" s="88">
        <v>2005</v>
      </c>
      <c r="C102" s="89" t="s">
        <v>2949</v>
      </c>
      <c r="D102" s="88" t="s">
        <v>160</v>
      </c>
      <c r="F102" s="70">
        <f t="shared" si="2"/>
        <v>2005</v>
      </c>
      <c r="G102" s="70" t="s">
        <v>159</v>
      </c>
      <c r="H102" s="70" t="str">
        <f t="shared" si="3"/>
        <v>ATN</v>
      </c>
    </row>
    <row r="103" spans="1:8" ht="15" x14ac:dyDescent="0.25">
      <c r="A103" s="88" t="s">
        <v>2811</v>
      </c>
      <c r="B103" s="88">
        <v>2005</v>
      </c>
      <c r="C103" s="89" t="s">
        <v>2948</v>
      </c>
      <c r="D103" s="88" t="s">
        <v>160</v>
      </c>
      <c r="F103" s="70">
        <f t="shared" si="2"/>
        <v>2005</v>
      </c>
      <c r="G103" s="70" t="s">
        <v>159</v>
      </c>
      <c r="H103" s="70" t="str">
        <f t="shared" si="3"/>
        <v>ATN</v>
      </c>
    </row>
    <row r="104" spans="1:8" ht="15" x14ac:dyDescent="0.25">
      <c r="A104" s="88" t="s">
        <v>2811</v>
      </c>
      <c r="B104" s="88">
        <v>2005</v>
      </c>
      <c r="C104" s="89" t="s">
        <v>2947</v>
      </c>
      <c r="D104" s="88" t="s">
        <v>160</v>
      </c>
      <c r="F104" s="70">
        <f t="shared" si="2"/>
        <v>2005</v>
      </c>
      <c r="G104" s="70" t="s">
        <v>159</v>
      </c>
      <c r="H104" s="70" t="str">
        <f t="shared" si="3"/>
        <v>ATN</v>
      </c>
    </row>
    <row r="105" spans="1:8" ht="15" x14ac:dyDescent="0.25">
      <c r="A105" s="88" t="s">
        <v>2811</v>
      </c>
      <c r="B105" s="88">
        <v>2005</v>
      </c>
      <c r="C105" s="89" t="s">
        <v>2946</v>
      </c>
      <c r="D105" s="88" t="s">
        <v>160</v>
      </c>
      <c r="F105" s="70">
        <f t="shared" si="2"/>
        <v>2005</v>
      </c>
      <c r="G105" s="70" t="s">
        <v>159</v>
      </c>
      <c r="H105" s="70" t="str">
        <f t="shared" si="3"/>
        <v>ATN</v>
      </c>
    </row>
    <row r="106" spans="1:8" ht="15" x14ac:dyDescent="0.25">
      <c r="A106" s="88" t="s">
        <v>2811</v>
      </c>
      <c r="B106" s="88">
        <v>2006</v>
      </c>
      <c r="C106" s="89" t="s">
        <v>2945</v>
      </c>
      <c r="D106" s="88" t="s">
        <v>160</v>
      </c>
      <c r="F106" s="70">
        <f t="shared" si="2"/>
        <v>2006</v>
      </c>
      <c r="G106" s="70" t="s">
        <v>159</v>
      </c>
      <c r="H106" s="70" t="str">
        <f t="shared" si="3"/>
        <v>ATN</v>
      </c>
    </row>
    <row r="107" spans="1:8" ht="15" x14ac:dyDescent="0.25">
      <c r="A107" s="88" t="s">
        <v>2811</v>
      </c>
      <c r="B107" s="88">
        <v>2006</v>
      </c>
      <c r="C107" s="89" t="s">
        <v>2944</v>
      </c>
      <c r="D107" s="88" t="s">
        <v>160</v>
      </c>
      <c r="F107" s="70">
        <f t="shared" si="2"/>
        <v>2006</v>
      </c>
      <c r="G107" s="70" t="s">
        <v>159</v>
      </c>
      <c r="H107" s="70" t="str">
        <f t="shared" si="3"/>
        <v>ATN</v>
      </c>
    </row>
    <row r="108" spans="1:8" ht="15" x14ac:dyDescent="0.25">
      <c r="A108" s="88" t="s">
        <v>2811</v>
      </c>
      <c r="B108" s="88">
        <v>2006</v>
      </c>
      <c r="C108" s="89" t="s">
        <v>2943</v>
      </c>
      <c r="D108" s="88" t="s">
        <v>160</v>
      </c>
      <c r="F108" s="70">
        <f t="shared" si="2"/>
        <v>2006</v>
      </c>
      <c r="G108" s="70" t="s">
        <v>159</v>
      </c>
      <c r="H108" s="70" t="str">
        <f t="shared" si="3"/>
        <v>ATN</v>
      </c>
    </row>
    <row r="109" spans="1:8" ht="15" x14ac:dyDescent="0.25">
      <c r="A109" s="88" t="s">
        <v>2811</v>
      </c>
      <c r="B109" s="88">
        <v>2006</v>
      </c>
      <c r="C109" s="89" t="s">
        <v>2942</v>
      </c>
      <c r="D109" s="88" t="s">
        <v>160</v>
      </c>
      <c r="F109" s="70">
        <f t="shared" si="2"/>
        <v>2006</v>
      </c>
      <c r="G109" s="70" t="s">
        <v>159</v>
      </c>
      <c r="H109" s="70" t="str">
        <f t="shared" si="3"/>
        <v>ATN</v>
      </c>
    </row>
    <row r="110" spans="1:8" ht="15" x14ac:dyDescent="0.25">
      <c r="A110" s="88" t="s">
        <v>2811</v>
      </c>
      <c r="B110" s="88">
        <v>2006</v>
      </c>
      <c r="C110" s="89" t="s">
        <v>2941</v>
      </c>
      <c r="D110" s="88" t="s">
        <v>160</v>
      </c>
      <c r="F110" s="70">
        <f t="shared" si="2"/>
        <v>2006</v>
      </c>
      <c r="G110" s="70" t="s">
        <v>159</v>
      </c>
      <c r="H110" s="70" t="str">
        <f t="shared" si="3"/>
        <v>ATN</v>
      </c>
    </row>
    <row r="111" spans="1:8" ht="15" x14ac:dyDescent="0.25">
      <c r="A111" s="88" t="s">
        <v>2811</v>
      </c>
      <c r="B111" s="88">
        <v>2006</v>
      </c>
      <c r="C111" s="89" t="s">
        <v>2940</v>
      </c>
      <c r="D111" s="88" t="s">
        <v>160</v>
      </c>
      <c r="F111" s="70">
        <f t="shared" si="2"/>
        <v>2006</v>
      </c>
      <c r="G111" s="70" t="s">
        <v>159</v>
      </c>
      <c r="H111" s="70" t="str">
        <f t="shared" si="3"/>
        <v>ATN</v>
      </c>
    </row>
    <row r="112" spans="1:8" ht="15" x14ac:dyDescent="0.25">
      <c r="A112" s="88" t="s">
        <v>2811</v>
      </c>
      <c r="B112" s="88">
        <v>2007</v>
      </c>
      <c r="C112" s="89" t="s">
        <v>2939</v>
      </c>
      <c r="D112" s="88" t="s">
        <v>160</v>
      </c>
      <c r="F112" s="70">
        <f t="shared" si="2"/>
        <v>2007</v>
      </c>
      <c r="G112" s="70" t="s">
        <v>159</v>
      </c>
      <c r="H112" s="70" t="str">
        <f t="shared" si="3"/>
        <v>ATN</v>
      </c>
    </row>
    <row r="113" spans="1:8" ht="15" x14ac:dyDescent="0.25">
      <c r="A113" s="88" t="s">
        <v>2811</v>
      </c>
      <c r="B113" s="88">
        <v>2007</v>
      </c>
      <c r="C113" s="89" t="s">
        <v>2938</v>
      </c>
      <c r="D113" s="88" t="s">
        <v>160</v>
      </c>
      <c r="F113" s="70">
        <f t="shared" si="2"/>
        <v>2007</v>
      </c>
      <c r="G113" s="70" t="s">
        <v>159</v>
      </c>
      <c r="H113" s="70" t="str">
        <f t="shared" si="3"/>
        <v>ATN</v>
      </c>
    </row>
    <row r="114" spans="1:8" ht="15" x14ac:dyDescent="0.25">
      <c r="A114" s="88" t="s">
        <v>2811</v>
      </c>
      <c r="B114" s="88">
        <v>2007</v>
      </c>
      <c r="C114" s="89" t="s">
        <v>2937</v>
      </c>
      <c r="D114" s="88" t="s">
        <v>160</v>
      </c>
      <c r="F114" s="70">
        <f t="shared" si="2"/>
        <v>2007</v>
      </c>
      <c r="G114" s="70" t="s">
        <v>159</v>
      </c>
      <c r="H114" s="70" t="str">
        <f t="shared" si="3"/>
        <v>ATN</v>
      </c>
    </row>
    <row r="115" spans="1:8" ht="15" x14ac:dyDescent="0.25">
      <c r="A115" s="88" t="s">
        <v>2811</v>
      </c>
      <c r="B115" s="88">
        <v>2007</v>
      </c>
      <c r="C115" s="89" t="s">
        <v>2936</v>
      </c>
      <c r="D115" s="88" t="s">
        <v>160</v>
      </c>
      <c r="F115" s="70">
        <f t="shared" si="2"/>
        <v>2007</v>
      </c>
      <c r="G115" s="70" t="s">
        <v>159</v>
      </c>
      <c r="H115" s="70" t="str">
        <f t="shared" si="3"/>
        <v>ATN</v>
      </c>
    </row>
    <row r="116" spans="1:8" ht="15" x14ac:dyDescent="0.25">
      <c r="A116" s="88" t="s">
        <v>2811</v>
      </c>
      <c r="B116" s="88">
        <v>2007</v>
      </c>
      <c r="C116" s="89" t="s">
        <v>2935</v>
      </c>
      <c r="D116" s="88" t="s">
        <v>160</v>
      </c>
      <c r="F116" s="70">
        <f t="shared" si="2"/>
        <v>2007</v>
      </c>
      <c r="G116" s="70" t="s">
        <v>159</v>
      </c>
      <c r="H116" s="70" t="str">
        <f t="shared" si="3"/>
        <v>ATN</v>
      </c>
    </row>
    <row r="117" spans="1:8" ht="15" x14ac:dyDescent="0.25">
      <c r="A117" s="88" t="s">
        <v>2811</v>
      </c>
      <c r="B117" s="88">
        <v>2007</v>
      </c>
      <c r="C117" s="89" t="s">
        <v>2934</v>
      </c>
      <c r="D117" s="88" t="s">
        <v>160</v>
      </c>
      <c r="F117" s="70">
        <f t="shared" si="2"/>
        <v>2007</v>
      </c>
      <c r="G117" s="70" t="s">
        <v>159</v>
      </c>
      <c r="H117" s="70" t="str">
        <f t="shared" si="3"/>
        <v>ATN</v>
      </c>
    </row>
    <row r="118" spans="1:8" ht="15" x14ac:dyDescent="0.25">
      <c r="A118" s="88" t="s">
        <v>2811</v>
      </c>
      <c r="B118" s="88">
        <v>2008</v>
      </c>
      <c r="C118" s="89" t="s">
        <v>2933</v>
      </c>
      <c r="D118" s="88" t="s">
        <v>160</v>
      </c>
      <c r="F118" s="70">
        <f t="shared" si="2"/>
        <v>2008</v>
      </c>
      <c r="G118" s="70" t="s">
        <v>159</v>
      </c>
      <c r="H118" s="70" t="str">
        <f t="shared" si="3"/>
        <v>ATN</v>
      </c>
    </row>
    <row r="119" spans="1:8" ht="15" x14ac:dyDescent="0.25">
      <c r="A119" s="88" t="s">
        <v>2811</v>
      </c>
      <c r="B119" s="88">
        <v>2008</v>
      </c>
      <c r="C119" s="89" t="s">
        <v>2932</v>
      </c>
      <c r="D119" s="88" t="s">
        <v>160</v>
      </c>
      <c r="F119" s="70">
        <f t="shared" si="2"/>
        <v>2008</v>
      </c>
      <c r="G119" s="70" t="s">
        <v>159</v>
      </c>
      <c r="H119" s="70" t="str">
        <f t="shared" si="3"/>
        <v>ATN</v>
      </c>
    </row>
    <row r="120" spans="1:8" ht="15" x14ac:dyDescent="0.25">
      <c r="A120" s="88" t="s">
        <v>2811</v>
      </c>
      <c r="B120" s="88">
        <v>2008</v>
      </c>
      <c r="C120" s="89" t="s">
        <v>2931</v>
      </c>
      <c r="D120" s="88" t="s">
        <v>160</v>
      </c>
      <c r="F120" s="70">
        <f t="shared" si="2"/>
        <v>2008</v>
      </c>
      <c r="G120" s="70" t="s">
        <v>159</v>
      </c>
      <c r="H120" s="70" t="str">
        <f t="shared" si="3"/>
        <v>ATN</v>
      </c>
    </row>
    <row r="121" spans="1:8" ht="15" x14ac:dyDescent="0.25">
      <c r="A121" s="88" t="s">
        <v>2811</v>
      </c>
      <c r="B121" s="88">
        <v>2008</v>
      </c>
      <c r="C121" s="89" t="s">
        <v>2930</v>
      </c>
      <c r="D121" s="88" t="s">
        <v>160</v>
      </c>
      <c r="F121" s="70">
        <f t="shared" si="2"/>
        <v>2008</v>
      </c>
      <c r="G121" s="70" t="s">
        <v>159</v>
      </c>
      <c r="H121" s="70" t="str">
        <f t="shared" si="3"/>
        <v>ATN</v>
      </c>
    </row>
    <row r="122" spans="1:8" ht="15" x14ac:dyDescent="0.25">
      <c r="A122" s="88" t="s">
        <v>2811</v>
      </c>
      <c r="B122" s="88">
        <v>2009</v>
      </c>
      <c r="C122" s="89" t="s">
        <v>2929</v>
      </c>
      <c r="D122" s="88" t="s">
        <v>160</v>
      </c>
      <c r="F122" s="70">
        <f t="shared" si="2"/>
        <v>2009</v>
      </c>
      <c r="G122" s="70" t="s">
        <v>159</v>
      </c>
      <c r="H122" s="70" t="str">
        <f t="shared" si="3"/>
        <v>ATN</v>
      </c>
    </row>
    <row r="123" spans="1:8" ht="15" x14ac:dyDescent="0.25">
      <c r="A123" s="88" t="s">
        <v>2811</v>
      </c>
      <c r="B123" s="88">
        <v>2009</v>
      </c>
      <c r="C123" s="89" t="s">
        <v>2928</v>
      </c>
      <c r="D123" s="88" t="s">
        <v>160</v>
      </c>
      <c r="F123" s="70">
        <f t="shared" si="2"/>
        <v>2009</v>
      </c>
      <c r="G123" s="70" t="s">
        <v>159</v>
      </c>
      <c r="H123" s="70" t="str">
        <f t="shared" si="3"/>
        <v>ATN</v>
      </c>
    </row>
    <row r="124" spans="1:8" ht="15" x14ac:dyDescent="0.25">
      <c r="A124" s="88" t="s">
        <v>2811</v>
      </c>
      <c r="B124" s="88">
        <v>2009</v>
      </c>
      <c r="C124" s="89" t="s">
        <v>2927</v>
      </c>
      <c r="D124" s="88" t="s">
        <v>160</v>
      </c>
      <c r="F124" s="70">
        <f t="shared" si="2"/>
        <v>2009</v>
      </c>
      <c r="G124" s="70" t="s">
        <v>159</v>
      </c>
      <c r="H124" s="70" t="str">
        <f t="shared" si="3"/>
        <v>ATN</v>
      </c>
    </row>
    <row r="125" spans="1:8" ht="15" x14ac:dyDescent="0.25">
      <c r="A125" s="88" t="s">
        <v>2811</v>
      </c>
      <c r="B125" s="88">
        <v>2009</v>
      </c>
      <c r="C125" s="89" t="s">
        <v>2926</v>
      </c>
      <c r="D125" s="88" t="s">
        <v>160</v>
      </c>
      <c r="F125" s="70">
        <f t="shared" si="2"/>
        <v>2009</v>
      </c>
      <c r="G125" s="70" t="s">
        <v>159</v>
      </c>
      <c r="H125" s="70" t="str">
        <f t="shared" si="3"/>
        <v>ATN</v>
      </c>
    </row>
    <row r="126" spans="1:8" ht="15" x14ac:dyDescent="0.25">
      <c r="A126" s="88" t="s">
        <v>2811</v>
      </c>
      <c r="B126" s="88">
        <v>2009</v>
      </c>
      <c r="C126" s="89" t="s">
        <v>2925</v>
      </c>
      <c r="D126" s="88" t="s">
        <v>160</v>
      </c>
      <c r="F126" s="70">
        <f t="shared" si="2"/>
        <v>2009</v>
      </c>
      <c r="G126" s="70" t="s">
        <v>159</v>
      </c>
      <c r="H126" s="70" t="str">
        <f t="shared" si="3"/>
        <v>ATN</v>
      </c>
    </row>
    <row r="127" spans="1:8" ht="15" x14ac:dyDescent="0.25">
      <c r="A127" s="88" t="s">
        <v>2811</v>
      </c>
      <c r="B127" s="88">
        <v>2009</v>
      </c>
      <c r="C127" s="89" t="s">
        <v>2924</v>
      </c>
      <c r="D127" s="88" t="s">
        <v>160</v>
      </c>
      <c r="F127" s="70">
        <f t="shared" si="2"/>
        <v>2009</v>
      </c>
      <c r="G127" s="70" t="s">
        <v>159</v>
      </c>
      <c r="H127" s="70" t="str">
        <f t="shared" si="3"/>
        <v>ATN</v>
      </c>
    </row>
    <row r="128" spans="1:8" ht="15" x14ac:dyDescent="0.25">
      <c r="A128" s="88" t="s">
        <v>2811</v>
      </c>
      <c r="B128" s="88">
        <v>2009</v>
      </c>
      <c r="C128" s="89" t="s">
        <v>2923</v>
      </c>
      <c r="D128" s="88" t="s">
        <v>160</v>
      </c>
      <c r="F128" s="70">
        <f t="shared" si="2"/>
        <v>2009</v>
      </c>
      <c r="G128" s="70" t="s">
        <v>159</v>
      </c>
      <c r="H128" s="70" t="str">
        <f t="shared" si="3"/>
        <v>ATN</v>
      </c>
    </row>
    <row r="129" spans="1:8" ht="15" x14ac:dyDescent="0.25">
      <c r="A129" s="88" t="s">
        <v>2811</v>
      </c>
      <c r="B129" s="88">
        <v>2009</v>
      </c>
      <c r="C129" s="89" t="s">
        <v>2922</v>
      </c>
      <c r="D129" s="88" t="s">
        <v>160</v>
      </c>
      <c r="F129" s="70">
        <f t="shared" si="2"/>
        <v>2009</v>
      </c>
      <c r="G129" s="70" t="s">
        <v>159</v>
      </c>
      <c r="H129" s="70" t="str">
        <f t="shared" si="3"/>
        <v>ATN</v>
      </c>
    </row>
    <row r="130" spans="1:8" ht="15" x14ac:dyDescent="0.25">
      <c r="A130" s="88" t="s">
        <v>2811</v>
      </c>
      <c r="B130" s="88">
        <v>2009</v>
      </c>
      <c r="C130" s="89" t="s">
        <v>2921</v>
      </c>
      <c r="D130" s="88" t="s">
        <v>160</v>
      </c>
      <c r="F130" s="70">
        <f t="shared" si="2"/>
        <v>2009</v>
      </c>
      <c r="G130" s="70" t="s">
        <v>159</v>
      </c>
      <c r="H130" s="70" t="str">
        <f t="shared" si="3"/>
        <v>ATN</v>
      </c>
    </row>
    <row r="131" spans="1:8" ht="15" x14ac:dyDescent="0.25">
      <c r="A131" s="88" t="s">
        <v>2811</v>
      </c>
      <c r="B131" s="88">
        <v>2009</v>
      </c>
      <c r="C131" s="89" t="s">
        <v>2920</v>
      </c>
      <c r="D131" s="88" t="s">
        <v>160</v>
      </c>
      <c r="F131" s="70">
        <f t="shared" si="2"/>
        <v>2009</v>
      </c>
      <c r="G131" s="70" t="s">
        <v>159</v>
      </c>
      <c r="H131" s="70" t="str">
        <f t="shared" si="3"/>
        <v>ATN</v>
      </c>
    </row>
    <row r="132" spans="1:8" ht="15" x14ac:dyDescent="0.25">
      <c r="A132" s="88" t="s">
        <v>2811</v>
      </c>
      <c r="B132" s="88">
        <v>2009</v>
      </c>
      <c r="C132" s="89" t="s">
        <v>2919</v>
      </c>
      <c r="D132" s="88" t="s">
        <v>160</v>
      </c>
      <c r="F132" s="70">
        <f t="shared" si="2"/>
        <v>2009</v>
      </c>
      <c r="G132" s="70" t="s">
        <v>159</v>
      </c>
      <c r="H132" s="70" t="str">
        <f t="shared" si="3"/>
        <v>ATN</v>
      </c>
    </row>
    <row r="133" spans="1:8" ht="15" x14ac:dyDescent="0.25">
      <c r="A133" s="88" t="s">
        <v>2811</v>
      </c>
      <c r="B133" s="88">
        <v>2009</v>
      </c>
      <c r="C133" s="89" t="s">
        <v>2918</v>
      </c>
      <c r="D133" s="88" t="s">
        <v>160</v>
      </c>
      <c r="F133" s="70">
        <f t="shared" si="2"/>
        <v>2009</v>
      </c>
      <c r="G133" s="70" t="s">
        <v>159</v>
      </c>
      <c r="H133" s="70" t="str">
        <f t="shared" si="3"/>
        <v>ATN</v>
      </c>
    </row>
    <row r="134" spans="1:8" ht="15" x14ac:dyDescent="0.25">
      <c r="A134" s="88" t="s">
        <v>2811</v>
      </c>
      <c r="B134" s="88">
        <v>2009</v>
      </c>
      <c r="C134" s="89" t="s">
        <v>2917</v>
      </c>
      <c r="D134" s="88" t="s">
        <v>160</v>
      </c>
      <c r="F134" s="70">
        <f t="shared" si="2"/>
        <v>2009</v>
      </c>
      <c r="G134" s="70" t="s">
        <v>159</v>
      </c>
      <c r="H134" s="70" t="str">
        <f t="shared" si="3"/>
        <v>ATN</v>
      </c>
    </row>
    <row r="135" spans="1:8" ht="15" x14ac:dyDescent="0.25">
      <c r="A135" s="88" t="s">
        <v>2811</v>
      </c>
      <c r="B135" s="88">
        <v>2009</v>
      </c>
      <c r="C135" s="89" t="s">
        <v>2916</v>
      </c>
      <c r="D135" s="88" t="s">
        <v>160</v>
      </c>
      <c r="F135" s="70">
        <f t="shared" si="2"/>
        <v>2009</v>
      </c>
      <c r="G135" s="70" t="s">
        <v>159</v>
      </c>
      <c r="H135" s="70" t="str">
        <f t="shared" si="3"/>
        <v>ATN</v>
      </c>
    </row>
    <row r="136" spans="1:8" ht="15" x14ac:dyDescent="0.25">
      <c r="A136" s="88" t="s">
        <v>2811</v>
      </c>
      <c r="B136" s="88">
        <v>2009</v>
      </c>
      <c r="C136" s="89" t="s">
        <v>2915</v>
      </c>
      <c r="D136" s="88" t="s">
        <v>160</v>
      </c>
      <c r="F136" s="70">
        <f t="shared" ref="F136:F199" si="4">+B136</f>
        <v>2009</v>
      </c>
      <c r="G136" s="70" t="s">
        <v>159</v>
      </c>
      <c r="H136" s="70" t="str">
        <f t="shared" ref="H136:H199" si="5">A136</f>
        <v>ATN</v>
      </c>
    </row>
    <row r="137" spans="1:8" ht="15" x14ac:dyDescent="0.25">
      <c r="A137" s="88" t="s">
        <v>2811</v>
      </c>
      <c r="B137" s="88">
        <v>2009</v>
      </c>
      <c r="C137" s="89" t="s">
        <v>2914</v>
      </c>
      <c r="D137" s="88" t="s">
        <v>160</v>
      </c>
      <c r="F137" s="70">
        <f t="shared" si="4"/>
        <v>2009</v>
      </c>
      <c r="G137" s="70" t="s">
        <v>159</v>
      </c>
      <c r="H137" s="70" t="str">
        <f t="shared" si="5"/>
        <v>ATN</v>
      </c>
    </row>
    <row r="138" spans="1:8" ht="15" x14ac:dyDescent="0.25">
      <c r="A138" s="88" t="s">
        <v>2811</v>
      </c>
      <c r="B138" s="88">
        <v>2010</v>
      </c>
      <c r="C138" s="89" t="s">
        <v>2913</v>
      </c>
      <c r="D138" s="88" t="s">
        <v>160</v>
      </c>
      <c r="F138" s="70">
        <f t="shared" si="4"/>
        <v>2010</v>
      </c>
      <c r="G138" s="70" t="s">
        <v>159</v>
      </c>
      <c r="H138" s="70" t="str">
        <f t="shared" si="5"/>
        <v>ATN</v>
      </c>
    </row>
    <row r="139" spans="1:8" ht="15" x14ac:dyDescent="0.25">
      <c r="A139" s="88" t="s">
        <v>2811</v>
      </c>
      <c r="B139" s="88">
        <v>2010</v>
      </c>
      <c r="C139" s="89" t="s">
        <v>2912</v>
      </c>
      <c r="D139" s="88" t="s">
        <v>160</v>
      </c>
      <c r="F139" s="70">
        <f t="shared" si="4"/>
        <v>2010</v>
      </c>
      <c r="G139" s="70" t="s">
        <v>159</v>
      </c>
      <c r="H139" s="70" t="str">
        <f t="shared" si="5"/>
        <v>ATN</v>
      </c>
    </row>
    <row r="140" spans="1:8" ht="15" x14ac:dyDescent="0.25">
      <c r="A140" s="88" t="s">
        <v>2811</v>
      </c>
      <c r="B140" s="88">
        <v>2010</v>
      </c>
      <c r="C140" s="89" t="s">
        <v>2911</v>
      </c>
      <c r="D140" s="88" t="s">
        <v>160</v>
      </c>
      <c r="F140" s="70">
        <f t="shared" si="4"/>
        <v>2010</v>
      </c>
      <c r="G140" s="70" t="s">
        <v>159</v>
      </c>
      <c r="H140" s="70" t="str">
        <f t="shared" si="5"/>
        <v>ATN</v>
      </c>
    </row>
    <row r="141" spans="1:8" ht="15" x14ac:dyDescent="0.25">
      <c r="A141" s="88" t="s">
        <v>2811</v>
      </c>
      <c r="B141" s="88">
        <v>2010</v>
      </c>
      <c r="C141" s="89" t="s">
        <v>2910</v>
      </c>
      <c r="D141" s="88" t="s">
        <v>160</v>
      </c>
      <c r="F141" s="70">
        <f t="shared" si="4"/>
        <v>2010</v>
      </c>
      <c r="G141" s="70" t="s">
        <v>159</v>
      </c>
      <c r="H141" s="70" t="str">
        <f t="shared" si="5"/>
        <v>ATN</v>
      </c>
    </row>
    <row r="142" spans="1:8" ht="15" x14ac:dyDescent="0.25">
      <c r="A142" s="88" t="s">
        <v>2811</v>
      </c>
      <c r="B142" s="88">
        <v>2010</v>
      </c>
      <c r="C142" s="89" t="s">
        <v>2909</v>
      </c>
      <c r="D142" s="88" t="s">
        <v>160</v>
      </c>
      <c r="F142" s="70">
        <f t="shared" si="4"/>
        <v>2010</v>
      </c>
      <c r="G142" s="70" t="s">
        <v>159</v>
      </c>
      <c r="H142" s="70" t="str">
        <f t="shared" si="5"/>
        <v>ATN</v>
      </c>
    </row>
    <row r="143" spans="1:8" ht="15" x14ac:dyDescent="0.25">
      <c r="A143" s="88" t="s">
        <v>2811</v>
      </c>
      <c r="B143" s="88">
        <v>2010</v>
      </c>
      <c r="C143" s="89" t="s">
        <v>2908</v>
      </c>
      <c r="D143" s="88" t="s">
        <v>160</v>
      </c>
      <c r="F143" s="70">
        <f t="shared" si="4"/>
        <v>2010</v>
      </c>
      <c r="G143" s="70" t="s">
        <v>159</v>
      </c>
      <c r="H143" s="70" t="str">
        <f t="shared" si="5"/>
        <v>ATN</v>
      </c>
    </row>
    <row r="144" spans="1:8" ht="15" x14ac:dyDescent="0.25">
      <c r="A144" s="88" t="s">
        <v>2811</v>
      </c>
      <c r="B144" s="88">
        <v>2010</v>
      </c>
      <c r="C144" s="89" t="s">
        <v>2907</v>
      </c>
      <c r="D144" s="88" t="s">
        <v>160</v>
      </c>
      <c r="F144" s="70">
        <f t="shared" si="4"/>
        <v>2010</v>
      </c>
      <c r="G144" s="70" t="s">
        <v>159</v>
      </c>
      <c r="H144" s="70" t="str">
        <f t="shared" si="5"/>
        <v>ATN</v>
      </c>
    </row>
    <row r="145" spans="1:8" ht="15" x14ac:dyDescent="0.25">
      <c r="A145" s="88" t="s">
        <v>2811</v>
      </c>
      <c r="B145" s="88">
        <v>2010</v>
      </c>
      <c r="C145" s="89" t="s">
        <v>2906</v>
      </c>
      <c r="D145" s="88" t="s">
        <v>160</v>
      </c>
      <c r="F145" s="70">
        <f t="shared" si="4"/>
        <v>2010</v>
      </c>
      <c r="G145" s="70" t="s">
        <v>159</v>
      </c>
      <c r="H145" s="70" t="str">
        <f t="shared" si="5"/>
        <v>ATN</v>
      </c>
    </row>
    <row r="146" spans="1:8" ht="15" x14ac:dyDescent="0.25">
      <c r="A146" s="88" t="s">
        <v>2811</v>
      </c>
      <c r="B146" s="88">
        <v>2011</v>
      </c>
      <c r="C146" s="89" t="s">
        <v>2905</v>
      </c>
      <c r="D146" s="88" t="s">
        <v>160</v>
      </c>
      <c r="F146" s="70">
        <f t="shared" si="4"/>
        <v>2011</v>
      </c>
      <c r="G146" s="70" t="s">
        <v>159</v>
      </c>
      <c r="H146" s="70" t="str">
        <f t="shared" si="5"/>
        <v>ATN</v>
      </c>
    </row>
    <row r="147" spans="1:8" ht="15" x14ac:dyDescent="0.25">
      <c r="A147" s="88" t="s">
        <v>2811</v>
      </c>
      <c r="B147" s="88">
        <v>2011</v>
      </c>
      <c r="C147" s="89" t="s">
        <v>2904</v>
      </c>
      <c r="D147" s="88" t="s">
        <v>160</v>
      </c>
      <c r="F147" s="70">
        <f t="shared" si="4"/>
        <v>2011</v>
      </c>
      <c r="G147" s="70" t="s">
        <v>159</v>
      </c>
      <c r="H147" s="70" t="str">
        <f t="shared" si="5"/>
        <v>ATN</v>
      </c>
    </row>
    <row r="148" spans="1:8" ht="15" x14ac:dyDescent="0.25">
      <c r="A148" s="88" t="s">
        <v>2811</v>
      </c>
      <c r="B148" s="88">
        <v>2011</v>
      </c>
      <c r="C148" s="89" t="s">
        <v>2903</v>
      </c>
      <c r="D148" s="88" t="s">
        <v>160</v>
      </c>
      <c r="F148" s="70">
        <f t="shared" si="4"/>
        <v>2011</v>
      </c>
      <c r="G148" s="70" t="s">
        <v>159</v>
      </c>
      <c r="H148" s="70" t="str">
        <f t="shared" si="5"/>
        <v>ATN</v>
      </c>
    </row>
    <row r="149" spans="1:8" ht="15" x14ac:dyDescent="0.25">
      <c r="A149" s="88" t="s">
        <v>2811</v>
      </c>
      <c r="B149" s="88">
        <v>2011</v>
      </c>
      <c r="C149" s="89" t="s">
        <v>2902</v>
      </c>
      <c r="D149" s="88" t="s">
        <v>160</v>
      </c>
      <c r="F149" s="70">
        <f t="shared" si="4"/>
        <v>2011</v>
      </c>
      <c r="G149" s="70" t="s">
        <v>159</v>
      </c>
      <c r="H149" s="70" t="str">
        <f t="shared" si="5"/>
        <v>ATN</v>
      </c>
    </row>
    <row r="150" spans="1:8" ht="15" x14ac:dyDescent="0.25">
      <c r="A150" s="88" t="s">
        <v>2811</v>
      </c>
      <c r="B150" s="88">
        <v>2011</v>
      </c>
      <c r="C150" s="89" t="s">
        <v>2901</v>
      </c>
      <c r="D150" s="88" t="s">
        <v>160</v>
      </c>
      <c r="F150" s="70">
        <f t="shared" si="4"/>
        <v>2011</v>
      </c>
      <c r="G150" s="70" t="s">
        <v>159</v>
      </c>
      <c r="H150" s="70" t="str">
        <f t="shared" si="5"/>
        <v>ATN</v>
      </c>
    </row>
    <row r="151" spans="1:8" ht="15" x14ac:dyDescent="0.25">
      <c r="A151" s="88" t="s">
        <v>2811</v>
      </c>
      <c r="B151" s="88">
        <v>2011</v>
      </c>
      <c r="C151" s="89" t="s">
        <v>2900</v>
      </c>
      <c r="D151" s="88" t="s">
        <v>160</v>
      </c>
      <c r="F151" s="70">
        <f t="shared" si="4"/>
        <v>2011</v>
      </c>
      <c r="G151" s="70" t="s">
        <v>159</v>
      </c>
      <c r="H151" s="70" t="str">
        <f t="shared" si="5"/>
        <v>ATN</v>
      </c>
    </row>
    <row r="152" spans="1:8" ht="15" x14ac:dyDescent="0.25">
      <c r="A152" s="88" t="s">
        <v>2811</v>
      </c>
      <c r="B152" s="88">
        <v>2011</v>
      </c>
      <c r="C152" s="89" t="s">
        <v>2899</v>
      </c>
      <c r="D152" s="88" t="s">
        <v>160</v>
      </c>
      <c r="F152" s="70">
        <f t="shared" si="4"/>
        <v>2011</v>
      </c>
      <c r="G152" s="70" t="s">
        <v>159</v>
      </c>
      <c r="H152" s="70" t="str">
        <f t="shared" si="5"/>
        <v>ATN</v>
      </c>
    </row>
    <row r="153" spans="1:8" ht="15" x14ac:dyDescent="0.25">
      <c r="A153" s="88" t="s">
        <v>2811</v>
      </c>
      <c r="B153" s="88">
        <v>2011</v>
      </c>
      <c r="C153" s="89" t="s">
        <v>2898</v>
      </c>
      <c r="D153" s="88" t="s">
        <v>160</v>
      </c>
      <c r="F153" s="70">
        <f t="shared" si="4"/>
        <v>2011</v>
      </c>
      <c r="G153" s="70" t="s">
        <v>159</v>
      </c>
      <c r="H153" s="70" t="str">
        <f t="shared" si="5"/>
        <v>ATN</v>
      </c>
    </row>
    <row r="154" spans="1:8" ht="15" x14ac:dyDescent="0.25">
      <c r="A154" s="88" t="s">
        <v>2811</v>
      </c>
      <c r="B154" s="88">
        <v>2011</v>
      </c>
      <c r="C154" s="89" t="s">
        <v>2897</v>
      </c>
      <c r="D154" s="88" t="s">
        <v>160</v>
      </c>
      <c r="F154" s="70">
        <f t="shared" si="4"/>
        <v>2011</v>
      </c>
      <c r="G154" s="70" t="s">
        <v>159</v>
      </c>
      <c r="H154" s="70" t="str">
        <f t="shared" si="5"/>
        <v>ATN</v>
      </c>
    </row>
    <row r="155" spans="1:8" ht="15" x14ac:dyDescent="0.25">
      <c r="A155" s="88" t="s">
        <v>2811</v>
      </c>
      <c r="B155" s="88">
        <v>2011</v>
      </c>
      <c r="C155" s="89" t="s">
        <v>2896</v>
      </c>
      <c r="D155" s="88" t="s">
        <v>160</v>
      </c>
      <c r="F155" s="70">
        <f t="shared" si="4"/>
        <v>2011</v>
      </c>
      <c r="G155" s="70" t="s">
        <v>159</v>
      </c>
      <c r="H155" s="70" t="str">
        <f t="shared" si="5"/>
        <v>ATN</v>
      </c>
    </row>
    <row r="156" spans="1:8" ht="15" x14ac:dyDescent="0.25">
      <c r="A156" s="88" t="s">
        <v>2811</v>
      </c>
      <c r="B156" s="88">
        <v>2011</v>
      </c>
      <c r="C156" s="89" t="s">
        <v>2895</v>
      </c>
      <c r="D156" s="88" t="s">
        <v>160</v>
      </c>
      <c r="F156" s="70">
        <f t="shared" si="4"/>
        <v>2011</v>
      </c>
      <c r="G156" s="70" t="s">
        <v>159</v>
      </c>
      <c r="H156" s="70" t="str">
        <f t="shared" si="5"/>
        <v>ATN</v>
      </c>
    </row>
    <row r="157" spans="1:8" ht="15" x14ac:dyDescent="0.25">
      <c r="A157" s="88" t="s">
        <v>2811</v>
      </c>
      <c r="B157" s="88">
        <v>2011</v>
      </c>
      <c r="C157" s="89" t="s">
        <v>2894</v>
      </c>
      <c r="D157" s="88" t="s">
        <v>160</v>
      </c>
      <c r="F157" s="70">
        <f t="shared" si="4"/>
        <v>2011</v>
      </c>
      <c r="G157" s="70" t="s">
        <v>159</v>
      </c>
      <c r="H157" s="70" t="str">
        <f t="shared" si="5"/>
        <v>ATN</v>
      </c>
    </row>
    <row r="158" spans="1:8" ht="15" x14ac:dyDescent="0.25">
      <c r="A158" s="88" t="s">
        <v>2811</v>
      </c>
      <c r="B158" s="88">
        <v>2011</v>
      </c>
      <c r="C158" s="89" t="s">
        <v>2893</v>
      </c>
      <c r="D158" s="88" t="s">
        <v>160</v>
      </c>
      <c r="F158" s="70">
        <f t="shared" si="4"/>
        <v>2011</v>
      </c>
      <c r="G158" s="70" t="s">
        <v>159</v>
      </c>
      <c r="H158" s="70" t="str">
        <f t="shared" si="5"/>
        <v>ATN</v>
      </c>
    </row>
    <row r="159" spans="1:8" ht="15" x14ac:dyDescent="0.25">
      <c r="A159" s="88" t="s">
        <v>2811</v>
      </c>
      <c r="B159" s="88">
        <v>2011</v>
      </c>
      <c r="C159" s="89" t="s">
        <v>2892</v>
      </c>
      <c r="D159" s="88" t="s">
        <v>160</v>
      </c>
      <c r="F159" s="70">
        <f t="shared" si="4"/>
        <v>2011</v>
      </c>
      <c r="G159" s="70" t="s">
        <v>159</v>
      </c>
      <c r="H159" s="70" t="str">
        <f t="shared" si="5"/>
        <v>ATN</v>
      </c>
    </row>
    <row r="160" spans="1:8" ht="15" x14ac:dyDescent="0.25">
      <c r="A160" s="68" t="s">
        <v>2811</v>
      </c>
      <c r="B160" s="68">
        <v>2012</v>
      </c>
      <c r="C160" s="86" t="s">
        <v>2891</v>
      </c>
      <c r="D160" s="69">
        <v>5000</v>
      </c>
      <c r="F160" s="70">
        <f t="shared" si="4"/>
        <v>2012</v>
      </c>
      <c r="G160" s="70" t="s">
        <v>159</v>
      </c>
      <c r="H160" s="70" t="str">
        <f t="shared" si="5"/>
        <v>ATN</v>
      </c>
    </row>
    <row r="161" spans="1:8" ht="15" x14ac:dyDescent="0.25">
      <c r="A161" s="88" t="s">
        <v>2811</v>
      </c>
      <c r="B161" s="88">
        <v>2012</v>
      </c>
      <c r="C161" s="97" t="s">
        <v>2890</v>
      </c>
      <c r="D161" s="88" t="s">
        <v>160</v>
      </c>
      <c r="F161" s="70">
        <f t="shared" si="4"/>
        <v>2012</v>
      </c>
      <c r="G161" s="70" t="s">
        <v>159</v>
      </c>
      <c r="H161" s="70" t="str">
        <f t="shared" si="5"/>
        <v>ATN</v>
      </c>
    </row>
    <row r="162" spans="1:8" ht="15" x14ac:dyDescent="0.25">
      <c r="A162" s="88" t="s">
        <v>2811</v>
      </c>
      <c r="B162" s="88">
        <v>2012</v>
      </c>
      <c r="C162" s="97" t="s">
        <v>2889</v>
      </c>
      <c r="D162" s="88" t="s">
        <v>160</v>
      </c>
      <c r="F162" s="70">
        <f t="shared" si="4"/>
        <v>2012</v>
      </c>
      <c r="G162" s="70" t="s">
        <v>159</v>
      </c>
      <c r="H162" s="70" t="str">
        <f t="shared" si="5"/>
        <v>ATN</v>
      </c>
    </row>
    <row r="163" spans="1:8" ht="15" x14ac:dyDescent="0.25">
      <c r="A163" s="88" t="s">
        <v>2811</v>
      </c>
      <c r="B163" s="88">
        <v>2012</v>
      </c>
      <c r="C163" s="97" t="s">
        <v>2888</v>
      </c>
      <c r="D163" s="88" t="s">
        <v>160</v>
      </c>
      <c r="F163" s="70">
        <f t="shared" si="4"/>
        <v>2012</v>
      </c>
      <c r="G163" s="70" t="s">
        <v>159</v>
      </c>
      <c r="H163" s="70" t="str">
        <f t="shared" si="5"/>
        <v>ATN</v>
      </c>
    </row>
    <row r="164" spans="1:8" ht="15" x14ac:dyDescent="0.25">
      <c r="A164" s="88" t="s">
        <v>2811</v>
      </c>
      <c r="B164" s="88">
        <v>2012</v>
      </c>
      <c r="C164" s="97" t="s">
        <v>2887</v>
      </c>
      <c r="D164" s="88" t="s">
        <v>160</v>
      </c>
      <c r="F164" s="70">
        <f t="shared" si="4"/>
        <v>2012</v>
      </c>
      <c r="G164" s="70" t="s">
        <v>159</v>
      </c>
      <c r="H164" s="70" t="str">
        <f t="shared" si="5"/>
        <v>ATN</v>
      </c>
    </row>
    <row r="165" spans="1:8" ht="15" x14ac:dyDescent="0.25">
      <c r="A165" s="88" t="s">
        <v>2811</v>
      </c>
      <c r="B165" s="88">
        <v>2012</v>
      </c>
      <c r="C165" s="97" t="s">
        <v>2886</v>
      </c>
      <c r="D165" s="88" t="s">
        <v>160</v>
      </c>
      <c r="F165" s="70">
        <f t="shared" si="4"/>
        <v>2012</v>
      </c>
      <c r="G165" s="70" t="s">
        <v>159</v>
      </c>
      <c r="H165" s="70" t="str">
        <f t="shared" si="5"/>
        <v>ATN</v>
      </c>
    </row>
    <row r="166" spans="1:8" ht="15" x14ac:dyDescent="0.25">
      <c r="A166" s="88" t="s">
        <v>2811</v>
      </c>
      <c r="B166" s="88">
        <v>2012</v>
      </c>
      <c r="C166" s="97" t="s">
        <v>2885</v>
      </c>
      <c r="D166" s="88" t="s">
        <v>160</v>
      </c>
      <c r="F166" s="70">
        <f t="shared" si="4"/>
        <v>2012</v>
      </c>
      <c r="G166" s="70" t="s">
        <v>159</v>
      </c>
      <c r="H166" s="70" t="str">
        <f t="shared" si="5"/>
        <v>ATN</v>
      </c>
    </row>
    <row r="167" spans="1:8" ht="15" x14ac:dyDescent="0.25">
      <c r="A167" s="88" t="s">
        <v>2811</v>
      </c>
      <c r="B167" s="88">
        <v>2012</v>
      </c>
      <c r="C167" s="97" t="s">
        <v>2884</v>
      </c>
      <c r="D167" s="88" t="s">
        <v>160</v>
      </c>
      <c r="F167" s="70">
        <f t="shared" si="4"/>
        <v>2012</v>
      </c>
      <c r="G167" s="70" t="s">
        <v>159</v>
      </c>
      <c r="H167" s="70" t="str">
        <f t="shared" si="5"/>
        <v>ATN</v>
      </c>
    </row>
    <row r="168" spans="1:8" ht="15" x14ac:dyDescent="0.25">
      <c r="A168" s="88" t="s">
        <v>2811</v>
      </c>
      <c r="B168" s="88">
        <v>2012</v>
      </c>
      <c r="C168" s="97" t="s">
        <v>2883</v>
      </c>
      <c r="D168" s="88" t="s">
        <v>160</v>
      </c>
      <c r="F168" s="70">
        <f t="shared" si="4"/>
        <v>2012</v>
      </c>
      <c r="G168" s="70" t="s">
        <v>159</v>
      </c>
      <c r="H168" s="70" t="str">
        <f t="shared" si="5"/>
        <v>ATN</v>
      </c>
    </row>
    <row r="169" spans="1:8" ht="15" x14ac:dyDescent="0.25">
      <c r="A169" s="88" t="s">
        <v>2811</v>
      </c>
      <c r="B169" s="88">
        <v>2012</v>
      </c>
      <c r="C169" s="97" t="s">
        <v>2882</v>
      </c>
      <c r="D169" s="88" t="s">
        <v>160</v>
      </c>
      <c r="F169" s="70">
        <f t="shared" si="4"/>
        <v>2012</v>
      </c>
      <c r="G169" s="70" t="s">
        <v>159</v>
      </c>
      <c r="H169" s="70" t="str">
        <f t="shared" si="5"/>
        <v>ATN</v>
      </c>
    </row>
    <row r="170" spans="1:8" ht="15" x14ac:dyDescent="0.25">
      <c r="A170" s="88" t="s">
        <v>2811</v>
      </c>
      <c r="B170" s="88">
        <v>2012</v>
      </c>
      <c r="C170" s="97" t="s">
        <v>2881</v>
      </c>
      <c r="D170" s="88" t="s">
        <v>160</v>
      </c>
      <c r="F170" s="70">
        <f t="shared" si="4"/>
        <v>2012</v>
      </c>
      <c r="G170" s="70" t="s">
        <v>159</v>
      </c>
      <c r="H170" s="70" t="str">
        <f t="shared" si="5"/>
        <v>ATN</v>
      </c>
    </row>
    <row r="171" spans="1:8" ht="15" x14ac:dyDescent="0.25">
      <c r="A171" s="88" t="s">
        <v>2811</v>
      </c>
      <c r="B171" s="88">
        <v>2012</v>
      </c>
      <c r="C171" s="97" t="s">
        <v>2880</v>
      </c>
      <c r="D171" s="88" t="s">
        <v>160</v>
      </c>
      <c r="F171" s="70">
        <f t="shared" si="4"/>
        <v>2012</v>
      </c>
      <c r="G171" s="70" t="s">
        <v>159</v>
      </c>
      <c r="H171" s="70" t="str">
        <f t="shared" si="5"/>
        <v>ATN</v>
      </c>
    </row>
    <row r="172" spans="1:8" ht="15" x14ac:dyDescent="0.25">
      <c r="A172" s="88" t="s">
        <v>2811</v>
      </c>
      <c r="B172" s="88">
        <v>2012</v>
      </c>
      <c r="C172" s="97" t="s">
        <v>2879</v>
      </c>
      <c r="D172" s="88" t="s">
        <v>160</v>
      </c>
      <c r="F172" s="70">
        <f t="shared" si="4"/>
        <v>2012</v>
      </c>
      <c r="G172" s="70" t="s">
        <v>159</v>
      </c>
      <c r="H172" s="70" t="str">
        <f t="shared" si="5"/>
        <v>ATN</v>
      </c>
    </row>
    <row r="173" spans="1:8" ht="15" x14ac:dyDescent="0.25">
      <c r="A173" s="88" t="s">
        <v>2811</v>
      </c>
      <c r="B173" s="88">
        <v>2012</v>
      </c>
      <c r="C173" s="97" t="s">
        <v>2878</v>
      </c>
      <c r="D173" s="88" t="s">
        <v>160</v>
      </c>
      <c r="F173" s="70">
        <f t="shared" si="4"/>
        <v>2012</v>
      </c>
      <c r="G173" s="70" t="s">
        <v>159</v>
      </c>
      <c r="H173" s="70" t="str">
        <f t="shared" si="5"/>
        <v>ATN</v>
      </c>
    </row>
    <row r="174" spans="1:8" ht="15" x14ac:dyDescent="0.25">
      <c r="A174" s="88" t="s">
        <v>2811</v>
      </c>
      <c r="B174" s="88">
        <v>2012</v>
      </c>
      <c r="C174" s="97" t="s">
        <v>2877</v>
      </c>
      <c r="D174" s="88" t="s">
        <v>160</v>
      </c>
      <c r="F174" s="70">
        <f t="shared" si="4"/>
        <v>2012</v>
      </c>
      <c r="G174" s="70" t="s">
        <v>159</v>
      </c>
      <c r="H174" s="70" t="str">
        <f t="shared" si="5"/>
        <v>ATN</v>
      </c>
    </row>
    <row r="175" spans="1:8" ht="15" x14ac:dyDescent="0.25">
      <c r="A175" s="88" t="s">
        <v>2811</v>
      </c>
      <c r="B175" s="88">
        <v>2012</v>
      </c>
      <c r="C175" s="97" t="s">
        <v>2876</v>
      </c>
      <c r="D175" s="88" t="s">
        <v>160</v>
      </c>
      <c r="F175" s="70">
        <f t="shared" si="4"/>
        <v>2012</v>
      </c>
      <c r="G175" s="70" t="s">
        <v>159</v>
      </c>
      <c r="H175" s="70" t="str">
        <f t="shared" si="5"/>
        <v>ATN</v>
      </c>
    </row>
    <row r="176" spans="1:8" ht="15" x14ac:dyDescent="0.25">
      <c r="A176" s="68" t="s">
        <v>2811</v>
      </c>
      <c r="B176" s="68">
        <v>2013</v>
      </c>
      <c r="C176" s="76" t="s">
        <v>2875</v>
      </c>
      <c r="D176" s="69">
        <v>5000</v>
      </c>
      <c r="F176" s="70">
        <f t="shared" si="4"/>
        <v>2013</v>
      </c>
      <c r="G176" s="70" t="s">
        <v>159</v>
      </c>
      <c r="H176" s="70" t="str">
        <f t="shared" si="5"/>
        <v>ATN</v>
      </c>
    </row>
    <row r="177" spans="1:8" ht="15" x14ac:dyDescent="0.25">
      <c r="A177" s="68" t="s">
        <v>2811</v>
      </c>
      <c r="B177" s="68">
        <v>2013</v>
      </c>
      <c r="C177" s="76" t="s">
        <v>2874</v>
      </c>
      <c r="D177" s="69">
        <v>5000</v>
      </c>
      <c r="F177" s="70">
        <f t="shared" si="4"/>
        <v>2013</v>
      </c>
      <c r="G177" s="70" t="s">
        <v>159</v>
      </c>
      <c r="H177" s="70" t="str">
        <f t="shared" si="5"/>
        <v>ATN</v>
      </c>
    </row>
    <row r="178" spans="1:8" ht="15" x14ac:dyDescent="0.25">
      <c r="A178" s="68" t="s">
        <v>2811</v>
      </c>
      <c r="B178" s="68">
        <v>2013</v>
      </c>
      <c r="C178" s="76" t="s">
        <v>2873</v>
      </c>
      <c r="D178" s="69">
        <v>5000</v>
      </c>
      <c r="F178" s="70">
        <f t="shared" si="4"/>
        <v>2013</v>
      </c>
      <c r="G178" s="70" t="s">
        <v>159</v>
      </c>
      <c r="H178" s="70" t="str">
        <f t="shared" si="5"/>
        <v>ATN</v>
      </c>
    </row>
    <row r="179" spans="1:8" ht="15" x14ac:dyDescent="0.25">
      <c r="A179" s="68" t="s">
        <v>2811</v>
      </c>
      <c r="B179" s="68">
        <v>2013</v>
      </c>
      <c r="C179" s="76" t="s">
        <v>2872</v>
      </c>
      <c r="D179" s="69">
        <v>5000</v>
      </c>
      <c r="F179" s="70">
        <f t="shared" si="4"/>
        <v>2013</v>
      </c>
      <c r="G179" s="70" t="s">
        <v>159</v>
      </c>
      <c r="H179" s="70" t="str">
        <f t="shared" si="5"/>
        <v>ATN</v>
      </c>
    </row>
    <row r="180" spans="1:8" ht="15" x14ac:dyDescent="0.25">
      <c r="A180" s="68" t="s">
        <v>2811</v>
      </c>
      <c r="B180" s="68">
        <v>2013</v>
      </c>
      <c r="C180" s="76" t="s">
        <v>2871</v>
      </c>
      <c r="D180" s="69">
        <v>5000</v>
      </c>
      <c r="F180" s="70">
        <f t="shared" si="4"/>
        <v>2013</v>
      </c>
      <c r="G180" s="70" t="s">
        <v>159</v>
      </c>
      <c r="H180" s="70" t="str">
        <f t="shared" si="5"/>
        <v>ATN</v>
      </c>
    </row>
    <row r="181" spans="1:8" ht="15" x14ac:dyDescent="0.25">
      <c r="A181" s="68" t="s">
        <v>2811</v>
      </c>
      <c r="B181" s="68">
        <v>2013</v>
      </c>
      <c r="C181" s="76" t="s">
        <v>2870</v>
      </c>
      <c r="D181" s="69">
        <v>5000</v>
      </c>
      <c r="F181" s="70">
        <f t="shared" si="4"/>
        <v>2013</v>
      </c>
      <c r="G181" s="70" t="s">
        <v>159</v>
      </c>
      <c r="H181" s="70" t="str">
        <f t="shared" si="5"/>
        <v>ATN</v>
      </c>
    </row>
    <row r="182" spans="1:8" ht="15" x14ac:dyDescent="0.25">
      <c r="A182" s="68" t="s">
        <v>2811</v>
      </c>
      <c r="B182" s="68">
        <v>2013</v>
      </c>
      <c r="C182" s="76" t="s">
        <v>2869</v>
      </c>
      <c r="D182" s="69">
        <v>5000</v>
      </c>
      <c r="F182" s="70">
        <f t="shared" si="4"/>
        <v>2013</v>
      </c>
      <c r="G182" s="70" t="s">
        <v>159</v>
      </c>
      <c r="H182" s="70" t="str">
        <f t="shared" si="5"/>
        <v>ATN</v>
      </c>
    </row>
    <row r="183" spans="1:8" ht="15" x14ac:dyDescent="0.25">
      <c r="A183" s="68" t="s">
        <v>2811</v>
      </c>
      <c r="B183" s="68">
        <v>2013</v>
      </c>
      <c r="C183" s="76" t="s">
        <v>2868</v>
      </c>
      <c r="D183" s="69">
        <v>5000</v>
      </c>
      <c r="F183" s="70">
        <f t="shared" si="4"/>
        <v>2013</v>
      </c>
      <c r="G183" s="70" t="s">
        <v>159</v>
      </c>
      <c r="H183" s="70" t="str">
        <f t="shared" si="5"/>
        <v>ATN</v>
      </c>
    </row>
    <row r="184" spans="1:8" ht="15" x14ac:dyDescent="0.25">
      <c r="A184" s="68" t="s">
        <v>2811</v>
      </c>
      <c r="B184" s="68">
        <v>2013</v>
      </c>
      <c r="C184" s="76" t="s">
        <v>2867</v>
      </c>
      <c r="D184" s="69">
        <v>5000</v>
      </c>
      <c r="F184" s="70">
        <f t="shared" si="4"/>
        <v>2013</v>
      </c>
      <c r="G184" s="70" t="s">
        <v>159</v>
      </c>
      <c r="H184" s="70" t="str">
        <f t="shared" si="5"/>
        <v>ATN</v>
      </c>
    </row>
    <row r="185" spans="1:8" ht="15" x14ac:dyDescent="0.25">
      <c r="A185" s="68" t="s">
        <v>2811</v>
      </c>
      <c r="B185" s="68">
        <v>2013</v>
      </c>
      <c r="C185" s="76" t="s">
        <v>2866</v>
      </c>
      <c r="D185" s="69">
        <v>5000</v>
      </c>
      <c r="F185" s="70">
        <f t="shared" si="4"/>
        <v>2013</v>
      </c>
      <c r="G185" s="70" t="s">
        <v>159</v>
      </c>
      <c r="H185" s="70" t="str">
        <f t="shared" si="5"/>
        <v>ATN</v>
      </c>
    </row>
    <row r="186" spans="1:8" ht="15" x14ac:dyDescent="0.25">
      <c r="A186" s="68" t="s">
        <v>2811</v>
      </c>
      <c r="B186" s="68">
        <v>2013</v>
      </c>
      <c r="C186" s="76" t="s">
        <v>2865</v>
      </c>
      <c r="D186" s="69">
        <v>5000</v>
      </c>
      <c r="F186" s="70">
        <f t="shared" si="4"/>
        <v>2013</v>
      </c>
      <c r="G186" s="70" t="s">
        <v>159</v>
      </c>
      <c r="H186" s="70" t="str">
        <f t="shared" si="5"/>
        <v>ATN</v>
      </c>
    </row>
    <row r="187" spans="1:8" ht="15" x14ac:dyDescent="0.25">
      <c r="A187" s="68" t="s">
        <v>2811</v>
      </c>
      <c r="B187" s="68">
        <v>2014</v>
      </c>
      <c r="C187" s="76" t="s">
        <v>2864</v>
      </c>
      <c r="D187" s="69">
        <v>5000</v>
      </c>
      <c r="F187" s="70">
        <f t="shared" si="4"/>
        <v>2014</v>
      </c>
      <c r="G187" s="70" t="s">
        <v>159</v>
      </c>
      <c r="H187" s="70" t="str">
        <f t="shared" si="5"/>
        <v>ATN</v>
      </c>
    </row>
    <row r="188" spans="1:8" ht="15" x14ac:dyDescent="0.25">
      <c r="A188" s="68" t="s">
        <v>2811</v>
      </c>
      <c r="B188" s="68">
        <v>2014</v>
      </c>
      <c r="C188" s="76" t="s">
        <v>2863</v>
      </c>
      <c r="D188" s="69">
        <v>5000</v>
      </c>
      <c r="F188" s="70">
        <f t="shared" si="4"/>
        <v>2014</v>
      </c>
      <c r="G188" s="70" t="s">
        <v>159</v>
      </c>
      <c r="H188" s="70" t="str">
        <f t="shared" si="5"/>
        <v>ATN</v>
      </c>
    </row>
    <row r="189" spans="1:8" ht="15" x14ac:dyDescent="0.25">
      <c r="A189" s="68" t="s">
        <v>2811</v>
      </c>
      <c r="B189" s="68">
        <v>2014</v>
      </c>
      <c r="C189" s="76" t="s">
        <v>2862</v>
      </c>
      <c r="D189" s="69">
        <v>5000</v>
      </c>
      <c r="F189" s="70">
        <f t="shared" si="4"/>
        <v>2014</v>
      </c>
      <c r="G189" s="70" t="s">
        <v>159</v>
      </c>
      <c r="H189" s="70" t="str">
        <f t="shared" si="5"/>
        <v>ATN</v>
      </c>
    </row>
    <row r="190" spans="1:8" ht="15" x14ac:dyDescent="0.25">
      <c r="A190" s="68" t="s">
        <v>2811</v>
      </c>
      <c r="B190" s="68">
        <v>2014</v>
      </c>
      <c r="C190" s="76" t="s">
        <v>2861</v>
      </c>
      <c r="D190" s="69">
        <v>5000</v>
      </c>
      <c r="F190" s="70">
        <f t="shared" si="4"/>
        <v>2014</v>
      </c>
      <c r="G190" s="70" t="s">
        <v>159</v>
      </c>
      <c r="H190" s="70" t="str">
        <f t="shared" si="5"/>
        <v>ATN</v>
      </c>
    </row>
    <row r="191" spans="1:8" ht="15" x14ac:dyDescent="0.25">
      <c r="A191" s="68" t="s">
        <v>2811</v>
      </c>
      <c r="B191" s="68">
        <v>2014</v>
      </c>
      <c r="C191" s="76" t="s">
        <v>2860</v>
      </c>
      <c r="D191" s="69">
        <v>5000</v>
      </c>
      <c r="F191" s="70">
        <f t="shared" si="4"/>
        <v>2014</v>
      </c>
      <c r="G191" s="70" t="s">
        <v>159</v>
      </c>
      <c r="H191" s="70" t="str">
        <f t="shared" si="5"/>
        <v>ATN</v>
      </c>
    </row>
    <row r="192" spans="1:8" ht="15" x14ac:dyDescent="0.25">
      <c r="A192" s="68" t="s">
        <v>2811</v>
      </c>
      <c r="B192" s="68">
        <v>2014</v>
      </c>
      <c r="C192" s="76" t="s">
        <v>2859</v>
      </c>
      <c r="D192" s="69">
        <v>5000</v>
      </c>
      <c r="F192" s="70">
        <f t="shared" si="4"/>
        <v>2014</v>
      </c>
      <c r="G192" s="70" t="s">
        <v>159</v>
      </c>
      <c r="H192" s="70" t="str">
        <f t="shared" si="5"/>
        <v>ATN</v>
      </c>
    </row>
    <row r="193" spans="1:8" ht="15" x14ac:dyDescent="0.25">
      <c r="A193" s="68" t="s">
        <v>2811</v>
      </c>
      <c r="B193" s="68">
        <v>2014</v>
      </c>
      <c r="C193" s="76" t="s">
        <v>2858</v>
      </c>
      <c r="D193" s="69">
        <v>5000</v>
      </c>
      <c r="F193" s="70">
        <f t="shared" si="4"/>
        <v>2014</v>
      </c>
      <c r="G193" s="70" t="s">
        <v>159</v>
      </c>
      <c r="H193" s="70" t="str">
        <f t="shared" si="5"/>
        <v>ATN</v>
      </c>
    </row>
    <row r="194" spans="1:8" ht="15" x14ac:dyDescent="0.25">
      <c r="A194" s="68" t="s">
        <v>2811</v>
      </c>
      <c r="B194" s="68">
        <v>2014</v>
      </c>
      <c r="C194" s="76" t="s">
        <v>2857</v>
      </c>
      <c r="D194" s="69">
        <v>5000</v>
      </c>
      <c r="F194" s="70">
        <f t="shared" si="4"/>
        <v>2014</v>
      </c>
      <c r="G194" s="70" t="s">
        <v>159</v>
      </c>
      <c r="H194" s="70" t="str">
        <f t="shared" si="5"/>
        <v>ATN</v>
      </c>
    </row>
    <row r="195" spans="1:8" ht="15" x14ac:dyDescent="0.25">
      <c r="A195" s="68" t="s">
        <v>2811</v>
      </c>
      <c r="B195" s="68">
        <v>2014</v>
      </c>
      <c r="C195" s="76" t="s">
        <v>2856</v>
      </c>
      <c r="D195" s="69">
        <v>5000</v>
      </c>
      <c r="F195" s="70">
        <f t="shared" si="4"/>
        <v>2014</v>
      </c>
      <c r="G195" s="70" t="s">
        <v>159</v>
      </c>
      <c r="H195" s="70" t="str">
        <f t="shared" si="5"/>
        <v>ATN</v>
      </c>
    </row>
    <row r="196" spans="1:8" ht="15" x14ac:dyDescent="0.25">
      <c r="A196" s="68" t="s">
        <v>2811</v>
      </c>
      <c r="B196" s="68">
        <v>2014</v>
      </c>
      <c r="C196" s="76" t="s">
        <v>2855</v>
      </c>
      <c r="D196" s="69">
        <v>5000</v>
      </c>
      <c r="F196" s="70">
        <f t="shared" si="4"/>
        <v>2014</v>
      </c>
      <c r="G196" s="70" t="s">
        <v>159</v>
      </c>
      <c r="H196" s="70" t="str">
        <f t="shared" si="5"/>
        <v>ATN</v>
      </c>
    </row>
    <row r="197" spans="1:8" ht="15" x14ac:dyDescent="0.25">
      <c r="A197" s="68" t="s">
        <v>2811</v>
      </c>
      <c r="B197" s="68">
        <v>2015</v>
      </c>
      <c r="C197" s="76" t="s">
        <v>2854</v>
      </c>
      <c r="D197" s="69">
        <v>5000</v>
      </c>
      <c r="F197" s="70">
        <f t="shared" si="4"/>
        <v>2015</v>
      </c>
      <c r="G197" s="70" t="s">
        <v>159</v>
      </c>
      <c r="H197" s="70" t="str">
        <f t="shared" si="5"/>
        <v>ATN</v>
      </c>
    </row>
    <row r="198" spans="1:8" ht="15" x14ac:dyDescent="0.25">
      <c r="A198" s="68" t="s">
        <v>2811</v>
      </c>
      <c r="B198" s="68">
        <v>2015</v>
      </c>
      <c r="C198" s="76" t="s">
        <v>2853</v>
      </c>
      <c r="D198" s="69">
        <v>5000</v>
      </c>
      <c r="F198" s="70">
        <f t="shared" si="4"/>
        <v>2015</v>
      </c>
      <c r="G198" s="70" t="s">
        <v>159</v>
      </c>
      <c r="H198" s="70" t="str">
        <f t="shared" si="5"/>
        <v>ATN</v>
      </c>
    </row>
    <row r="199" spans="1:8" ht="15" x14ac:dyDescent="0.25">
      <c r="A199" s="68" t="s">
        <v>2811</v>
      </c>
      <c r="B199" s="68">
        <v>2015</v>
      </c>
      <c r="C199" s="76" t="s">
        <v>2852</v>
      </c>
      <c r="D199" s="69">
        <v>5000</v>
      </c>
      <c r="F199" s="70">
        <f t="shared" si="4"/>
        <v>2015</v>
      </c>
      <c r="G199" s="70" t="s">
        <v>159</v>
      </c>
      <c r="H199" s="70" t="str">
        <f t="shared" si="5"/>
        <v>ATN</v>
      </c>
    </row>
    <row r="200" spans="1:8" ht="15" x14ac:dyDescent="0.25">
      <c r="A200" s="68" t="s">
        <v>2811</v>
      </c>
      <c r="B200" s="68">
        <v>2015</v>
      </c>
      <c r="C200" s="76" t="s">
        <v>2851</v>
      </c>
      <c r="D200" s="69">
        <v>5000</v>
      </c>
      <c r="F200" s="70">
        <f t="shared" ref="F200:F263" si="6">+B200</f>
        <v>2015</v>
      </c>
      <c r="G200" s="70" t="s">
        <v>159</v>
      </c>
      <c r="H200" s="70" t="str">
        <f t="shared" ref="H200:H263" si="7">A200</f>
        <v>ATN</v>
      </c>
    </row>
    <row r="201" spans="1:8" ht="15" x14ac:dyDescent="0.25">
      <c r="A201" s="68" t="s">
        <v>2811</v>
      </c>
      <c r="B201" s="68">
        <v>2015</v>
      </c>
      <c r="C201" s="76" t="s">
        <v>2850</v>
      </c>
      <c r="D201" s="69">
        <v>5000</v>
      </c>
      <c r="F201" s="70">
        <f t="shared" si="6"/>
        <v>2015</v>
      </c>
      <c r="G201" s="70" t="s">
        <v>159</v>
      </c>
      <c r="H201" s="70" t="str">
        <f t="shared" si="7"/>
        <v>ATN</v>
      </c>
    </row>
    <row r="202" spans="1:8" ht="15" x14ac:dyDescent="0.25">
      <c r="A202" s="68" t="s">
        <v>2811</v>
      </c>
      <c r="B202" s="68">
        <v>2015</v>
      </c>
      <c r="C202" s="76" t="s">
        <v>2849</v>
      </c>
      <c r="D202" s="69">
        <v>5000</v>
      </c>
      <c r="F202" s="70">
        <f t="shared" si="6"/>
        <v>2015</v>
      </c>
      <c r="G202" s="70" t="s">
        <v>159</v>
      </c>
      <c r="H202" s="70" t="str">
        <f t="shared" si="7"/>
        <v>ATN</v>
      </c>
    </row>
    <row r="203" spans="1:8" ht="15" x14ac:dyDescent="0.25">
      <c r="A203" s="68" t="s">
        <v>2811</v>
      </c>
      <c r="B203" s="68">
        <v>2015</v>
      </c>
      <c r="C203" s="76" t="s">
        <v>2848</v>
      </c>
      <c r="D203" s="69">
        <v>5000</v>
      </c>
      <c r="F203" s="70">
        <f t="shared" si="6"/>
        <v>2015</v>
      </c>
      <c r="G203" s="70" t="s">
        <v>159</v>
      </c>
      <c r="H203" s="70" t="str">
        <f t="shared" si="7"/>
        <v>ATN</v>
      </c>
    </row>
    <row r="204" spans="1:8" ht="15" x14ac:dyDescent="0.25">
      <c r="A204" s="68" t="s">
        <v>2811</v>
      </c>
      <c r="B204" s="68">
        <v>2015</v>
      </c>
      <c r="C204" s="76" t="s">
        <v>2847</v>
      </c>
      <c r="D204" s="69">
        <v>5000</v>
      </c>
      <c r="F204" s="70">
        <f t="shared" si="6"/>
        <v>2015</v>
      </c>
      <c r="G204" s="70" t="s">
        <v>159</v>
      </c>
      <c r="H204" s="70" t="str">
        <f t="shared" si="7"/>
        <v>ATN</v>
      </c>
    </row>
    <row r="205" spans="1:8" ht="15" x14ac:dyDescent="0.25">
      <c r="A205" s="68" t="s">
        <v>2811</v>
      </c>
      <c r="B205" s="68">
        <v>2015</v>
      </c>
      <c r="C205" s="76" t="s">
        <v>2846</v>
      </c>
      <c r="D205" s="69">
        <v>5000</v>
      </c>
      <c r="F205" s="70">
        <f t="shared" si="6"/>
        <v>2015</v>
      </c>
      <c r="G205" s="70" t="s">
        <v>159</v>
      </c>
      <c r="H205" s="70" t="str">
        <f t="shared" si="7"/>
        <v>ATN</v>
      </c>
    </row>
    <row r="206" spans="1:8" ht="15" x14ac:dyDescent="0.25">
      <c r="A206" s="68" t="s">
        <v>2811</v>
      </c>
      <c r="B206" s="68">
        <v>2015</v>
      </c>
      <c r="C206" s="76" t="s">
        <v>2845</v>
      </c>
      <c r="D206" s="69">
        <v>5000</v>
      </c>
      <c r="F206" s="70">
        <f t="shared" si="6"/>
        <v>2015</v>
      </c>
      <c r="G206" s="70" t="s">
        <v>159</v>
      </c>
      <c r="H206" s="70" t="str">
        <f t="shared" si="7"/>
        <v>ATN</v>
      </c>
    </row>
    <row r="207" spans="1:8" ht="15" x14ac:dyDescent="0.25">
      <c r="A207" s="68" t="s">
        <v>2811</v>
      </c>
      <c r="B207" s="68">
        <v>2015</v>
      </c>
      <c r="C207" s="76" t="s">
        <v>2844</v>
      </c>
      <c r="D207" s="69">
        <v>5000</v>
      </c>
      <c r="F207" s="70">
        <f t="shared" si="6"/>
        <v>2015</v>
      </c>
      <c r="G207" s="70" t="s">
        <v>159</v>
      </c>
      <c r="H207" s="70" t="str">
        <f t="shared" si="7"/>
        <v>ATN</v>
      </c>
    </row>
    <row r="208" spans="1:8" ht="15" x14ac:dyDescent="0.25">
      <c r="A208" s="68" t="s">
        <v>2811</v>
      </c>
      <c r="B208" s="68">
        <v>2015</v>
      </c>
      <c r="C208" s="76" t="s">
        <v>2843</v>
      </c>
      <c r="D208" s="69">
        <v>5000</v>
      </c>
      <c r="F208" s="70">
        <f t="shared" si="6"/>
        <v>2015</v>
      </c>
      <c r="G208" s="70" t="s">
        <v>159</v>
      </c>
      <c r="H208" s="70" t="str">
        <f t="shared" si="7"/>
        <v>ATN</v>
      </c>
    </row>
    <row r="209" spans="1:8" ht="15" x14ac:dyDescent="0.25">
      <c r="A209" s="68" t="s">
        <v>2811</v>
      </c>
      <c r="B209" s="68">
        <v>2015</v>
      </c>
      <c r="C209" s="76" t="s">
        <v>2842</v>
      </c>
      <c r="D209" s="69">
        <v>5000</v>
      </c>
      <c r="F209" s="70">
        <f t="shared" si="6"/>
        <v>2015</v>
      </c>
      <c r="G209" s="70" t="s">
        <v>159</v>
      </c>
      <c r="H209" s="70" t="str">
        <f t="shared" si="7"/>
        <v>ATN</v>
      </c>
    </row>
    <row r="210" spans="1:8" ht="15" x14ac:dyDescent="0.25">
      <c r="A210" s="68" t="s">
        <v>2811</v>
      </c>
      <c r="B210" s="68">
        <v>2015</v>
      </c>
      <c r="C210" s="76" t="s">
        <v>2841</v>
      </c>
      <c r="D210" s="69">
        <v>5000</v>
      </c>
      <c r="F210" s="70">
        <f t="shared" si="6"/>
        <v>2015</v>
      </c>
      <c r="G210" s="70" t="s">
        <v>159</v>
      </c>
      <c r="H210" s="70" t="str">
        <f t="shared" si="7"/>
        <v>ATN</v>
      </c>
    </row>
    <row r="211" spans="1:8" ht="15" x14ac:dyDescent="0.25">
      <c r="A211" s="68" t="s">
        <v>2811</v>
      </c>
      <c r="B211" s="68">
        <v>2016</v>
      </c>
      <c r="C211" s="76" t="s">
        <v>2840</v>
      </c>
      <c r="D211" s="69">
        <v>5000</v>
      </c>
      <c r="F211" s="70">
        <f t="shared" si="6"/>
        <v>2016</v>
      </c>
      <c r="G211" s="70" t="s">
        <v>159</v>
      </c>
      <c r="H211" s="70" t="str">
        <f t="shared" si="7"/>
        <v>ATN</v>
      </c>
    </row>
    <row r="212" spans="1:8" ht="15" x14ac:dyDescent="0.25">
      <c r="A212" s="68" t="s">
        <v>2811</v>
      </c>
      <c r="B212" s="68">
        <v>2016</v>
      </c>
      <c r="C212" s="76" t="s">
        <v>2839</v>
      </c>
      <c r="D212" s="69">
        <v>5000</v>
      </c>
      <c r="F212" s="70">
        <f t="shared" si="6"/>
        <v>2016</v>
      </c>
      <c r="G212" s="70" t="s">
        <v>159</v>
      </c>
      <c r="H212" s="70" t="str">
        <f t="shared" si="7"/>
        <v>ATN</v>
      </c>
    </row>
    <row r="213" spans="1:8" ht="15" x14ac:dyDescent="0.25">
      <c r="A213" s="68" t="s">
        <v>2811</v>
      </c>
      <c r="B213" s="68">
        <v>2016</v>
      </c>
      <c r="C213" s="76" t="s">
        <v>2838</v>
      </c>
      <c r="D213" s="69">
        <v>5000</v>
      </c>
      <c r="F213" s="70">
        <f t="shared" si="6"/>
        <v>2016</v>
      </c>
      <c r="G213" s="70" t="s">
        <v>159</v>
      </c>
      <c r="H213" s="70" t="str">
        <f t="shared" si="7"/>
        <v>ATN</v>
      </c>
    </row>
    <row r="214" spans="1:8" ht="15" x14ac:dyDescent="0.25">
      <c r="A214" s="68" t="s">
        <v>2811</v>
      </c>
      <c r="B214" s="68">
        <v>2016</v>
      </c>
      <c r="C214" s="76" t="s">
        <v>2837</v>
      </c>
      <c r="D214" s="69">
        <v>5000</v>
      </c>
      <c r="F214" s="70">
        <f t="shared" si="6"/>
        <v>2016</v>
      </c>
      <c r="G214" s="70" t="s">
        <v>159</v>
      </c>
      <c r="H214" s="70" t="str">
        <f t="shared" si="7"/>
        <v>ATN</v>
      </c>
    </row>
    <row r="215" spans="1:8" ht="15" x14ac:dyDescent="0.25">
      <c r="A215" s="68" t="s">
        <v>2811</v>
      </c>
      <c r="B215" s="68">
        <v>2016</v>
      </c>
      <c r="C215" s="76" t="s">
        <v>2836</v>
      </c>
      <c r="D215" s="69">
        <v>5000</v>
      </c>
      <c r="F215" s="70">
        <f t="shared" si="6"/>
        <v>2016</v>
      </c>
      <c r="G215" s="70" t="s">
        <v>159</v>
      </c>
      <c r="H215" s="70" t="str">
        <f t="shared" si="7"/>
        <v>ATN</v>
      </c>
    </row>
    <row r="216" spans="1:8" ht="15" x14ac:dyDescent="0.25">
      <c r="A216" s="68" t="s">
        <v>2811</v>
      </c>
      <c r="B216" s="68">
        <v>2016</v>
      </c>
      <c r="C216" s="76" t="s">
        <v>2835</v>
      </c>
      <c r="D216" s="69">
        <v>5000</v>
      </c>
      <c r="F216" s="70">
        <f t="shared" si="6"/>
        <v>2016</v>
      </c>
      <c r="G216" s="70" t="s">
        <v>159</v>
      </c>
      <c r="H216" s="70" t="str">
        <f t="shared" si="7"/>
        <v>ATN</v>
      </c>
    </row>
    <row r="217" spans="1:8" ht="15" x14ac:dyDescent="0.25">
      <c r="A217" s="68" t="s">
        <v>2811</v>
      </c>
      <c r="B217" s="68">
        <v>2016</v>
      </c>
      <c r="C217" s="76" t="s">
        <v>2834</v>
      </c>
      <c r="D217" s="69">
        <v>5000</v>
      </c>
      <c r="F217" s="70">
        <f t="shared" si="6"/>
        <v>2016</v>
      </c>
      <c r="G217" s="70" t="s">
        <v>159</v>
      </c>
      <c r="H217" s="70" t="str">
        <f t="shared" si="7"/>
        <v>ATN</v>
      </c>
    </row>
    <row r="218" spans="1:8" ht="15" x14ac:dyDescent="0.25">
      <c r="A218" s="68" t="s">
        <v>2811</v>
      </c>
      <c r="B218" s="68">
        <v>2016</v>
      </c>
      <c r="C218" s="76" t="s">
        <v>2833</v>
      </c>
      <c r="D218" s="69">
        <v>5000</v>
      </c>
      <c r="F218" s="70">
        <f t="shared" si="6"/>
        <v>2016</v>
      </c>
      <c r="G218" s="70" t="s">
        <v>159</v>
      </c>
      <c r="H218" s="70" t="str">
        <f t="shared" si="7"/>
        <v>ATN</v>
      </c>
    </row>
    <row r="219" spans="1:8" ht="15" x14ac:dyDescent="0.25">
      <c r="A219" s="68" t="s">
        <v>2811</v>
      </c>
      <c r="B219" s="68">
        <v>2016</v>
      </c>
      <c r="C219" s="76" t="s">
        <v>2832</v>
      </c>
      <c r="D219" s="69">
        <v>5000</v>
      </c>
      <c r="F219" s="70">
        <f t="shared" si="6"/>
        <v>2016</v>
      </c>
      <c r="G219" s="70" t="s">
        <v>159</v>
      </c>
      <c r="H219" s="70" t="str">
        <f t="shared" si="7"/>
        <v>ATN</v>
      </c>
    </row>
    <row r="220" spans="1:8" ht="15" x14ac:dyDescent="0.25">
      <c r="A220" s="68" t="s">
        <v>2811</v>
      </c>
      <c r="B220" s="68">
        <v>2016</v>
      </c>
      <c r="C220" s="76" t="s">
        <v>2831</v>
      </c>
      <c r="D220" s="69">
        <v>5000</v>
      </c>
      <c r="F220" s="70">
        <f t="shared" si="6"/>
        <v>2016</v>
      </c>
      <c r="G220" s="70" t="s">
        <v>159</v>
      </c>
      <c r="H220" s="70" t="str">
        <f t="shared" si="7"/>
        <v>ATN</v>
      </c>
    </row>
    <row r="221" spans="1:8" ht="15" x14ac:dyDescent="0.25">
      <c r="A221" s="68" t="s">
        <v>2811</v>
      </c>
      <c r="B221" s="68">
        <v>2016</v>
      </c>
      <c r="C221" s="76" t="s">
        <v>2830</v>
      </c>
      <c r="D221" s="69">
        <v>5000</v>
      </c>
      <c r="F221" s="70">
        <f t="shared" si="6"/>
        <v>2016</v>
      </c>
      <c r="G221" s="70" t="s">
        <v>159</v>
      </c>
      <c r="H221" s="70" t="str">
        <f t="shared" si="7"/>
        <v>ATN</v>
      </c>
    </row>
    <row r="222" spans="1:8" ht="15" x14ac:dyDescent="0.25">
      <c r="A222" s="68" t="s">
        <v>2811</v>
      </c>
      <c r="B222" s="68">
        <v>2016</v>
      </c>
      <c r="C222" s="76" t="s">
        <v>2829</v>
      </c>
      <c r="D222" s="69">
        <v>5000</v>
      </c>
      <c r="F222" s="70">
        <f t="shared" si="6"/>
        <v>2016</v>
      </c>
      <c r="G222" s="70" t="s">
        <v>159</v>
      </c>
      <c r="H222" s="70" t="str">
        <f t="shared" si="7"/>
        <v>ATN</v>
      </c>
    </row>
    <row r="223" spans="1:8" ht="15" x14ac:dyDescent="0.25">
      <c r="A223" s="68" t="s">
        <v>2811</v>
      </c>
      <c r="B223" s="68">
        <v>2016</v>
      </c>
      <c r="C223" s="76" t="s">
        <v>2828</v>
      </c>
      <c r="D223" s="69">
        <v>5000</v>
      </c>
      <c r="F223" s="70">
        <f t="shared" si="6"/>
        <v>2016</v>
      </c>
      <c r="G223" s="70" t="s">
        <v>159</v>
      </c>
      <c r="H223" s="70" t="str">
        <f t="shared" si="7"/>
        <v>ATN</v>
      </c>
    </row>
    <row r="224" spans="1:8" ht="15" x14ac:dyDescent="0.25">
      <c r="A224" s="68" t="s">
        <v>2811</v>
      </c>
      <c r="B224" s="68">
        <v>2016</v>
      </c>
      <c r="C224" s="76" t="s">
        <v>2827</v>
      </c>
      <c r="D224" s="69">
        <v>5000</v>
      </c>
      <c r="F224" s="70">
        <f t="shared" si="6"/>
        <v>2016</v>
      </c>
      <c r="G224" s="70" t="s">
        <v>159</v>
      </c>
      <c r="H224" s="70" t="str">
        <f t="shared" si="7"/>
        <v>ATN</v>
      </c>
    </row>
    <row r="225" spans="1:8" ht="15" x14ac:dyDescent="0.25">
      <c r="A225" s="85" t="s">
        <v>2811</v>
      </c>
      <c r="B225" s="85">
        <v>2017</v>
      </c>
      <c r="C225" s="92" t="s">
        <v>2826</v>
      </c>
      <c r="D225" s="83" t="s">
        <v>160</v>
      </c>
      <c r="F225" s="70">
        <f t="shared" si="6"/>
        <v>2017</v>
      </c>
      <c r="G225" s="70" t="s">
        <v>159</v>
      </c>
      <c r="H225" s="70" t="str">
        <f t="shared" si="7"/>
        <v>ATN</v>
      </c>
    </row>
    <row r="226" spans="1:8" ht="15" x14ac:dyDescent="0.25">
      <c r="A226" s="85" t="s">
        <v>2811</v>
      </c>
      <c r="B226" s="85">
        <v>2017</v>
      </c>
      <c r="C226" s="92" t="s">
        <v>2825</v>
      </c>
      <c r="D226" s="83" t="s">
        <v>160</v>
      </c>
      <c r="F226" s="70">
        <f t="shared" si="6"/>
        <v>2017</v>
      </c>
      <c r="G226" s="70" t="s">
        <v>159</v>
      </c>
      <c r="H226" s="70" t="str">
        <f t="shared" si="7"/>
        <v>ATN</v>
      </c>
    </row>
    <row r="227" spans="1:8" ht="15" x14ac:dyDescent="0.25">
      <c r="A227" s="85" t="s">
        <v>2811</v>
      </c>
      <c r="B227" s="85">
        <v>2017</v>
      </c>
      <c r="C227" s="92" t="s">
        <v>2824</v>
      </c>
      <c r="D227" s="83" t="s">
        <v>160</v>
      </c>
      <c r="F227" s="70">
        <f t="shared" si="6"/>
        <v>2017</v>
      </c>
      <c r="G227" s="70" t="s">
        <v>159</v>
      </c>
      <c r="H227" s="70" t="str">
        <f t="shared" si="7"/>
        <v>ATN</v>
      </c>
    </row>
    <row r="228" spans="1:8" ht="15" x14ac:dyDescent="0.25">
      <c r="A228" s="85" t="s">
        <v>2811</v>
      </c>
      <c r="B228" s="85">
        <v>2017</v>
      </c>
      <c r="C228" s="92" t="s">
        <v>2823</v>
      </c>
      <c r="D228" s="83" t="s">
        <v>160</v>
      </c>
      <c r="F228" s="70">
        <f t="shared" si="6"/>
        <v>2017</v>
      </c>
      <c r="G228" s="70" t="s">
        <v>159</v>
      </c>
      <c r="H228" s="70" t="str">
        <f t="shared" si="7"/>
        <v>ATN</v>
      </c>
    </row>
    <row r="229" spans="1:8" ht="15" x14ac:dyDescent="0.25">
      <c r="A229" s="85" t="s">
        <v>2811</v>
      </c>
      <c r="B229" s="85">
        <v>2017</v>
      </c>
      <c r="C229" s="92" t="s">
        <v>2822</v>
      </c>
      <c r="D229" s="83" t="s">
        <v>160</v>
      </c>
      <c r="F229" s="70">
        <f t="shared" si="6"/>
        <v>2017</v>
      </c>
      <c r="G229" s="70" t="s">
        <v>159</v>
      </c>
      <c r="H229" s="70" t="str">
        <f t="shared" si="7"/>
        <v>ATN</v>
      </c>
    </row>
    <row r="230" spans="1:8" ht="15" x14ac:dyDescent="0.25">
      <c r="A230" s="85" t="s">
        <v>2811</v>
      </c>
      <c r="B230" s="85">
        <v>2017</v>
      </c>
      <c r="C230" s="92" t="s">
        <v>2821</v>
      </c>
      <c r="D230" s="83" t="s">
        <v>160</v>
      </c>
      <c r="F230" s="70">
        <f t="shared" si="6"/>
        <v>2017</v>
      </c>
      <c r="G230" s="70" t="s">
        <v>159</v>
      </c>
      <c r="H230" s="70" t="str">
        <f t="shared" si="7"/>
        <v>ATN</v>
      </c>
    </row>
    <row r="231" spans="1:8" ht="15" x14ac:dyDescent="0.25">
      <c r="A231" s="85" t="s">
        <v>2811</v>
      </c>
      <c r="B231" s="85">
        <v>2017</v>
      </c>
      <c r="C231" s="92" t="s">
        <v>2820</v>
      </c>
      <c r="D231" s="83" t="s">
        <v>160</v>
      </c>
      <c r="F231" s="70">
        <f t="shared" si="6"/>
        <v>2017</v>
      </c>
      <c r="G231" s="70" t="s">
        <v>159</v>
      </c>
      <c r="H231" s="70" t="str">
        <f t="shared" si="7"/>
        <v>ATN</v>
      </c>
    </row>
    <row r="232" spans="1:8" ht="15" x14ac:dyDescent="0.25">
      <c r="A232" s="85" t="s">
        <v>2811</v>
      </c>
      <c r="B232" s="85">
        <v>2017</v>
      </c>
      <c r="C232" s="92" t="s">
        <v>2819</v>
      </c>
      <c r="D232" s="83" t="s">
        <v>160</v>
      </c>
      <c r="F232" s="70">
        <f t="shared" si="6"/>
        <v>2017</v>
      </c>
      <c r="G232" s="70" t="s">
        <v>159</v>
      </c>
      <c r="H232" s="70" t="str">
        <f t="shared" si="7"/>
        <v>ATN</v>
      </c>
    </row>
    <row r="233" spans="1:8" ht="15" x14ac:dyDescent="0.25">
      <c r="A233" s="85" t="s">
        <v>2811</v>
      </c>
      <c r="B233" s="85">
        <v>2017</v>
      </c>
      <c r="C233" s="92" t="s">
        <v>2818</v>
      </c>
      <c r="D233" s="83" t="s">
        <v>160</v>
      </c>
      <c r="F233" s="70">
        <f t="shared" si="6"/>
        <v>2017</v>
      </c>
      <c r="G233" s="70" t="s">
        <v>159</v>
      </c>
      <c r="H233" s="70" t="str">
        <f t="shared" si="7"/>
        <v>ATN</v>
      </c>
    </row>
    <row r="234" spans="1:8" ht="15" x14ac:dyDescent="0.25">
      <c r="A234" s="85" t="s">
        <v>2811</v>
      </c>
      <c r="B234" s="85">
        <v>2017</v>
      </c>
      <c r="C234" s="92" t="s">
        <v>2817</v>
      </c>
      <c r="D234" s="83" t="s">
        <v>160</v>
      </c>
      <c r="F234" s="70">
        <f t="shared" si="6"/>
        <v>2017</v>
      </c>
      <c r="G234" s="70" t="s">
        <v>159</v>
      </c>
      <c r="H234" s="70" t="str">
        <f t="shared" si="7"/>
        <v>ATN</v>
      </c>
    </row>
    <row r="235" spans="1:8" ht="15" x14ac:dyDescent="0.25">
      <c r="A235" s="75" t="s">
        <v>2811</v>
      </c>
      <c r="B235" s="75">
        <v>2018</v>
      </c>
      <c r="C235" s="90" t="s">
        <v>2816</v>
      </c>
      <c r="D235" s="82" t="s">
        <v>160</v>
      </c>
      <c r="F235" s="70">
        <f t="shared" si="6"/>
        <v>2018</v>
      </c>
      <c r="G235" s="70" t="s">
        <v>159</v>
      </c>
      <c r="H235" s="70" t="str">
        <f t="shared" si="7"/>
        <v>ATN</v>
      </c>
    </row>
    <row r="236" spans="1:8" ht="15" x14ac:dyDescent="0.25">
      <c r="A236" s="75" t="s">
        <v>2811</v>
      </c>
      <c r="B236" s="75">
        <v>2018</v>
      </c>
      <c r="C236" s="90" t="s">
        <v>2815</v>
      </c>
      <c r="D236" s="82" t="s">
        <v>160</v>
      </c>
      <c r="F236" s="70">
        <f t="shared" si="6"/>
        <v>2018</v>
      </c>
      <c r="G236" s="70" t="s">
        <v>159</v>
      </c>
      <c r="H236" s="70" t="str">
        <f t="shared" si="7"/>
        <v>ATN</v>
      </c>
    </row>
    <row r="237" spans="1:8" ht="15" x14ac:dyDescent="0.25">
      <c r="A237" s="75" t="s">
        <v>2811</v>
      </c>
      <c r="B237" s="75">
        <v>2018</v>
      </c>
      <c r="C237" s="90" t="s">
        <v>2814</v>
      </c>
      <c r="D237" s="82" t="s">
        <v>160</v>
      </c>
      <c r="F237" s="70">
        <f t="shared" si="6"/>
        <v>2018</v>
      </c>
      <c r="G237" s="70" t="s">
        <v>159</v>
      </c>
      <c r="H237" s="70" t="str">
        <f t="shared" si="7"/>
        <v>ATN</v>
      </c>
    </row>
    <row r="238" spans="1:8" ht="15" x14ac:dyDescent="0.25">
      <c r="A238" s="75" t="s">
        <v>2811</v>
      </c>
      <c r="B238" s="75">
        <v>2018</v>
      </c>
      <c r="C238" s="90" t="s">
        <v>2813</v>
      </c>
      <c r="D238" s="82" t="s">
        <v>160</v>
      </c>
      <c r="F238" s="70">
        <f t="shared" si="6"/>
        <v>2018</v>
      </c>
      <c r="G238" s="70" t="s">
        <v>159</v>
      </c>
      <c r="H238" s="70" t="str">
        <f t="shared" si="7"/>
        <v>ATN</v>
      </c>
    </row>
    <row r="239" spans="1:8" ht="15" x14ac:dyDescent="0.25">
      <c r="A239" s="75" t="s">
        <v>2811</v>
      </c>
      <c r="B239" s="75">
        <v>2018</v>
      </c>
      <c r="C239" s="90" t="s">
        <v>2812</v>
      </c>
      <c r="D239" s="82" t="s">
        <v>160</v>
      </c>
      <c r="F239" s="70">
        <f t="shared" si="6"/>
        <v>2018</v>
      </c>
      <c r="G239" s="70" t="s">
        <v>159</v>
      </c>
      <c r="H239" s="70" t="str">
        <f t="shared" si="7"/>
        <v>ATN</v>
      </c>
    </row>
    <row r="240" spans="1:8" ht="15" x14ac:dyDescent="0.25">
      <c r="A240" s="75" t="s">
        <v>2811</v>
      </c>
      <c r="B240" s="75">
        <v>2018</v>
      </c>
      <c r="C240" s="90" t="s">
        <v>2810</v>
      </c>
      <c r="D240" s="82" t="s">
        <v>160</v>
      </c>
      <c r="F240" s="70">
        <f t="shared" si="6"/>
        <v>2018</v>
      </c>
      <c r="G240" s="70" t="s">
        <v>159</v>
      </c>
      <c r="H240" s="70" t="str">
        <f t="shared" si="7"/>
        <v>ATN</v>
      </c>
    </row>
    <row r="241" spans="1:8" ht="15" x14ac:dyDescent="0.25">
      <c r="A241" s="88" t="s">
        <v>2793</v>
      </c>
      <c r="B241" s="88">
        <v>1990</v>
      </c>
      <c r="C241" s="89" t="s">
        <v>2809</v>
      </c>
      <c r="D241" s="88" t="s">
        <v>160</v>
      </c>
      <c r="F241" s="70">
        <f t="shared" si="6"/>
        <v>1990</v>
      </c>
      <c r="G241" s="70" t="s">
        <v>159</v>
      </c>
      <c r="H241" s="70" t="str">
        <f t="shared" si="7"/>
        <v>ATS</v>
      </c>
    </row>
    <row r="242" spans="1:8" ht="15" x14ac:dyDescent="0.25">
      <c r="A242" s="88" t="s">
        <v>2793</v>
      </c>
      <c r="B242" s="88">
        <v>1991</v>
      </c>
      <c r="C242" s="89" t="s">
        <v>2808</v>
      </c>
      <c r="D242" s="88" t="s">
        <v>160</v>
      </c>
      <c r="F242" s="70">
        <f t="shared" si="6"/>
        <v>1991</v>
      </c>
      <c r="G242" s="70" t="s">
        <v>159</v>
      </c>
      <c r="H242" s="70" t="str">
        <f t="shared" si="7"/>
        <v>ATS</v>
      </c>
    </row>
    <row r="243" spans="1:8" ht="15" x14ac:dyDescent="0.25">
      <c r="A243" s="88" t="s">
        <v>2793</v>
      </c>
      <c r="B243" s="88">
        <v>1992</v>
      </c>
      <c r="C243" s="89" t="s">
        <v>2807</v>
      </c>
      <c r="D243" s="88" t="s">
        <v>160</v>
      </c>
      <c r="F243" s="70">
        <f t="shared" si="6"/>
        <v>1992</v>
      </c>
      <c r="G243" s="70" t="s">
        <v>159</v>
      </c>
      <c r="H243" s="70" t="str">
        <f t="shared" si="7"/>
        <v>ATS</v>
      </c>
    </row>
    <row r="244" spans="1:8" ht="15" x14ac:dyDescent="0.25">
      <c r="A244" s="88" t="s">
        <v>2793</v>
      </c>
      <c r="B244" s="88">
        <v>1992</v>
      </c>
      <c r="C244" s="89" t="s">
        <v>2806</v>
      </c>
      <c r="D244" s="88" t="s">
        <v>160</v>
      </c>
      <c r="F244" s="70">
        <f t="shared" si="6"/>
        <v>1992</v>
      </c>
      <c r="G244" s="70" t="s">
        <v>159</v>
      </c>
      <c r="H244" s="70" t="str">
        <f t="shared" si="7"/>
        <v>ATS</v>
      </c>
    </row>
    <row r="245" spans="1:8" ht="15" x14ac:dyDescent="0.25">
      <c r="A245" s="88" t="s">
        <v>2793</v>
      </c>
      <c r="B245" s="88">
        <v>1993</v>
      </c>
      <c r="C245" s="89" t="s">
        <v>2805</v>
      </c>
      <c r="D245" s="88" t="s">
        <v>160</v>
      </c>
      <c r="F245" s="70">
        <f t="shared" si="6"/>
        <v>1993</v>
      </c>
      <c r="G245" s="70" t="s">
        <v>159</v>
      </c>
      <c r="H245" s="70" t="str">
        <f t="shared" si="7"/>
        <v>ATS</v>
      </c>
    </row>
    <row r="246" spans="1:8" ht="15" x14ac:dyDescent="0.25">
      <c r="A246" s="88" t="s">
        <v>2793</v>
      </c>
      <c r="B246" s="88">
        <v>2007</v>
      </c>
      <c r="C246" s="89" t="s">
        <v>2804</v>
      </c>
      <c r="D246" s="88" t="s">
        <v>160</v>
      </c>
      <c r="F246" s="70">
        <f t="shared" si="6"/>
        <v>2007</v>
      </c>
      <c r="G246" s="70" t="s">
        <v>159</v>
      </c>
      <c r="H246" s="70" t="str">
        <f t="shared" si="7"/>
        <v>ATS</v>
      </c>
    </row>
    <row r="247" spans="1:8" ht="15" x14ac:dyDescent="0.25">
      <c r="A247" s="88" t="s">
        <v>2793</v>
      </c>
      <c r="B247" s="88">
        <v>2007</v>
      </c>
      <c r="C247" s="89" t="s">
        <v>2803</v>
      </c>
      <c r="D247" s="88" t="s">
        <v>160</v>
      </c>
      <c r="F247" s="70">
        <f t="shared" si="6"/>
        <v>2007</v>
      </c>
      <c r="G247" s="70" t="s">
        <v>159</v>
      </c>
      <c r="H247" s="70" t="str">
        <f t="shared" si="7"/>
        <v>ATS</v>
      </c>
    </row>
    <row r="248" spans="1:8" ht="15" x14ac:dyDescent="0.25">
      <c r="A248" s="88" t="s">
        <v>2793</v>
      </c>
      <c r="B248" s="88">
        <v>2008</v>
      </c>
      <c r="C248" s="89" t="s">
        <v>2802</v>
      </c>
      <c r="D248" s="88" t="s">
        <v>160</v>
      </c>
      <c r="F248" s="70">
        <f t="shared" si="6"/>
        <v>2008</v>
      </c>
      <c r="G248" s="70" t="s">
        <v>159</v>
      </c>
      <c r="H248" s="70" t="str">
        <f t="shared" si="7"/>
        <v>ATS</v>
      </c>
    </row>
    <row r="249" spans="1:8" ht="15" x14ac:dyDescent="0.25">
      <c r="A249" s="88" t="s">
        <v>2793</v>
      </c>
      <c r="B249" s="88">
        <v>2008</v>
      </c>
      <c r="C249" s="89" t="s">
        <v>2801</v>
      </c>
      <c r="D249" s="88" t="s">
        <v>160</v>
      </c>
      <c r="F249" s="70">
        <f t="shared" si="6"/>
        <v>2008</v>
      </c>
      <c r="G249" s="70" t="s">
        <v>159</v>
      </c>
      <c r="H249" s="70" t="str">
        <f t="shared" si="7"/>
        <v>ATS</v>
      </c>
    </row>
    <row r="250" spans="1:8" ht="15" x14ac:dyDescent="0.25">
      <c r="A250" s="88" t="s">
        <v>2793</v>
      </c>
      <c r="B250" s="88">
        <v>2009</v>
      </c>
      <c r="C250" s="89" t="s">
        <v>2800</v>
      </c>
      <c r="D250" s="88" t="s">
        <v>160</v>
      </c>
      <c r="F250" s="70">
        <f t="shared" si="6"/>
        <v>2009</v>
      </c>
      <c r="G250" s="70" t="s">
        <v>159</v>
      </c>
      <c r="H250" s="70" t="str">
        <f t="shared" si="7"/>
        <v>ATS</v>
      </c>
    </row>
    <row r="251" spans="1:8" ht="15" x14ac:dyDescent="0.25">
      <c r="A251" s="88" t="s">
        <v>2793</v>
      </c>
      <c r="B251" s="88">
        <v>2009</v>
      </c>
      <c r="C251" s="89" t="s">
        <v>2799</v>
      </c>
      <c r="D251" s="88" t="s">
        <v>160</v>
      </c>
      <c r="F251" s="70">
        <f t="shared" si="6"/>
        <v>2009</v>
      </c>
      <c r="G251" s="70" t="s">
        <v>159</v>
      </c>
      <c r="H251" s="70" t="str">
        <f t="shared" si="7"/>
        <v>ATS</v>
      </c>
    </row>
    <row r="252" spans="1:8" ht="15" x14ac:dyDescent="0.25">
      <c r="A252" s="88" t="s">
        <v>2793</v>
      </c>
      <c r="B252" s="88">
        <v>2010</v>
      </c>
      <c r="C252" s="89" t="s">
        <v>2798</v>
      </c>
      <c r="D252" s="88" t="s">
        <v>160</v>
      </c>
      <c r="F252" s="70">
        <f t="shared" si="6"/>
        <v>2010</v>
      </c>
      <c r="G252" s="70" t="s">
        <v>159</v>
      </c>
      <c r="H252" s="70" t="str">
        <f t="shared" si="7"/>
        <v>ATS</v>
      </c>
    </row>
    <row r="253" spans="1:8" ht="15" x14ac:dyDescent="0.25">
      <c r="A253" s="88" t="s">
        <v>2793</v>
      </c>
      <c r="B253" s="88">
        <v>2010</v>
      </c>
      <c r="C253" s="89" t="s">
        <v>2797</v>
      </c>
      <c r="D253" s="88" t="s">
        <v>160</v>
      </c>
      <c r="F253" s="70">
        <f t="shared" si="6"/>
        <v>2010</v>
      </c>
      <c r="G253" s="70" t="s">
        <v>159</v>
      </c>
      <c r="H253" s="70" t="str">
        <f t="shared" si="7"/>
        <v>ATS</v>
      </c>
    </row>
    <row r="254" spans="1:8" ht="15" x14ac:dyDescent="0.25">
      <c r="A254" s="88" t="s">
        <v>2793</v>
      </c>
      <c r="B254" s="88">
        <v>2011</v>
      </c>
      <c r="C254" s="89" t="s">
        <v>2796</v>
      </c>
      <c r="D254" s="88" t="s">
        <v>160</v>
      </c>
      <c r="F254" s="70">
        <f t="shared" si="6"/>
        <v>2011</v>
      </c>
      <c r="G254" s="70" t="s">
        <v>159</v>
      </c>
      <c r="H254" s="70" t="str">
        <f t="shared" si="7"/>
        <v>ATS</v>
      </c>
    </row>
    <row r="255" spans="1:8" ht="15" x14ac:dyDescent="0.25">
      <c r="A255" s="88" t="s">
        <v>2793</v>
      </c>
      <c r="B255" s="88">
        <v>2011</v>
      </c>
      <c r="C255" s="89" t="s">
        <v>2795</v>
      </c>
      <c r="D255" s="88" t="s">
        <v>160</v>
      </c>
      <c r="F255" s="70">
        <f t="shared" si="6"/>
        <v>2011</v>
      </c>
      <c r="G255" s="70" t="s">
        <v>159</v>
      </c>
      <c r="H255" s="70" t="str">
        <f t="shared" si="7"/>
        <v>ATS</v>
      </c>
    </row>
    <row r="256" spans="1:8" ht="15" x14ac:dyDescent="0.25">
      <c r="A256" s="88" t="s">
        <v>2793</v>
      </c>
      <c r="B256" s="88">
        <v>2011</v>
      </c>
      <c r="C256" s="89" t="s">
        <v>2794</v>
      </c>
      <c r="D256" s="88" t="s">
        <v>160</v>
      </c>
      <c r="F256" s="70">
        <f t="shared" si="6"/>
        <v>2011</v>
      </c>
      <c r="G256" s="70" t="s">
        <v>159</v>
      </c>
      <c r="H256" s="70" t="str">
        <f t="shared" si="7"/>
        <v>ATS</v>
      </c>
    </row>
    <row r="257" spans="1:8" ht="15" x14ac:dyDescent="0.25">
      <c r="A257" s="88" t="s">
        <v>2793</v>
      </c>
      <c r="B257" s="88">
        <v>2011</v>
      </c>
      <c r="C257" s="95" t="s">
        <v>2792</v>
      </c>
      <c r="D257" s="88" t="s">
        <v>160</v>
      </c>
      <c r="F257" s="70">
        <f t="shared" si="6"/>
        <v>2011</v>
      </c>
      <c r="G257" s="70" t="s">
        <v>159</v>
      </c>
      <c r="H257" s="70" t="str">
        <f t="shared" si="7"/>
        <v>ATS</v>
      </c>
    </row>
    <row r="258" spans="1:8" ht="15" x14ac:dyDescent="0.25">
      <c r="A258" s="88" t="s">
        <v>2495</v>
      </c>
      <c r="B258" s="88">
        <v>1973</v>
      </c>
      <c r="C258" s="89" t="s">
        <v>2791</v>
      </c>
      <c r="D258" s="88" t="s">
        <v>160</v>
      </c>
      <c r="F258" s="70">
        <f t="shared" si="6"/>
        <v>1973</v>
      </c>
      <c r="G258" s="70" t="s">
        <v>159</v>
      </c>
      <c r="H258" s="70" t="str">
        <f t="shared" si="7"/>
        <v>BQR</v>
      </c>
    </row>
    <row r="259" spans="1:8" ht="15" x14ac:dyDescent="0.25">
      <c r="A259" s="88" t="s">
        <v>2495</v>
      </c>
      <c r="B259" s="88">
        <v>1973</v>
      </c>
      <c r="C259" s="89" t="s">
        <v>2790</v>
      </c>
      <c r="D259" s="88" t="s">
        <v>160</v>
      </c>
      <c r="F259" s="70">
        <f t="shared" si="6"/>
        <v>1973</v>
      </c>
      <c r="G259" s="70" t="s">
        <v>159</v>
      </c>
      <c r="H259" s="70" t="str">
        <f t="shared" si="7"/>
        <v>BQR</v>
      </c>
    </row>
    <row r="260" spans="1:8" ht="15" x14ac:dyDescent="0.25">
      <c r="A260" s="88" t="s">
        <v>2495</v>
      </c>
      <c r="B260" s="88">
        <v>1973</v>
      </c>
      <c r="C260" s="89" t="s">
        <v>2789</v>
      </c>
      <c r="D260" s="88" t="s">
        <v>160</v>
      </c>
      <c r="F260" s="70">
        <f t="shared" si="6"/>
        <v>1973</v>
      </c>
      <c r="G260" s="70" t="s">
        <v>159</v>
      </c>
      <c r="H260" s="70" t="str">
        <f t="shared" si="7"/>
        <v>BQR</v>
      </c>
    </row>
    <row r="261" spans="1:8" ht="15" x14ac:dyDescent="0.25">
      <c r="A261" s="88" t="s">
        <v>2495</v>
      </c>
      <c r="B261" s="88">
        <v>1973</v>
      </c>
      <c r="C261" s="89" t="s">
        <v>2788</v>
      </c>
      <c r="D261" s="88" t="s">
        <v>160</v>
      </c>
      <c r="F261" s="70">
        <f t="shared" si="6"/>
        <v>1973</v>
      </c>
      <c r="G261" s="70" t="s">
        <v>159</v>
      </c>
      <c r="H261" s="70" t="str">
        <f t="shared" si="7"/>
        <v>BQR</v>
      </c>
    </row>
    <row r="262" spans="1:8" ht="15" x14ac:dyDescent="0.25">
      <c r="A262" s="88" t="s">
        <v>2495</v>
      </c>
      <c r="B262" s="88">
        <v>1974</v>
      </c>
      <c r="C262" s="89" t="s">
        <v>2787</v>
      </c>
      <c r="D262" s="88" t="s">
        <v>160</v>
      </c>
      <c r="F262" s="70">
        <f t="shared" si="6"/>
        <v>1974</v>
      </c>
      <c r="G262" s="70" t="s">
        <v>159</v>
      </c>
      <c r="H262" s="70" t="str">
        <f t="shared" si="7"/>
        <v>BQR</v>
      </c>
    </row>
    <row r="263" spans="1:8" ht="15" x14ac:dyDescent="0.25">
      <c r="A263" s="88" t="s">
        <v>2495</v>
      </c>
      <c r="B263" s="88">
        <v>1975</v>
      </c>
      <c r="C263" s="89" t="s">
        <v>2786</v>
      </c>
      <c r="D263" s="88" t="s">
        <v>160</v>
      </c>
      <c r="F263" s="70">
        <f t="shared" si="6"/>
        <v>1975</v>
      </c>
      <c r="G263" s="70" t="s">
        <v>159</v>
      </c>
      <c r="H263" s="70" t="str">
        <f t="shared" si="7"/>
        <v>BQR</v>
      </c>
    </row>
    <row r="264" spans="1:8" ht="15" x14ac:dyDescent="0.25">
      <c r="A264" s="88" t="s">
        <v>2495</v>
      </c>
      <c r="B264" s="88">
        <v>1976</v>
      </c>
      <c r="C264" s="89" t="s">
        <v>2785</v>
      </c>
      <c r="D264" s="88" t="s">
        <v>160</v>
      </c>
      <c r="F264" s="70">
        <f t="shared" ref="F264:F327" si="8">+B264</f>
        <v>1976</v>
      </c>
      <c r="G264" s="70" t="s">
        <v>159</v>
      </c>
      <c r="H264" s="70" t="str">
        <f t="shared" ref="H264:H327" si="9">A264</f>
        <v>BQR</v>
      </c>
    </row>
    <row r="265" spans="1:8" ht="15" x14ac:dyDescent="0.25">
      <c r="A265" s="88" t="s">
        <v>2495</v>
      </c>
      <c r="B265" s="88">
        <v>1977</v>
      </c>
      <c r="C265" s="89" t="s">
        <v>2784</v>
      </c>
      <c r="D265" s="88" t="s">
        <v>160</v>
      </c>
      <c r="F265" s="70">
        <f t="shared" si="8"/>
        <v>1977</v>
      </c>
      <c r="G265" s="70" t="s">
        <v>159</v>
      </c>
      <c r="H265" s="70" t="str">
        <f t="shared" si="9"/>
        <v>BQR</v>
      </c>
    </row>
    <row r="266" spans="1:8" ht="15" x14ac:dyDescent="0.25">
      <c r="A266" s="88" t="s">
        <v>2495</v>
      </c>
      <c r="B266" s="88">
        <v>1977</v>
      </c>
      <c r="C266" s="89" t="s">
        <v>2783</v>
      </c>
      <c r="D266" s="88" t="s">
        <v>160</v>
      </c>
      <c r="F266" s="70">
        <f t="shared" si="8"/>
        <v>1977</v>
      </c>
      <c r="G266" s="70" t="s">
        <v>159</v>
      </c>
      <c r="H266" s="70" t="str">
        <f t="shared" si="9"/>
        <v>BQR</v>
      </c>
    </row>
    <row r="267" spans="1:8" ht="15" x14ac:dyDescent="0.25">
      <c r="A267" s="88" t="s">
        <v>2495</v>
      </c>
      <c r="B267" s="88">
        <v>1978</v>
      </c>
      <c r="C267" s="89" t="s">
        <v>2782</v>
      </c>
      <c r="D267" s="88" t="s">
        <v>160</v>
      </c>
      <c r="F267" s="70">
        <f t="shared" si="8"/>
        <v>1978</v>
      </c>
      <c r="G267" s="70" t="s">
        <v>159</v>
      </c>
      <c r="H267" s="70" t="str">
        <f t="shared" si="9"/>
        <v>BQR</v>
      </c>
    </row>
    <row r="268" spans="1:8" ht="15" x14ac:dyDescent="0.25">
      <c r="A268" s="88" t="s">
        <v>2495</v>
      </c>
      <c r="B268" s="88">
        <v>1978</v>
      </c>
      <c r="C268" s="89" t="s">
        <v>2781</v>
      </c>
      <c r="D268" s="88" t="s">
        <v>160</v>
      </c>
      <c r="F268" s="70">
        <f t="shared" si="8"/>
        <v>1978</v>
      </c>
      <c r="G268" s="70" t="s">
        <v>159</v>
      </c>
      <c r="H268" s="70" t="str">
        <f t="shared" si="9"/>
        <v>BQR</v>
      </c>
    </row>
    <row r="269" spans="1:8" ht="15" x14ac:dyDescent="0.25">
      <c r="A269" s="88" t="s">
        <v>2495</v>
      </c>
      <c r="B269" s="88">
        <v>1978</v>
      </c>
      <c r="C269" s="89" t="s">
        <v>2780</v>
      </c>
      <c r="D269" s="88" t="s">
        <v>160</v>
      </c>
      <c r="F269" s="70">
        <f t="shared" si="8"/>
        <v>1978</v>
      </c>
      <c r="G269" s="70" t="s">
        <v>159</v>
      </c>
      <c r="H269" s="70" t="str">
        <f t="shared" si="9"/>
        <v>BQR</v>
      </c>
    </row>
    <row r="270" spans="1:8" ht="15" x14ac:dyDescent="0.25">
      <c r="A270" s="88" t="s">
        <v>2495</v>
      </c>
      <c r="B270" s="88">
        <v>1979</v>
      </c>
      <c r="C270" s="89" t="s">
        <v>2779</v>
      </c>
      <c r="D270" s="88" t="s">
        <v>160</v>
      </c>
      <c r="F270" s="70">
        <f t="shared" si="8"/>
        <v>1979</v>
      </c>
      <c r="G270" s="70" t="s">
        <v>159</v>
      </c>
      <c r="H270" s="70" t="str">
        <f t="shared" si="9"/>
        <v>BQR</v>
      </c>
    </row>
    <row r="271" spans="1:8" ht="15" x14ac:dyDescent="0.25">
      <c r="A271" s="88" t="s">
        <v>2495</v>
      </c>
      <c r="B271" s="88">
        <v>1979</v>
      </c>
      <c r="C271" s="89" t="s">
        <v>2778</v>
      </c>
      <c r="D271" s="88" t="s">
        <v>160</v>
      </c>
      <c r="F271" s="70">
        <f t="shared" si="8"/>
        <v>1979</v>
      </c>
      <c r="G271" s="70" t="s">
        <v>159</v>
      </c>
      <c r="H271" s="70" t="str">
        <f t="shared" si="9"/>
        <v>BQR</v>
      </c>
    </row>
    <row r="272" spans="1:8" ht="15" x14ac:dyDescent="0.25">
      <c r="A272" s="88" t="s">
        <v>2495</v>
      </c>
      <c r="B272" s="88">
        <v>1979</v>
      </c>
      <c r="C272" s="89" t="s">
        <v>2777</v>
      </c>
      <c r="D272" s="88" t="s">
        <v>160</v>
      </c>
      <c r="F272" s="70">
        <f t="shared" si="8"/>
        <v>1979</v>
      </c>
      <c r="G272" s="70" t="s">
        <v>159</v>
      </c>
      <c r="H272" s="70" t="str">
        <f t="shared" si="9"/>
        <v>BQR</v>
      </c>
    </row>
    <row r="273" spans="1:8" ht="15" x14ac:dyDescent="0.25">
      <c r="A273" s="88" t="s">
        <v>2495</v>
      </c>
      <c r="B273" s="88">
        <v>1980</v>
      </c>
      <c r="C273" s="89" t="s">
        <v>2776</v>
      </c>
      <c r="D273" s="88" t="s">
        <v>160</v>
      </c>
      <c r="F273" s="70">
        <f t="shared" si="8"/>
        <v>1980</v>
      </c>
      <c r="G273" s="70" t="s">
        <v>159</v>
      </c>
      <c r="H273" s="70" t="str">
        <f t="shared" si="9"/>
        <v>BQR</v>
      </c>
    </row>
    <row r="274" spans="1:8" ht="15" x14ac:dyDescent="0.25">
      <c r="A274" s="88" t="s">
        <v>2495</v>
      </c>
      <c r="B274" s="88">
        <v>1980</v>
      </c>
      <c r="C274" s="89" t="s">
        <v>2775</v>
      </c>
      <c r="D274" s="88" t="s">
        <v>160</v>
      </c>
      <c r="F274" s="70">
        <f t="shared" si="8"/>
        <v>1980</v>
      </c>
      <c r="G274" s="70" t="s">
        <v>159</v>
      </c>
      <c r="H274" s="70" t="str">
        <f t="shared" si="9"/>
        <v>BQR</v>
      </c>
    </row>
    <row r="275" spans="1:8" ht="15" x14ac:dyDescent="0.25">
      <c r="A275" s="88" t="s">
        <v>2495</v>
      </c>
      <c r="B275" s="88">
        <v>1981</v>
      </c>
      <c r="C275" s="89" t="s">
        <v>2774</v>
      </c>
      <c r="D275" s="88" t="s">
        <v>160</v>
      </c>
      <c r="F275" s="70">
        <f t="shared" si="8"/>
        <v>1981</v>
      </c>
      <c r="G275" s="70" t="s">
        <v>159</v>
      </c>
      <c r="H275" s="70" t="str">
        <f t="shared" si="9"/>
        <v>BQR</v>
      </c>
    </row>
    <row r="276" spans="1:8" ht="15" x14ac:dyDescent="0.25">
      <c r="A276" s="88" t="s">
        <v>2495</v>
      </c>
      <c r="B276" s="88">
        <v>1981</v>
      </c>
      <c r="C276" s="89" t="s">
        <v>2773</v>
      </c>
      <c r="D276" s="88" t="s">
        <v>160</v>
      </c>
      <c r="F276" s="70">
        <f t="shared" si="8"/>
        <v>1981</v>
      </c>
      <c r="G276" s="70" t="s">
        <v>159</v>
      </c>
      <c r="H276" s="70" t="str">
        <f t="shared" si="9"/>
        <v>BQR</v>
      </c>
    </row>
    <row r="277" spans="1:8" ht="15" x14ac:dyDescent="0.25">
      <c r="A277" s="88" t="s">
        <v>2495</v>
      </c>
      <c r="B277" s="88">
        <v>1982</v>
      </c>
      <c r="C277" s="89" t="s">
        <v>2772</v>
      </c>
      <c r="D277" s="88" t="s">
        <v>160</v>
      </c>
      <c r="F277" s="70">
        <f t="shared" si="8"/>
        <v>1982</v>
      </c>
      <c r="G277" s="70" t="s">
        <v>159</v>
      </c>
      <c r="H277" s="70" t="str">
        <f t="shared" si="9"/>
        <v>BQR</v>
      </c>
    </row>
    <row r="278" spans="1:8" ht="15" x14ac:dyDescent="0.25">
      <c r="A278" s="88" t="s">
        <v>2495</v>
      </c>
      <c r="B278" s="88">
        <v>1983</v>
      </c>
      <c r="C278" s="89" t="s">
        <v>2771</v>
      </c>
      <c r="D278" s="88" t="s">
        <v>160</v>
      </c>
      <c r="F278" s="70">
        <f t="shared" si="8"/>
        <v>1983</v>
      </c>
      <c r="G278" s="70" t="s">
        <v>159</v>
      </c>
      <c r="H278" s="70" t="str">
        <f t="shared" si="9"/>
        <v>BQR</v>
      </c>
    </row>
    <row r="279" spans="1:8" ht="15" x14ac:dyDescent="0.25">
      <c r="A279" s="88" t="s">
        <v>2495</v>
      </c>
      <c r="B279" s="88">
        <v>1983</v>
      </c>
      <c r="C279" s="89" t="s">
        <v>2770</v>
      </c>
      <c r="D279" s="88" t="s">
        <v>160</v>
      </c>
      <c r="F279" s="70">
        <f t="shared" si="8"/>
        <v>1983</v>
      </c>
      <c r="G279" s="70" t="s">
        <v>159</v>
      </c>
      <c r="H279" s="70" t="str">
        <f t="shared" si="9"/>
        <v>BQR</v>
      </c>
    </row>
    <row r="280" spans="1:8" ht="15" x14ac:dyDescent="0.25">
      <c r="A280" s="88" t="s">
        <v>2495</v>
      </c>
      <c r="B280" s="88">
        <v>1983</v>
      </c>
      <c r="C280" s="89" t="s">
        <v>2769</v>
      </c>
      <c r="D280" s="88" t="s">
        <v>160</v>
      </c>
      <c r="F280" s="70">
        <f t="shared" si="8"/>
        <v>1983</v>
      </c>
      <c r="G280" s="70" t="s">
        <v>159</v>
      </c>
      <c r="H280" s="70" t="str">
        <f t="shared" si="9"/>
        <v>BQR</v>
      </c>
    </row>
    <row r="281" spans="1:8" ht="15" x14ac:dyDescent="0.25">
      <c r="A281" s="88" t="s">
        <v>2495</v>
      </c>
      <c r="B281" s="88">
        <v>1983</v>
      </c>
      <c r="C281" s="89" t="s">
        <v>2768</v>
      </c>
      <c r="D281" s="88" t="s">
        <v>160</v>
      </c>
      <c r="F281" s="70">
        <f t="shared" si="8"/>
        <v>1983</v>
      </c>
      <c r="G281" s="70" t="s">
        <v>159</v>
      </c>
      <c r="H281" s="70" t="str">
        <f t="shared" si="9"/>
        <v>BQR</v>
      </c>
    </row>
    <row r="282" spans="1:8" ht="15" x14ac:dyDescent="0.25">
      <c r="A282" s="88" t="s">
        <v>2495</v>
      </c>
      <c r="B282" s="88">
        <v>1983</v>
      </c>
      <c r="C282" s="89" t="s">
        <v>2767</v>
      </c>
      <c r="D282" s="88" t="s">
        <v>160</v>
      </c>
      <c r="F282" s="70">
        <f t="shared" si="8"/>
        <v>1983</v>
      </c>
      <c r="G282" s="70" t="s">
        <v>159</v>
      </c>
      <c r="H282" s="70" t="str">
        <f t="shared" si="9"/>
        <v>BQR</v>
      </c>
    </row>
    <row r="283" spans="1:8" ht="15" x14ac:dyDescent="0.25">
      <c r="A283" s="88" t="s">
        <v>2495</v>
      </c>
      <c r="B283" s="88">
        <v>1983</v>
      </c>
      <c r="C283" s="89" t="s">
        <v>2766</v>
      </c>
      <c r="D283" s="88" t="s">
        <v>160</v>
      </c>
      <c r="F283" s="70">
        <f t="shared" si="8"/>
        <v>1983</v>
      </c>
      <c r="G283" s="70" t="s">
        <v>159</v>
      </c>
      <c r="H283" s="70" t="str">
        <f t="shared" si="9"/>
        <v>BQR</v>
      </c>
    </row>
    <row r="284" spans="1:8" ht="15" x14ac:dyDescent="0.25">
      <c r="A284" s="88" t="s">
        <v>2495</v>
      </c>
      <c r="B284" s="88">
        <v>1984</v>
      </c>
      <c r="C284" s="89" t="s">
        <v>2765</v>
      </c>
      <c r="D284" s="88" t="s">
        <v>160</v>
      </c>
      <c r="F284" s="70">
        <f t="shared" si="8"/>
        <v>1984</v>
      </c>
      <c r="G284" s="70" t="s">
        <v>159</v>
      </c>
      <c r="H284" s="70" t="str">
        <f t="shared" si="9"/>
        <v>BQR</v>
      </c>
    </row>
    <row r="285" spans="1:8" ht="15" x14ac:dyDescent="0.25">
      <c r="A285" s="88" t="s">
        <v>2495</v>
      </c>
      <c r="B285" s="88">
        <v>1984</v>
      </c>
      <c r="C285" s="89" t="s">
        <v>2764</v>
      </c>
      <c r="D285" s="88" t="s">
        <v>160</v>
      </c>
      <c r="F285" s="70">
        <f t="shared" si="8"/>
        <v>1984</v>
      </c>
      <c r="G285" s="70" t="s">
        <v>159</v>
      </c>
      <c r="H285" s="70" t="str">
        <f t="shared" si="9"/>
        <v>BQR</v>
      </c>
    </row>
    <row r="286" spans="1:8" ht="15" x14ac:dyDescent="0.25">
      <c r="A286" s="88" t="s">
        <v>2495</v>
      </c>
      <c r="B286" s="88">
        <v>1984</v>
      </c>
      <c r="C286" s="89" t="s">
        <v>2763</v>
      </c>
      <c r="D286" s="88" t="s">
        <v>160</v>
      </c>
      <c r="F286" s="70">
        <f t="shared" si="8"/>
        <v>1984</v>
      </c>
      <c r="G286" s="70" t="s">
        <v>159</v>
      </c>
      <c r="H286" s="70" t="str">
        <f t="shared" si="9"/>
        <v>BQR</v>
      </c>
    </row>
    <row r="287" spans="1:8" ht="15" x14ac:dyDescent="0.25">
      <c r="A287" s="88" t="s">
        <v>2495</v>
      </c>
      <c r="B287" s="88">
        <v>1984</v>
      </c>
      <c r="C287" s="89" t="s">
        <v>2762</v>
      </c>
      <c r="D287" s="88" t="s">
        <v>160</v>
      </c>
      <c r="F287" s="70">
        <f t="shared" si="8"/>
        <v>1984</v>
      </c>
      <c r="G287" s="70" t="s">
        <v>159</v>
      </c>
      <c r="H287" s="70" t="str">
        <f t="shared" si="9"/>
        <v>BQR</v>
      </c>
    </row>
    <row r="288" spans="1:8" ht="15" x14ac:dyDescent="0.25">
      <c r="A288" s="88" t="s">
        <v>2495</v>
      </c>
      <c r="B288" s="88">
        <v>1984</v>
      </c>
      <c r="C288" s="89" t="s">
        <v>2761</v>
      </c>
      <c r="D288" s="88" t="s">
        <v>160</v>
      </c>
      <c r="F288" s="70">
        <f t="shared" si="8"/>
        <v>1984</v>
      </c>
      <c r="G288" s="70" t="s">
        <v>159</v>
      </c>
      <c r="H288" s="70" t="str">
        <f t="shared" si="9"/>
        <v>BQR</v>
      </c>
    </row>
    <row r="289" spans="1:8" ht="15" x14ac:dyDescent="0.25">
      <c r="A289" s="88" t="s">
        <v>2495</v>
      </c>
      <c r="B289" s="88">
        <v>1984</v>
      </c>
      <c r="C289" s="89" t="s">
        <v>2760</v>
      </c>
      <c r="D289" s="88" t="s">
        <v>160</v>
      </c>
      <c r="F289" s="70">
        <f t="shared" si="8"/>
        <v>1984</v>
      </c>
      <c r="G289" s="70" t="s">
        <v>159</v>
      </c>
      <c r="H289" s="70" t="str">
        <f t="shared" si="9"/>
        <v>BQR</v>
      </c>
    </row>
    <row r="290" spans="1:8" ht="15" x14ac:dyDescent="0.25">
      <c r="A290" s="88" t="s">
        <v>2495</v>
      </c>
      <c r="B290" s="88">
        <v>1984</v>
      </c>
      <c r="C290" s="89" t="s">
        <v>2759</v>
      </c>
      <c r="D290" s="88" t="s">
        <v>160</v>
      </c>
      <c r="F290" s="70">
        <f t="shared" si="8"/>
        <v>1984</v>
      </c>
      <c r="G290" s="70" t="s">
        <v>159</v>
      </c>
      <c r="H290" s="70" t="str">
        <f t="shared" si="9"/>
        <v>BQR</v>
      </c>
    </row>
    <row r="291" spans="1:8" ht="15" x14ac:dyDescent="0.25">
      <c r="A291" s="88" t="s">
        <v>2495</v>
      </c>
      <c r="B291" s="88">
        <v>1984</v>
      </c>
      <c r="C291" s="89" t="s">
        <v>2758</v>
      </c>
      <c r="D291" s="88" t="s">
        <v>160</v>
      </c>
      <c r="F291" s="70">
        <f t="shared" si="8"/>
        <v>1984</v>
      </c>
      <c r="G291" s="70" t="s">
        <v>159</v>
      </c>
      <c r="H291" s="70" t="str">
        <f t="shared" si="9"/>
        <v>BQR</v>
      </c>
    </row>
    <row r="292" spans="1:8" ht="15" x14ac:dyDescent="0.25">
      <c r="A292" s="88" t="s">
        <v>2495</v>
      </c>
      <c r="B292" s="88">
        <v>1984</v>
      </c>
      <c r="C292" s="89" t="s">
        <v>2757</v>
      </c>
      <c r="D292" s="88" t="s">
        <v>160</v>
      </c>
      <c r="F292" s="70">
        <f t="shared" si="8"/>
        <v>1984</v>
      </c>
      <c r="G292" s="70" t="s">
        <v>159</v>
      </c>
      <c r="H292" s="70" t="str">
        <f t="shared" si="9"/>
        <v>BQR</v>
      </c>
    </row>
    <row r="293" spans="1:8" ht="15" x14ac:dyDescent="0.25">
      <c r="A293" s="88" t="s">
        <v>2495</v>
      </c>
      <c r="B293" s="88">
        <v>1984</v>
      </c>
      <c r="C293" s="89" t="s">
        <v>2756</v>
      </c>
      <c r="D293" s="88" t="s">
        <v>160</v>
      </c>
      <c r="F293" s="70">
        <f t="shared" si="8"/>
        <v>1984</v>
      </c>
      <c r="G293" s="70" t="s">
        <v>159</v>
      </c>
      <c r="H293" s="70" t="str">
        <f t="shared" si="9"/>
        <v>BQR</v>
      </c>
    </row>
    <row r="294" spans="1:8" ht="15" x14ac:dyDescent="0.25">
      <c r="A294" s="88" t="s">
        <v>2495</v>
      </c>
      <c r="B294" s="88">
        <v>1985</v>
      </c>
      <c r="C294" s="89" t="s">
        <v>2755</v>
      </c>
      <c r="D294" s="88" t="s">
        <v>160</v>
      </c>
      <c r="F294" s="70">
        <f t="shared" si="8"/>
        <v>1985</v>
      </c>
      <c r="G294" s="70" t="s">
        <v>159</v>
      </c>
      <c r="H294" s="70" t="str">
        <f t="shared" si="9"/>
        <v>BQR</v>
      </c>
    </row>
    <row r="295" spans="1:8" ht="15" x14ac:dyDescent="0.25">
      <c r="A295" s="88" t="s">
        <v>2495</v>
      </c>
      <c r="B295" s="88">
        <v>1985</v>
      </c>
      <c r="C295" s="89" t="s">
        <v>2754</v>
      </c>
      <c r="D295" s="88" t="s">
        <v>160</v>
      </c>
      <c r="F295" s="70">
        <f t="shared" si="8"/>
        <v>1985</v>
      </c>
      <c r="G295" s="70" t="s">
        <v>159</v>
      </c>
      <c r="H295" s="70" t="str">
        <f t="shared" si="9"/>
        <v>BQR</v>
      </c>
    </row>
    <row r="296" spans="1:8" ht="15" x14ac:dyDescent="0.25">
      <c r="A296" s="88" t="s">
        <v>2495</v>
      </c>
      <c r="B296" s="88">
        <v>1985</v>
      </c>
      <c r="C296" s="89" t="s">
        <v>2753</v>
      </c>
      <c r="D296" s="88" t="s">
        <v>160</v>
      </c>
      <c r="F296" s="70">
        <f t="shared" si="8"/>
        <v>1985</v>
      </c>
      <c r="G296" s="70" t="s">
        <v>159</v>
      </c>
      <c r="H296" s="70" t="str">
        <f t="shared" si="9"/>
        <v>BQR</v>
      </c>
    </row>
    <row r="297" spans="1:8" ht="15" x14ac:dyDescent="0.25">
      <c r="A297" s="88" t="s">
        <v>2495</v>
      </c>
      <c r="B297" s="88">
        <v>1985</v>
      </c>
      <c r="C297" s="89" t="s">
        <v>2752</v>
      </c>
      <c r="D297" s="88" t="s">
        <v>160</v>
      </c>
      <c r="F297" s="70">
        <f t="shared" si="8"/>
        <v>1985</v>
      </c>
      <c r="G297" s="70" t="s">
        <v>159</v>
      </c>
      <c r="H297" s="70" t="str">
        <f t="shared" si="9"/>
        <v>BQR</v>
      </c>
    </row>
    <row r="298" spans="1:8" ht="15" x14ac:dyDescent="0.25">
      <c r="A298" s="88" t="s">
        <v>2495</v>
      </c>
      <c r="B298" s="88">
        <v>1985</v>
      </c>
      <c r="C298" s="89" t="s">
        <v>2751</v>
      </c>
      <c r="D298" s="88" t="s">
        <v>160</v>
      </c>
      <c r="F298" s="70">
        <f t="shared" si="8"/>
        <v>1985</v>
      </c>
      <c r="G298" s="70" t="s">
        <v>159</v>
      </c>
      <c r="H298" s="70" t="str">
        <f t="shared" si="9"/>
        <v>BQR</v>
      </c>
    </row>
    <row r="299" spans="1:8" ht="15" x14ac:dyDescent="0.25">
      <c r="A299" s="88" t="s">
        <v>2495</v>
      </c>
      <c r="B299" s="88">
        <v>1985</v>
      </c>
      <c r="C299" s="89" t="s">
        <v>2750</v>
      </c>
      <c r="D299" s="88" t="s">
        <v>160</v>
      </c>
      <c r="F299" s="70">
        <f t="shared" si="8"/>
        <v>1985</v>
      </c>
      <c r="G299" s="70" t="s">
        <v>159</v>
      </c>
      <c r="H299" s="70" t="str">
        <f t="shared" si="9"/>
        <v>BQR</v>
      </c>
    </row>
    <row r="300" spans="1:8" ht="15" x14ac:dyDescent="0.25">
      <c r="A300" s="88" t="s">
        <v>2495</v>
      </c>
      <c r="B300" s="88">
        <v>1985</v>
      </c>
      <c r="C300" s="89" t="s">
        <v>2749</v>
      </c>
      <c r="D300" s="88" t="s">
        <v>160</v>
      </c>
      <c r="F300" s="70">
        <f t="shared" si="8"/>
        <v>1985</v>
      </c>
      <c r="G300" s="70" t="s">
        <v>159</v>
      </c>
      <c r="H300" s="70" t="str">
        <f t="shared" si="9"/>
        <v>BQR</v>
      </c>
    </row>
    <row r="301" spans="1:8" ht="15" x14ac:dyDescent="0.25">
      <c r="A301" s="88" t="s">
        <v>2495</v>
      </c>
      <c r="B301" s="88">
        <v>1985</v>
      </c>
      <c r="C301" s="89" t="s">
        <v>2748</v>
      </c>
      <c r="D301" s="88" t="s">
        <v>160</v>
      </c>
      <c r="F301" s="70">
        <f t="shared" si="8"/>
        <v>1985</v>
      </c>
      <c r="G301" s="70" t="s">
        <v>159</v>
      </c>
      <c r="H301" s="70" t="str">
        <f t="shared" si="9"/>
        <v>BQR</v>
      </c>
    </row>
    <row r="302" spans="1:8" ht="15" x14ac:dyDescent="0.25">
      <c r="A302" s="88" t="s">
        <v>2495</v>
      </c>
      <c r="B302" s="88">
        <v>1986</v>
      </c>
      <c r="C302" s="89" t="s">
        <v>2747</v>
      </c>
      <c r="D302" s="88" t="s">
        <v>160</v>
      </c>
      <c r="F302" s="70">
        <f t="shared" si="8"/>
        <v>1986</v>
      </c>
      <c r="G302" s="70" t="s">
        <v>159</v>
      </c>
      <c r="H302" s="70" t="str">
        <f t="shared" si="9"/>
        <v>BQR</v>
      </c>
    </row>
    <row r="303" spans="1:8" ht="15" x14ac:dyDescent="0.25">
      <c r="A303" s="88" t="s">
        <v>2495</v>
      </c>
      <c r="B303" s="88">
        <v>1986</v>
      </c>
      <c r="C303" s="89" t="s">
        <v>2746</v>
      </c>
      <c r="D303" s="88" t="s">
        <v>160</v>
      </c>
      <c r="F303" s="70">
        <f t="shared" si="8"/>
        <v>1986</v>
      </c>
      <c r="G303" s="70" t="s">
        <v>159</v>
      </c>
      <c r="H303" s="70" t="str">
        <f t="shared" si="9"/>
        <v>BQR</v>
      </c>
    </row>
    <row r="304" spans="1:8" ht="15" x14ac:dyDescent="0.25">
      <c r="A304" s="88" t="s">
        <v>2495</v>
      </c>
      <c r="B304" s="88">
        <v>1986</v>
      </c>
      <c r="C304" s="89" t="s">
        <v>2745</v>
      </c>
      <c r="D304" s="88" t="s">
        <v>160</v>
      </c>
      <c r="F304" s="70">
        <f t="shared" si="8"/>
        <v>1986</v>
      </c>
      <c r="G304" s="70" t="s">
        <v>159</v>
      </c>
      <c r="H304" s="70" t="str">
        <f t="shared" si="9"/>
        <v>BQR</v>
      </c>
    </row>
    <row r="305" spans="1:8" ht="15" x14ac:dyDescent="0.25">
      <c r="A305" s="88" t="s">
        <v>2495</v>
      </c>
      <c r="B305" s="88">
        <v>1986</v>
      </c>
      <c r="C305" s="89" t="s">
        <v>2744</v>
      </c>
      <c r="D305" s="88" t="s">
        <v>160</v>
      </c>
      <c r="F305" s="70">
        <f t="shared" si="8"/>
        <v>1986</v>
      </c>
      <c r="G305" s="70" t="s">
        <v>159</v>
      </c>
      <c r="H305" s="70" t="str">
        <f t="shared" si="9"/>
        <v>BQR</v>
      </c>
    </row>
    <row r="306" spans="1:8" ht="15" x14ac:dyDescent="0.25">
      <c r="A306" s="88" t="s">
        <v>2495</v>
      </c>
      <c r="B306" s="88">
        <v>1986</v>
      </c>
      <c r="C306" s="89" t="s">
        <v>2743</v>
      </c>
      <c r="D306" s="88" t="s">
        <v>160</v>
      </c>
      <c r="F306" s="70">
        <f t="shared" si="8"/>
        <v>1986</v>
      </c>
      <c r="G306" s="70" t="s">
        <v>159</v>
      </c>
      <c r="H306" s="70" t="str">
        <f t="shared" si="9"/>
        <v>BQR</v>
      </c>
    </row>
    <row r="307" spans="1:8" ht="15" x14ac:dyDescent="0.25">
      <c r="A307" s="88" t="s">
        <v>2495</v>
      </c>
      <c r="B307" s="88">
        <v>1986</v>
      </c>
      <c r="C307" s="89" t="s">
        <v>2742</v>
      </c>
      <c r="D307" s="88" t="s">
        <v>160</v>
      </c>
      <c r="F307" s="70">
        <f t="shared" si="8"/>
        <v>1986</v>
      </c>
      <c r="G307" s="70" t="s">
        <v>159</v>
      </c>
      <c r="H307" s="70" t="str">
        <f t="shared" si="9"/>
        <v>BQR</v>
      </c>
    </row>
    <row r="308" spans="1:8" ht="15" x14ac:dyDescent="0.25">
      <c r="A308" s="88" t="s">
        <v>2495</v>
      </c>
      <c r="B308" s="88">
        <v>1986</v>
      </c>
      <c r="C308" s="89" t="s">
        <v>2741</v>
      </c>
      <c r="D308" s="88" t="s">
        <v>160</v>
      </c>
      <c r="F308" s="70">
        <f t="shared" si="8"/>
        <v>1986</v>
      </c>
      <c r="G308" s="70" t="s">
        <v>159</v>
      </c>
      <c r="H308" s="70" t="str">
        <f t="shared" si="9"/>
        <v>BQR</v>
      </c>
    </row>
    <row r="309" spans="1:8" ht="15" x14ac:dyDescent="0.25">
      <c r="A309" s="88" t="s">
        <v>2495</v>
      </c>
      <c r="B309" s="88">
        <v>1986</v>
      </c>
      <c r="C309" s="89" t="s">
        <v>2740</v>
      </c>
      <c r="D309" s="88" t="s">
        <v>160</v>
      </c>
      <c r="F309" s="70">
        <f t="shared" si="8"/>
        <v>1986</v>
      </c>
      <c r="G309" s="70" t="s">
        <v>159</v>
      </c>
      <c r="H309" s="70" t="str">
        <f t="shared" si="9"/>
        <v>BQR</v>
      </c>
    </row>
    <row r="310" spans="1:8" ht="15" x14ac:dyDescent="0.25">
      <c r="A310" s="88" t="s">
        <v>2495</v>
      </c>
      <c r="B310" s="88">
        <v>1987</v>
      </c>
      <c r="C310" s="89" t="s">
        <v>2739</v>
      </c>
      <c r="D310" s="88" t="s">
        <v>160</v>
      </c>
      <c r="F310" s="70">
        <f t="shared" si="8"/>
        <v>1987</v>
      </c>
      <c r="G310" s="70" t="s">
        <v>159</v>
      </c>
      <c r="H310" s="70" t="str">
        <f t="shared" si="9"/>
        <v>BQR</v>
      </c>
    </row>
    <row r="311" spans="1:8" ht="15" x14ac:dyDescent="0.25">
      <c r="A311" s="88" t="s">
        <v>2495</v>
      </c>
      <c r="B311" s="88">
        <v>1987</v>
      </c>
      <c r="C311" s="89" t="s">
        <v>2738</v>
      </c>
      <c r="D311" s="88" t="s">
        <v>160</v>
      </c>
      <c r="F311" s="70">
        <f t="shared" si="8"/>
        <v>1987</v>
      </c>
      <c r="G311" s="70" t="s">
        <v>159</v>
      </c>
      <c r="H311" s="70" t="str">
        <f t="shared" si="9"/>
        <v>BQR</v>
      </c>
    </row>
    <row r="312" spans="1:8" ht="15" x14ac:dyDescent="0.25">
      <c r="A312" s="88" t="s">
        <v>2495</v>
      </c>
      <c r="B312" s="88">
        <v>1987</v>
      </c>
      <c r="C312" s="89" t="s">
        <v>2737</v>
      </c>
      <c r="D312" s="88" t="s">
        <v>160</v>
      </c>
      <c r="F312" s="70">
        <f t="shared" si="8"/>
        <v>1987</v>
      </c>
      <c r="G312" s="70" t="s">
        <v>159</v>
      </c>
      <c r="H312" s="70" t="str">
        <f t="shared" si="9"/>
        <v>BQR</v>
      </c>
    </row>
    <row r="313" spans="1:8" ht="15" x14ac:dyDescent="0.25">
      <c r="A313" s="88" t="s">
        <v>2495</v>
      </c>
      <c r="B313" s="88">
        <v>1987</v>
      </c>
      <c r="C313" s="89" t="s">
        <v>2736</v>
      </c>
      <c r="D313" s="88" t="s">
        <v>160</v>
      </c>
      <c r="F313" s="70">
        <f t="shared" si="8"/>
        <v>1987</v>
      </c>
      <c r="G313" s="70" t="s">
        <v>159</v>
      </c>
      <c r="H313" s="70" t="str">
        <f t="shared" si="9"/>
        <v>BQR</v>
      </c>
    </row>
    <row r="314" spans="1:8" ht="15" x14ac:dyDescent="0.25">
      <c r="A314" s="88" t="s">
        <v>2495</v>
      </c>
      <c r="B314" s="88">
        <v>1987</v>
      </c>
      <c r="C314" s="89" t="s">
        <v>2735</v>
      </c>
      <c r="D314" s="88" t="s">
        <v>160</v>
      </c>
      <c r="F314" s="70">
        <f t="shared" si="8"/>
        <v>1987</v>
      </c>
      <c r="G314" s="70" t="s">
        <v>159</v>
      </c>
      <c r="H314" s="70" t="str">
        <f t="shared" si="9"/>
        <v>BQR</v>
      </c>
    </row>
    <row r="315" spans="1:8" ht="15" x14ac:dyDescent="0.25">
      <c r="A315" s="88" t="s">
        <v>2495</v>
      </c>
      <c r="B315" s="88">
        <v>1987</v>
      </c>
      <c r="C315" s="89" t="s">
        <v>2734</v>
      </c>
      <c r="D315" s="88" t="s">
        <v>160</v>
      </c>
      <c r="F315" s="70">
        <f t="shared" si="8"/>
        <v>1987</v>
      </c>
      <c r="G315" s="70" t="s">
        <v>159</v>
      </c>
      <c r="H315" s="70" t="str">
        <f t="shared" si="9"/>
        <v>BQR</v>
      </c>
    </row>
    <row r="316" spans="1:8" ht="15" x14ac:dyDescent="0.25">
      <c r="A316" s="88" t="s">
        <v>2495</v>
      </c>
      <c r="B316" s="88">
        <v>1987</v>
      </c>
      <c r="C316" s="89" t="s">
        <v>2733</v>
      </c>
      <c r="D316" s="88" t="s">
        <v>160</v>
      </c>
      <c r="F316" s="70">
        <f t="shared" si="8"/>
        <v>1987</v>
      </c>
      <c r="G316" s="70" t="s">
        <v>159</v>
      </c>
      <c r="H316" s="70" t="str">
        <f t="shared" si="9"/>
        <v>BQR</v>
      </c>
    </row>
    <row r="317" spans="1:8" ht="15" x14ac:dyDescent="0.25">
      <c r="A317" s="88" t="s">
        <v>2495</v>
      </c>
      <c r="B317" s="88">
        <v>1987</v>
      </c>
      <c r="C317" s="89" t="s">
        <v>2732</v>
      </c>
      <c r="D317" s="88" t="s">
        <v>160</v>
      </c>
      <c r="F317" s="70">
        <f t="shared" si="8"/>
        <v>1987</v>
      </c>
      <c r="G317" s="70" t="s">
        <v>159</v>
      </c>
      <c r="H317" s="70" t="str">
        <f t="shared" si="9"/>
        <v>BQR</v>
      </c>
    </row>
    <row r="318" spans="1:8" ht="15" x14ac:dyDescent="0.25">
      <c r="A318" s="88" t="s">
        <v>2495</v>
      </c>
      <c r="B318" s="88">
        <v>1988</v>
      </c>
      <c r="C318" s="89" t="s">
        <v>2731</v>
      </c>
      <c r="D318" s="88" t="s">
        <v>160</v>
      </c>
      <c r="F318" s="70">
        <f t="shared" si="8"/>
        <v>1988</v>
      </c>
      <c r="G318" s="70" t="s">
        <v>159</v>
      </c>
      <c r="H318" s="70" t="str">
        <f t="shared" si="9"/>
        <v>BQR</v>
      </c>
    </row>
    <row r="319" spans="1:8" ht="15" x14ac:dyDescent="0.25">
      <c r="A319" s="88" t="s">
        <v>2495</v>
      </c>
      <c r="B319" s="88">
        <v>1988</v>
      </c>
      <c r="C319" s="89" t="s">
        <v>2730</v>
      </c>
      <c r="D319" s="88" t="s">
        <v>160</v>
      </c>
      <c r="F319" s="70">
        <f t="shared" si="8"/>
        <v>1988</v>
      </c>
      <c r="G319" s="70" t="s">
        <v>159</v>
      </c>
      <c r="H319" s="70" t="str">
        <f t="shared" si="9"/>
        <v>BQR</v>
      </c>
    </row>
    <row r="320" spans="1:8" ht="15" x14ac:dyDescent="0.25">
      <c r="A320" s="88" t="s">
        <v>2495</v>
      </c>
      <c r="B320" s="88">
        <v>1988</v>
      </c>
      <c r="C320" s="89" t="s">
        <v>2729</v>
      </c>
      <c r="D320" s="88" t="s">
        <v>160</v>
      </c>
      <c r="F320" s="70">
        <f t="shared" si="8"/>
        <v>1988</v>
      </c>
      <c r="G320" s="70" t="s">
        <v>159</v>
      </c>
      <c r="H320" s="70" t="str">
        <f t="shared" si="9"/>
        <v>BQR</v>
      </c>
    </row>
    <row r="321" spans="1:8" ht="15" x14ac:dyDescent="0.25">
      <c r="A321" s="88" t="s">
        <v>2495</v>
      </c>
      <c r="B321" s="88">
        <v>1988</v>
      </c>
      <c r="C321" s="89" t="s">
        <v>2728</v>
      </c>
      <c r="D321" s="88" t="s">
        <v>160</v>
      </c>
      <c r="F321" s="70">
        <f t="shared" si="8"/>
        <v>1988</v>
      </c>
      <c r="G321" s="70" t="s">
        <v>159</v>
      </c>
      <c r="H321" s="70" t="str">
        <f t="shared" si="9"/>
        <v>BQR</v>
      </c>
    </row>
    <row r="322" spans="1:8" ht="15" x14ac:dyDescent="0.25">
      <c r="A322" s="88" t="s">
        <v>2495</v>
      </c>
      <c r="B322" s="88">
        <v>1988</v>
      </c>
      <c r="C322" s="89" t="s">
        <v>2727</v>
      </c>
      <c r="D322" s="88" t="s">
        <v>160</v>
      </c>
      <c r="F322" s="70">
        <f t="shared" si="8"/>
        <v>1988</v>
      </c>
      <c r="G322" s="70" t="s">
        <v>159</v>
      </c>
      <c r="H322" s="70" t="str">
        <f t="shared" si="9"/>
        <v>BQR</v>
      </c>
    </row>
    <row r="323" spans="1:8" ht="15" x14ac:dyDescent="0.25">
      <c r="A323" s="88" t="s">
        <v>2495</v>
      </c>
      <c r="B323" s="88">
        <v>1988</v>
      </c>
      <c r="C323" s="89" t="s">
        <v>2726</v>
      </c>
      <c r="D323" s="88" t="s">
        <v>160</v>
      </c>
      <c r="F323" s="70">
        <f t="shared" si="8"/>
        <v>1988</v>
      </c>
      <c r="G323" s="70" t="s">
        <v>159</v>
      </c>
      <c r="H323" s="70" t="str">
        <f t="shared" si="9"/>
        <v>BQR</v>
      </c>
    </row>
    <row r="324" spans="1:8" ht="15" x14ac:dyDescent="0.25">
      <c r="A324" s="88" t="s">
        <v>2495</v>
      </c>
      <c r="B324" s="88">
        <v>1988</v>
      </c>
      <c r="C324" s="89" t="s">
        <v>2725</v>
      </c>
      <c r="D324" s="88" t="s">
        <v>160</v>
      </c>
      <c r="F324" s="70">
        <f t="shared" si="8"/>
        <v>1988</v>
      </c>
      <c r="G324" s="70" t="s">
        <v>159</v>
      </c>
      <c r="H324" s="70" t="str">
        <f t="shared" si="9"/>
        <v>BQR</v>
      </c>
    </row>
    <row r="325" spans="1:8" ht="15" x14ac:dyDescent="0.25">
      <c r="A325" s="88" t="s">
        <v>2495</v>
      </c>
      <c r="B325" s="88">
        <v>1988</v>
      </c>
      <c r="C325" s="89" t="s">
        <v>2724</v>
      </c>
      <c r="D325" s="88" t="s">
        <v>160</v>
      </c>
      <c r="F325" s="70">
        <f t="shared" si="8"/>
        <v>1988</v>
      </c>
      <c r="G325" s="70" t="s">
        <v>159</v>
      </c>
      <c r="H325" s="70" t="str">
        <f t="shared" si="9"/>
        <v>BQR</v>
      </c>
    </row>
    <row r="326" spans="1:8" ht="15" x14ac:dyDescent="0.25">
      <c r="A326" s="88" t="s">
        <v>2495</v>
      </c>
      <c r="B326" s="88">
        <v>1988</v>
      </c>
      <c r="C326" s="89" t="s">
        <v>2723</v>
      </c>
      <c r="D326" s="88" t="s">
        <v>160</v>
      </c>
      <c r="F326" s="70">
        <f t="shared" si="8"/>
        <v>1988</v>
      </c>
      <c r="G326" s="70" t="s">
        <v>159</v>
      </c>
      <c r="H326" s="70" t="str">
        <f t="shared" si="9"/>
        <v>BQR</v>
      </c>
    </row>
    <row r="327" spans="1:8" ht="15" x14ac:dyDescent="0.25">
      <c r="A327" s="88" t="s">
        <v>2495</v>
      </c>
      <c r="B327" s="88">
        <v>1988</v>
      </c>
      <c r="C327" s="89" t="s">
        <v>2722</v>
      </c>
      <c r="D327" s="88" t="s">
        <v>160</v>
      </c>
      <c r="F327" s="70">
        <f t="shared" si="8"/>
        <v>1988</v>
      </c>
      <c r="G327" s="70" t="s">
        <v>159</v>
      </c>
      <c r="H327" s="70" t="str">
        <f t="shared" si="9"/>
        <v>BQR</v>
      </c>
    </row>
    <row r="328" spans="1:8" ht="15" x14ac:dyDescent="0.25">
      <c r="A328" s="88" t="s">
        <v>2495</v>
      </c>
      <c r="B328" s="88">
        <v>1989</v>
      </c>
      <c r="C328" s="89" t="s">
        <v>2721</v>
      </c>
      <c r="D328" s="88" t="s">
        <v>160</v>
      </c>
      <c r="F328" s="70">
        <f t="shared" ref="F328:F391" si="10">+B328</f>
        <v>1989</v>
      </c>
      <c r="G328" s="70" t="s">
        <v>159</v>
      </c>
      <c r="H328" s="70" t="str">
        <f t="shared" ref="H328:H391" si="11">A328</f>
        <v>BQR</v>
      </c>
    </row>
    <row r="329" spans="1:8" ht="15" x14ac:dyDescent="0.25">
      <c r="A329" s="88" t="s">
        <v>2495</v>
      </c>
      <c r="B329" s="88">
        <v>1989</v>
      </c>
      <c r="C329" s="89" t="s">
        <v>2720</v>
      </c>
      <c r="D329" s="88" t="s">
        <v>160</v>
      </c>
      <c r="F329" s="70">
        <f t="shared" si="10"/>
        <v>1989</v>
      </c>
      <c r="G329" s="70" t="s">
        <v>159</v>
      </c>
      <c r="H329" s="70" t="str">
        <f t="shared" si="11"/>
        <v>BQR</v>
      </c>
    </row>
    <row r="330" spans="1:8" ht="15" x14ac:dyDescent="0.25">
      <c r="A330" s="88" t="s">
        <v>2495</v>
      </c>
      <c r="B330" s="88">
        <v>1989</v>
      </c>
      <c r="C330" s="89" t="s">
        <v>2719</v>
      </c>
      <c r="D330" s="88" t="s">
        <v>160</v>
      </c>
      <c r="F330" s="70">
        <f t="shared" si="10"/>
        <v>1989</v>
      </c>
      <c r="G330" s="70" t="s">
        <v>159</v>
      </c>
      <c r="H330" s="70" t="str">
        <f t="shared" si="11"/>
        <v>BQR</v>
      </c>
    </row>
    <row r="331" spans="1:8" ht="15" x14ac:dyDescent="0.25">
      <c r="A331" s="88" t="s">
        <v>2495</v>
      </c>
      <c r="B331" s="88">
        <v>1989</v>
      </c>
      <c r="C331" s="89" t="s">
        <v>2718</v>
      </c>
      <c r="D331" s="88" t="s">
        <v>160</v>
      </c>
      <c r="F331" s="70">
        <f t="shared" si="10"/>
        <v>1989</v>
      </c>
      <c r="G331" s="70" t="s">
        <v>159</v>
      </c>
      <c r="H331" s="70" t="str">
        <f t="shared" si="11"/>
        <v>BQR</v>
      </c>
    </row>
    <row r="332" spans="1:8" ht="15" x14ac:dyDescent="0.25">
      <c r="A332" s="88" t="s">
        <v>2495</v>
      </c>
      <c r="B332" s="88">
        <v>1989</v>
      </c>
      <c r="C332" s="89" t="s">
        <v>2717</v>
      </c>
      <c r="D332" s="88" t="s">
        <v>160</v>
      </c>
      <c r="F332" s="70">
        <f t="shared" si="10"/>
        <v>1989</v>
      </c>
      <c r="G332" s="70" t="s">
        <v>159</v>
      </c>
      <c r="H332" s="70" t="str">
        <f t="shared" si="11"/>
        <v>BQR</v>
      </c>
    </row>
    <row r="333" spans="1:8" ht="15" x14ac:dyDescent="0.25">
      <c r="A333" s="88" t="s">
        <v>2495</v>
      </c>
      <c r="B333" s="88">
        <v>1989</v>
      </c>
      <c r="C333" s="89" t="s">
        <v>2716</v>
      </c>
      <c r="D333" s="88" t="s">
        <v>160</v>
      </c>
      <c r="F333" s="70">
        <f t="shared" si="10"/>
        <v>1989</v>
      </c>
      <c r="G333" s="70" t="s">
        <v>159</v>
      </c>
      <c r="H333" s="70" t="str">
        <f t="shared" si="11"/>
        <v>BQR</v>
      </c>
    </row>
    <row r="334" spans="1:8" ht="15" x14ac:dyDescent="0.25">
      <c r="A334" s="88" t="s">
        <v>2495</v>
      </c>
      <c r="B334" s="88">
        <v>1989</v>
      </c>
      <c r="C334" s="89" t="s">
        <v>2715</v>
      </c>
      <c r="D334" s="88" t="s">
        <v>160</v>
      </c>
      <c r="F334" s="70">
        <f t="shared" si="10"/>
        <v>1989</v>
      </c>
      <c r="G334" s="70" t="s">
        <v>159</v>
      </c>
      <c r="H334" s="70" t="str">
        <f t="shared" si="11"/>
        <v>BQR</v>
      </c>
    </row>
    <row r="335" spans="1:8" ht="15" x14ac:dyDescent="0.25">
      <c r="A335" s="88" t="s">
        <v>2495</v>
      </c>
      <c r="B335" s="88">
        <v>1989</v>
      </c>
      <c r="C335" s="89" t="s">
        <v>2714</v>
      </c>
      <c r="D335" s="88" t="s">
        <v>160</v>
      </c>
      <c r="F335" s="70">
        <f t="shared" si="10"/>
        <v>1989</v>
      </c>
      <c r="G335" s="70" t="s">
        <v>159</v>
      </c>
      <c r="H335" s="70" t="str">
        <f t="shared" si="11"/>
        <v>BQR</v>
      </c>
    </row>
    <row r="336" spans="1:8" ht="15" x14ac:dyDescent="0.25">
      <c r="A336" s="88" t="s">
        <v>2495</v>
      </c>
      <c r="B336" s="88">
        <v>1990</v>
      </c>
      <c r="C336" s="89" t="s">
        <v>2713</v>
      </c>
      <c r="D336" s="88" t="s">
        <v>160</v>
      </c>
      <c r="F336" s="70">
        <f t="shared" si="10"/>
        <v>1990</v>
      </c>
      <c r="G336" s="70" t="s">
        <v>159</v>
      </c>
      <c r="H336" s="70" t="str">
        <f t="shared" si="11"/>
        <v>BQR</v>
      </c>
    </row>
    <row r="337" spans="1:8" ht="15" x14ac:dyDescent="0.25">
      <c r="A337" s="88" t="s">
        <v>2495</v>
      </c>
      <c r="B337" s="88">
        <v>1990</v>
      </c>
      <c r="C337" s="89" t="s">
        <v>2712</v>
      </c>
      <c r="D337" s="88" t="s">
        <v>160</v>
      </c>
      <c r="F337" s="70">
        <f t="shared" si="10"/>
        <v>1990</v>
      </c>
      <c r="G337" s="70" t="s">
        <v>159</v>
      </c>
      <c r="H337" s="70" t="str">
        <f t="shared" si="11"/>
        <v>BQR</v>
      </c>
    </row>
    <row r="338" spans="1:8" ht="15" x14ac:dyDescent="0.25">
      <c r="A338" s="88" t="s">
        <v>2495</v>
      </c>
      <c r="B338" s="88">
        <v>1990</v>
      </c>
      <c r="C338" s="89" t="s">
        <v>2711</v>
      </c>
      <c r="D338" s="88" t="s">
        <v>160</v>
      </c>
      <c r="F338" s="70">
        <f t="shared" si="10"/>
        <v>1990</v>
      </c>
      <c r="G338" s="70" t="s">
        <v>159</v>
      </c>
      <c r="H338" s="70" t="str">
        <f t="shared" si="11"/>
        <v>BQR</v>
      </c>
    </row>
    <row r="339" spans="1:8" ht="15" x14ac:dyDescent="0.25">
      <c r="A339" s="88" t="s">
        <v>2495</v>
      </c>
      <c r="B339" s="88">
        <v>1990</v>
      </c>
      <c r="C339" s="89" t="s">
        <v>2710</v>
      </c>
      <c r="D339" s="88" t="s">
        <v>160</v>
      </c>
      <c r="F339" s="70">
        <f t="shared" si="10"/>
        <v>1990</v>
      </c>
      <c r="G339" s="70" t="s">
        <v>159</v>
      </c>
      <c r="H339" s="70" t="str">
        <f t="shared" si="11"/>
        <v>BQR</v>
      </c>
    </row>
    <row r="340" spans="1:8" ht="15" x14ac:dyDescent="0.25">
      <c r="A340" s="88" t="s">
        <v>2495</v>
      </c>
      <c r="B340" s="88">
        <v>1990</v>
      </c>
      <c r="C340" s="89" t="s">
        <v>2709</v>
      </c>
      <c r="D340" s="88" t="s">
        <v>160</v>
      </c>
      <c r="F340" s="70">
        <f t="shared" si="10"/>
        <v>1990</v>
      </c>
      <c r="G340" s="70" t="s">
        <v>159</v>
      </c>
      <c r="H340" s="70" t="str">
        <f t="shared" si="11"/>
        <v>BQR</v>
      </c>
    </row>
    <row r="341" spans="1:8" ht="15" x14ac:dyDescent="0.25">
      <c r="A341" s="88" t="s">
        <v>2495</v>
      </c>
      <c r="B341" s="88">
        <v>1990</v>
      </c>
      <c r="C341" s="89" t="s">
        <v>2708</v>
      </c>
      <c r="D341" s="88" t="s">
        <v>160</v>
      </c>
      <c r="F341" s="70">
        <f t="shared" si="10"/>
        <v>1990</v>
      </c>
      <c r="G341" s="70" t="s">
        <v>159</v>
      </c>
      <c r="H341" s="70" t="str">
        <f t="shared" si="11"/>
        <v>BQR</v>
      </c>
    </row>
    <row r="342" spans="1:8" ht="15" x14ac:dyDescent="0.25">
      <c r="A342" s="88" t="s">
        <v>2495</v>
      </c>
      <c r="B342" s="88">
        <v>1990</v>
      </c>
      <c r="C342" s="89" t="s">
        <v>2707</v>
      </c>
      <c r="D342" s="88" t="s">
        <v>160</v>
      </c>
      <c r="F342" s="70">
        <f t="shared" si="10"/>
        <v>1990</v>
      </c>
      <c r="G342" s="70" t="s">
        <v>159</v>
      </c>
      <c r="H342" s="70" t="str">
        <f t="shared" si="11"/>
        <v>BQR</v>
      </c>
    </row>
    <row r="343" spans="1:8" ht="15" x14ac:dyDescent="0.25">
      <c r="A343" s="88" t="s">
        <v>2495</v>
      </c>
      <c r="B343" s="88">
        <v>1990</v>
      </c>
      <c r="C343" s="89" t="s">
        <v>2706</v>
      </c>
      <c r="D343" s="88" t="s">
        <v>160</v>
      </c>
      <c r="F343" s="70">
        <f t="shared" si="10"/>
        <v>1990</v>
      </c>
      <c r="G343" s="70" t="s">
        <v>159</v>
      </c>
      <c r="H343" s="70" t="str">
        <f t="shared" si="11"/>
        <v>BQR</v>
      </c>
    </row>
    <row r="344" spans="1:8" ht="15" x14ac:dyDescent="0.25">
      <c r="A344" s="88" t="s">
        <v>2495</v>
      </c>
      <c r="B344" s="88">
        <v>1991</v>
      </c>
      <c r="C344" s="89" t="s">
        <v>2705</v>
      </c>
      <c r="D344" s="88" t="s">
        <v>160</v>
      </c>
      <c r="F344" s="70">
        <f t="shared" si="10"/>
        <v>1991</v>
      </c>
      <c r="G344" s="70" t="s">
        <v>159</v>
      </c>
      <c r="H344" s="70" t="str">
        <f t="shared" si="11"/>
        <v>BQR</v>
      </c>
    </row>
    <row r="345" spans="1:8" ht="15" x14ac:dyDescent="0.25">
      <c r="A345" s="88" t="s">
        <v>2495</v>
      </c>
      <c r="B345" s="88">
        <v>1991</v>
      </c>
      <c r="C345" s="89" t="s">
        <v>2704</v>
      </c>
      <c r="D345" s="88" t="s">
        <v>160</v>
      </c>
      <c r="F345" s="70">
        <f t="shared" si="10"/>
        <v>1991</v>
      </c>
      <c r="G345" s="70" t="s">
        <v>159</v>
      </c>
      <c r="H345" s="70" t="str">
        <f t="shared" si="11"/>
        <v>BQR</v>
      </c>
    </row>
    <row r="346" spans="1:8" ht="15" x14ac:dyDescent="0.25">
      <c r="A346" s="88" t="s">
        <v>2495</v>
      </c>
      <c r="B346" s="88">
        <v>1991</v>
      </c>
      <c r="C346" s="89" t="s">
        <v>2703</v>
      </c>
      <c r="D346" s="88" t="s">
        <v>160</v>
      </c>
      <c r="F346" s="70">
        <f t="shared" si="10"/>
        <v>1991</v>
      </c>
      <c r="G346" s="70" t="s">
        <v>159</v>
      </c>
      <c r="H346" s="70" t="str">
        <f t="shared" si="11"/>
        <v>BQR</v>
      </c>
    </row>
    <row r="347" spans="1:8" ht="15" x14ac:dyDescent="0.25">
      <c r="A347" s="88" t="s">
        <v>2495</v>
      </c>
      <c r="B347" s="88">
        <v>1991</v>
      </c>
      <c r="C347" s="89" t="s">
        <v>2702</v>
      </c>
      <c r="D347" s="88" t="s">
        <v>160</v>
      </c>
      <c r="F347" s="70">
        <f t="shared" si="10"/>
        <v>1991</v>
      </c>
      <c r="G347" s="70" t="s">
        <v>159</v>
      </c>
      <c r="H347" s="70" t="str">
        <f t="shared" si="11"/>
        <v>BQR</v>
      </c>
    </row>
    <row r="348" spans="1:8" ht="15" x14ac:dyDescent="0.25">
      <c r="A348" s="88" t="s">
        <v>2495</v>
      </c>
      <c r="B348" s="88">
        <v>1991</v>
      </c>
      <c r="C348" s="89" t="s">
        <v>2701</v>
      </c>
      <c r="D348" s="88" t="s">
        <v>160</v>
      </c>
      <c r="F348" s="70">
        <f t="shared" si="10"/>
        <v>1991</v>
      </c>
      <c r="G348" s="70" t="s">
        <v>159</v>
      </c>
      <c r="H348" s="70" t="str">
        <f t="shared" si="11"/>
        <v>BQR</v>
      </c>
    </row>
    <row r="349" spans="1:8" ht="15" x14ac:dyDescent="0.25">
      <c r="A349" s="88" t="s">
        <v>2495</v>
      </c>
      <c r="B349" s="88">
        <v>1991</v>
      </c>
      <c r="C349" s="89" t="s">
        <v>2700</v>
      </c>
      <c r="D349" s="88" t="s">
        <v>160</v>
      </c>
      <c r="F349" s="70">
        <f t="shared" si="10"/>
        <v>1991</v>
      </c>
      <c r="G349" s="70" t="s">
        <v>159</v>
      </c>
      <c r="H349" s="70" t="str">
        <f t="shared" si="11"/>
        <v>BQR</v>
      </c>
    </row>
    <row r="350" spans="1:8" ht="15" x14ac:dyDescent="0.25">
      <c r="A350" s="88" t="s">
        <v>2495</v>
      </c>
      <c r="B350" s="88">
        <v>1991</v>
      </c>
      <c r="C350" s="89" t="s">
        <v>2699</v>
      </c>
      <c r="D350" s="88" t="s">
        <v>160</v>
      </c>
      <c r="F350" s="70">
        <f t="shared" si="10"/>
        <v>1991</v>
      </c>
      <c r="G350" s="70" t="s">
        <v>159</v>
      </c>
      <c r="H350" s="70" t="str">
        <f t="shared" si="11"/>
        <v>BQR</v>
      </c>
    </row>
    <row r="351" spans="1:8" ht="15" x14ac:dyDescent="0.25">
      <c r="A351" s="88" t="s">
        <v>2495</v>
      </c>
      <c r="B351" s="88">
        <v>1992</v>
      </c>
      <c r="C351" s="89" t="s">
        <v>2698</v>
      </c>
      <c r="D351" s="88" t="s">
        <v>160</v>
      </c>
      <c r="F351" s="70">
        <f t="shared" si="10"/>
        <v>1992</v>
      </c>
      <c r="G351" s="70" t="s">
        <v>159</v>
      </c>
      <c r="H351" s="70" t="str">
        <f t="shared" si="11"/>
        <v>BQR</v>
      </c>
    </row>
    <row r="352" spans="1:8" ht="15" x14ac:dyDescent="0.25">
      <c r="A352" s="88" t="s">
        <v>2495</v>
      </c>
      <c r="B352" s="88">
        <v>1992</v>
      </c>
      <c r="C352" s="89" t="s">
        <v>2697</v>
      </c>
      <c r="D352" s="88" t="s">
        <v>160</v>
      </c>
      <c r="F352" s="70">
        <f t="shared" si="10"/>
        <v>1992</v>
      </c>
      <c r="G352" s="70" t="s">
        <v>159</v>
      </c>
      <c r="H352" s="70" t="str">
        <f t="shared" si="11"/>
        <v>BQR</v>
      </c>
    </row>
    <row r="353" spans="1:8" ht="15" x14ac:dyDescent="0.25">
      <c r="A353" s="88" t="s">
        <v>2495</v>
      </c>
      <c r="B353" s="88">
        <v>1992</v>
      </c>
      <c r="C353" s="89" t="s">
        <v>2696</v>
      </c>
      <c r="D353" s="88" t="s">
        <v>160</v>
      </c>
      <c r="F353" s="70">
        <f t="shared" si="10"/>
        <v>1992</v>
      </c>
      <c r="G353" s="70" t="s">
        <v>159</v>
      </c>
      <c r="H353" s="70" t="str">
        <f t="shared" si="11"/>
        <v>BQR</v>
      </c>
    </row>
    <row r="354" spans="1:8" ht="15" x14ac:dyDescent="0.25">
      <c r="A354" s="88" t="s">
        <v>2495</v>
      </c>
      <c r="B354" s="88">
        <v>1992</v>
      </c>
      <c r="C354" s="89" t="s">
        <v>2695</v>
      </c>
      <c r="D354" s="88" t="s">
        <v>160</v>
      </c>
      <c r="F354" s="70">
        <f t="shared" si="10"/>
        <v>1992</v>
      </c>
      <c r="G354" s="70" t="s">
        <v>159</v>
      </c>
      <c r="H354" s="70" t="str">
        <f t="shared" si="11"/>
        <v>BQR</v>
      </c>
    </row>
    <row r="355" spans="1:8" ht="15" x14ac:dyDescent="0.25">
      <c r="A355" s="88" t="s">
        <v>2495</v>
      </c>
      <c r="B355" s="88">
        <v>1992</v>
      </c>
      <c r="C355" s="89" t="s">
        <v>2694</v>
      </c>
      <c r="D355" s="88" t="s">
        <v>160</v>
      </c>
      <c r="F355" s="70">
        <f t="shared" si="10"/>
        <v>1992</v>
      </c>
      <c r="G355" s="70" t="s">
        <v>159</v>
      </c>
      <c r="H355" s="70" t="str">
        <f t="shared" si="11"/>
        <v>BQR</v>
      </c>
    </row>
    <row r="356" spans="1:8" ht="15" x14ac:dyDescent="0.25">
      <c r="A356" s="88" t="s">
        <v>2495</v>
      </c>
      <c r="B356" s="88">
        <v>1992</v>
      </c>
      <c r="C356" s="89" t="s">
        <v>2693</v>
      </c>
      <c r="D356" s="88" t="s">
        <v>160</v>
      </c>
      <c r="F356" s="70">
        <f t="shared" si="10"/>
        <v>1992</v>
      </c>
      <c r="G356" s="70" t="s">
        <v>159</v>
      </c>
      <c r="H356" s="70" t="str">
        <f t="shared" si="11"/>
        <v>BQR</v>
      </c>
    </row>
    <row r="357" spans="1:8" ht="15" x14ac:dyDescent="0.25">
      <c r="A357" s="88" t="s">
        <v>2495</v>
      </c>
      <c r="B357" s="88">
        <v>1992</v>
      </c>
      <c r="C357" s="89" t="s">
        <v>2692</v>
      </c>
      <c r="D357" s="88" t="s">
        <v>160</v>
      </c>
      <c r="F357" s="70">
        <f t="shared" si="10"/>
        <v>1992</v>
      </c>
      <c r="G357" s="70" t="s">
        <v>159</v>
      </c>
      <c r="H357" s="70" t="str">
        <f t="shared" si="11"/>
        <v>BQR</v>
      </c>
    </row>
    <row r="358" spans="1:8" ht="15" x14ac:dyDescent="0.25">
      <c r="A358" s="88" t="s">
        <v>2495</v>
      </c>
      <c r="B358" s="88">
        <v>1992</v>
      </c>
      <c r="C358" s="89" t="s">
        <v>2691</v>
      </c>
      <c r="D358" s="88" t="s">
        <v>160</v>
      </c>
      <c r="F358" s="70">
        <f t="shared" si="10"/>
        <v>1992</v>
      </c>
      <c r="G358" s="70" t="s">
        <v>159</v>
      </c>
      <c r="H358" s="70" t="str">
        <f t="shared" si="11"/>
        <v>BQR</v>
      </c>
    </row>
    <row r="359" spans="1:8" ht="15" x14ac:dyDescent="0.25">
      <c r="A359" s="88" t="s">
        <v>2495</v>
      </c>
      <c r="B359" s="88">
        <v>1993</v>
      </c>
      <c r="C359" s="89" t="s">
        <v>2690</v>
      </c>
      <c r="D359" s="88" t="s">
        <v>160</v>
      </c>
      <c r="F359" s="70">
        <f t="shared" si="10"/>
        <v>1993</v>
      </c>
      <c r="G359" s="70" t="s">
        <v>159</v>
      </c>
      <c r="H359" s="70" t="str">
        <f t="shared" si="11"/>
        <v>BQR</v>
      </c>
    </row>
    <row r="360" spans="1:8" ht="15" x14ac:dyDescent="0.25">
      <c r="A360" s="88" t="s">
        <v>2495</v>
      </c>
      <c r="B360" s="88">
        <v>1993</v>
      </c>
      <c r="C360" s="89" t="s">
        <v>2689</v>
      </c>
      <c r="D360" s="88" t="s">
        <v>160</v>
      </c>
      <c r="F360" s="70">
        <f t="shared" si="10"/>
        <v>1993</v>
      </c>
      <c r="G360" s="70" t="s">
        <v>159</v>
      </c>
      <c r="H360" s="70" t="str">
        <f t="shared" si="11"/>
        <v>BQR</v>
      </c>
    </row>
    <row r="361" spans="1:8" ht="15" x14ac:dyDescent="0.25">
      <c r="A361" s="88" t="s">
        <v>2495</v>
      </c>
      <c r="B361" s="88">
        <v>1993</v>
      </c>
      <c r="C361" s="89" t="s">
        <v>2688</v>
      </c>
      <c r="D361" s="88" t="s">
        <v>160</v>
      </c>
      <c r="F361" s="70">
        <f t="shared" si="10"/>
        <v>1993</v>
      </c>
      <c r="G361" s="70" t="s">
        <v>159</v>
      </c>
      <c r="H361" s="70" t="str">
        <f t="shared" si="11"/>
        <v>BQR</v>
      </c>
    </row>
    <row r="362" spans="1:8" ht="15" x14ac:dyDescent="0.25">
      <c r="A362" s="88" t="s">
        <v>2495</v>
      </c>
      <c r="B362" s="88">
        <v>1993</v>
      </c>
      <c r="C362" s="89" t="s">
        <v>2687</v>
      </c>
      <c r="D362" s="88" t="s">
        <v>160</v>
      </c>
      <c r="F362" s="70">
        <f t="shared" si="10"/>
        <v>1993</v>
      </c>
      <c r="G362" s="70" t="s">
        <v>159</v>
      </c>
      <c r="H362" s="70" t="str">
        <f t="shared" si="11"/>
        <v>BQR</v>
      </c>
    </row>
    <row r="363" spans="1:8" ht="15" x14ac:dyDescent="0.25">
      <c r="A363" s="88" t="s">
        <v>2495</v>
      </c>
      <c r="B363" s="88">
        <v>1993</v>
      </c>
      <c r="C363" s="89" t="s">
        <v>2686</v>
      </c>
      <c r="D363" s="88" t="s">
        <v>160</v>
      </c>
      <c r="F363" s="70">
        <f t="shared" si="10"/>
        <v>1993</v>
      </c>
      <c r="G363" s="70" t="s">
        <v>159</v>
      </c>
      <c r="H363" s="70" t="str">
        <f t="shared" si="11"/>
        <v>BQR</v>
      </c>
    </row>
    <row r="364" spans="1:8" ht="15" x14ac:dyDescent="0.25">
      <c r="A364" s="88" t="s">
        <v>2495</v>
      </c>
      <c r="B364" s="88">
        <v>1993</v>
      </c>
      <c r="C364" s="89" t="s">
        <v>2685</v>
      </c>
      <c r="D364" s="88" t="s">
        <v>160</v>
      </c>
      <c r="F364" s="70">
        <f t="shared" si="10"/>
        <v>1993</v>
      </c>
      <c r="G364" s="70" t="s">
        <v>159</v>
      </c>
      <c r="H364" s="70" t="str">
        <f t="shared" si="11"/>
        <v>BQR</v>
      </c>
    </row>
    <row r="365" spans="1:8" ht="15" x14ac:dyDescent="0.25">
      <c r="A365" s="88" t="s">
        <v>2495</v>
      </c>
      <c r="B365" s="88">
        <v>1993</v>
      </c>
      <c r="C365" s="89" t="s">
        <v>2684</v>
      </c>
      <c r="D365" s="88" t="s">
        <v>160</v>
      </c>
      <c r="F365" s="70">
        <f t="shared" si="10"/>
        <v>1993</v>
      </c>
      <c r="G365" s="70" t="s">
        <v>159</v>
      </c>
      <c r="H365" s="70" t="str">
        <f t="shared" si="11"/>
        <v>BQR</v>
      </c>
    </row>
    <row r="366" spans="1:8" ht="15" x14ac:dyDescent="0.25">
      <c r="A366" s="88" t="s">
        <v>2495</v>
      </c>
      <c r="B366" s="88">
        <v>1993</v>
      </c>
      <c r="C366" s="89" t="s">
        <v>2683</v>
      </c>
      <c r="D366" s="88" t="s">
        <v>160</v>
      </c>
      <c r="F366" s="70">
        <f t="shared" si="10"/>
        <v>1993</v>
      </c>
      <c r="G366" s="70" t="s">
        <v>159</v>
      </c>
      <c r="H366" s="70" t="str">
        <f t="shared" si="11"/>
        <v>BQR</v>
      </c>
    </row>
    <row r="367" spans="1:8" ht="15" x14ac:dyDescent="0.25">
      <c r="A367" s="88" t="s">
        <v>2495</v>
      </c>
      <c r="B367" s="88">
        <v>1994</v>
      </c>
      <c r="C367" s="89" t="s">
        <v>2682</v>
      </c>
      <c r="D367" s="88" t="s">
        <v>160</v>
      </c>
      <c r="F367" s="70">
        <f t="shared" si="10"/>
        <v>1994</v>
      </c>
      <c r="G367" s="70" t="s">
        <v>159</v>
      </c>
      <c r="H367" s="70" t="str">
        <f t="shared" si="11"/>
        <v>BQR</v>
      </c>
    </row>
    <row r="368" spans="1:8" ht="15" x14ac:dyDescent="0.25">
      <c r="A368" s="88" t="s">
        <v>2495</v>
      </c>
      <c r="B368" s="88">
        <v>1994</v>
      </c>
      <c r="C368" s="89" t="s">
        <v>2681</v>
      </c>
      <c r="D368" s="88" t="s">
        <v>160</v>
      </c>
      <c r="F368" s="70">
        <f t="shared" si="10"/>
        <v>1994</v>
      </c>
      <c r="G368" s="70" t="s">
        <v>159</v>
      </c>
      <c r="H368" s="70" t="str">
        <f t="shared" si="11"/>
        <v>BQR</v>
      </c>
    </row>
    <row r="369" spans="1:8" ht="15" x14ac:dyDescent="0.25">
      <c r="A369" s="88" t="s">
        <v>2495</v>
      </c>
      <c r="B369" s="88">
        <v>1994</v>
      </c>
      <c r="C369" s="89" t="s">
        <v>2680</v>
      </c>
      <c r="D369" s="88" t="s">
        <v>160</v>
      </c>
      <c r="F369" s="70">
        <f t="shared" si="10"/>
        <v>1994</v>
      </c>
      <c r="G369" s="70" t="s">
        <v>159</v>
      </c>
      <c r="H369" s="70" t="str">
        <f t="shared" si="11"/>
        <v>BQR</v>
      </c>
    </row>
    <row r="370" spans="1:8" ht="15" x14ac:dyDescent="0.25">
      <c r="A370" s="88" t="s">
        <v>2495</v>
      </c>
      <c r="B370" s="88">
        <v>1994</v>
      </c>
      <c r="C370" s="89" t="s">
        <v>2679</v>
      </c>
      <c r="D370" s="88" t="s">
        <v>160</v>
      </c>
      <c r="F370" s="70">
        <f t="shared" si="10"/>
        <v>1994</v>
      </c>
      <c r="G370" s="70" t="s">
        <v>159</v>
      </c>
      <c r="H370" s="70" t="str">
        <f t="shared" si="11"/>
        <v>BQR</v>
      </c>
    </row>
    <row r="371" spans="1:8" ht="15" x14ac:dyDescent="0.25">
      <c r="A371" s="88" t="s">
        <v>2495</v>
      </c>
      <c r="B371" s="88">
        <v>1994</v>
      </c>
      <c r="C371" s="89" t="s">
        <v>2678</v>
      </c>
      <c r="D371" s="88" t="s">
        <v>160</v>
      </c>
      <c r="F371" s="70">
        <f t="shared" si="10"/>
        <v>1994</v>
      </c>
      <c r="G371" s="70" t="s">
        <v>159</v>
      </c>
      <c r="H371" s="70" t="str">
        <f t="shared" si="11"/>
        <v>BQR</v>
      </c>
    </row>
    <row r="372" spans="1:8" ht="15" x14ac:dyDescent="0.25">
      <c r="A372" s="88" t="s">
        <v>2495</v>
      </c>
      <c r="B372" s="88">
        <v>1994</v>
      </c>
      <c r="C372" s="89" t="s">
        <v>2677</v>
      </c>
      <c r="D372" s="88" t="s">
        <v>160</v>
      </c>
      <c r="F372" s="70">
        <f t="shared" si="10"/>
        <v>1994</v>
      </c>
      <c r="G372" s="70" t="s">
        <v>159</v>
      </c>
      <c r="H372" s="70" t="str">
        <f t="shared" si="11"/>
        <v>BQR</v>
      </c>
    </row>
    <row r="373" spans="1:8" ht="15" x14ac:dyDescent="0.25">
      <c r="A373" s="88" t="s">
        <v>2495</v>
      </c>
      <c r="B373" s="88">
        <v>1994</v>
      </c>
      <c r="C373" s="89" t="s">
        <v>2676</v>
      </c>
      <c r="D373" s="88" t="s">
        <v>160</v>
      </c>
      <c r="F373" s="70">
        <f t="shared" si="10"/>
        <v>1994</v>
      </c>
      <c r="G373" s="70" t="s">
        <v>159</v>
      </c>
      <c r="H373" s="70" t="str">
        <f t="shared" si="11"/>
        <v>BQR</v>
      </c>
    </row>
    <row r="374" spans="1:8" ht="15" x14ac:dyDescent="0.25">
      <c r="A374" s="88" t="s">
        <v>2495</v>
      </c>
      <c r="B374" s="88">
        <v>1994</v>
      </c>
      <c r="C374" s="89" t="s">
        <v>2675</v>
      </c>
      <c r="D374" s="88" t="s">
        <v>160</v>
      </c>
      <c r="F374" s="70">
        <f t="shared" si="10"/>
        <v>1994</v>
      </c>
      <c r="G374" s="70" t="s">
        <v>159</v>
      </c>
      <c r="H374" s="70" t="str">
        <f t="shared" si="11"/>
        <v>BQR</v>
      </c>
    </row>
    <row r="375" spans="1:8" ht="15" x14ac:dyDescent="0.25">
      <c r="A375" s="88" t="s">
        <v>2495</v>
      </c>
      <c r="B375" s="88">
        <v>1995</v>
      </c>
      <c r="C375" s="89" t="s">
        <v>2674</v>
      </c>
      <c r="D375" s="88" t="s">
        <v>160</v>
      </c>
      <c r="F375" s="70">
        <f t="shared" si="10"/>
        <v>1995</v>
      </c>
      <c r="G375" s="70" t="s">
        <v>159</v>
      </c>
      <c r="H375" s="70" t="str">
        <f t="shared" si="11"/>
        <v>BQR</v>
      </c>
    </row>
    <row r="376" spans="1:8" ht="15" x14ac:dyDescent="0.25">
      <c r="A376" s="88" t="s">
        <v>2495</v>
      </c>
      <c r="B376" s="88">
        <v>1995</v>
      </c>
      <c r="C376" s="89" t="s">
        <v>2673</v>
      </c>
      <c r="D376" s="88" t="s">
        <v>160</v>
      </c>
      <c r="F376" s="70">
        <f t="shared" si="10"/>
        <v>1995</v>
      </c>
      <c r="G376" s="70" t="s">
        <v>159</v>
      </c>
      <c r="H376" s="70" t="str">
        <f t="shared" si="11"/>
        <v>BQR</v>
      </c>
    </row>
    <row r="377" spans="1:8" ht="15" x14ac:dyDescent="0.25">
      <c r="A377" s="88" t="s">
        <v>2495</v>
      </c>
      <c r="B377" s="88">
        <v>1995</v>
      </c>
      <c r="C377" s="89" t="s">
        <v>2672</v>
      </c>
      <c r="D377" s="88" t="s">
        <v>160</v>
      </c>
      <c r="F377" s="70">
        <f t="shared" si="10"/>
        <v>1995</v>
      </c>
      <c r="G377" s="70" t="s">
        <v>159</v>
      </c>
      <c r="H377" s="70" t="str">
        <f t="shared" si="11"/>
        <v>BQR</v>
      </c>
    </row>
    <row r="378" spans="1:8" ht="15" x14ac:dyDescent="0.25">
      <c r="A378" s="88" t="s">
        <v>2495</v>
      </c>
      <c r="B378" s="88">
        <v>1995</v>
      </c>
      <c r="C378" s="89" t="s">
        <v>2671</v>
      </c>
      <c r="D378" s="88" t="s">
        <v>160</v>
      </c>
      <c r="F378" s="70">
        <f t="shared" si="10"/>
        <v>1995</v>
      </c>
      <c r="G378" s="70" t="s">
        <v>159</v>
      </c>
      <c r="H378" s="70" t="str">
        <f t="shared" si="11"/>
        <v>BQR</v>
      </c>
    </row>
    <row r="379" spans="1:8" ht="15" x14ac:dyDescent="0.25">
      <c r="A379" s="88" t="s">
        <v>2495</v>
      </c>
      <c r="B379" s="88">
        <v>1995</v>
      </c>
      <c r="C379" s="89" t="s">
        <v>2670</v>
      </c>
      <c r="D379" s="88" t="s">
        <v>160</v>
      </c>
      <c r="F379" s="70">
        <f t="shared" si="10"/>
        <v>1995</v>
      </c>
      <c r="G379" s="70" t="s">
        <v>159</v>
      </c>
      <c r="H379" s="70" t="str">
        <f t="shared" si="11"/>
        <v>BQR</v>
      </c>
    </row>
    <row r="380" spans="1:8" ht="15" x14ac:dyDescent="0.25">
      <c r="A380" s="88" t="s">
        <v>2495</v>
      </c>
      <c r="B380" s="88">
        <v>1995</v>
      </c>
      <c r="C380" s="89" t="s">
        <v>2669</v>
      </c>
      <c r="D380" s="88" t="s">
        <v>160</v>
      </c>
      <c r="F380" s="70">
        <f t="shared" si="10"/>
        <v>1995</v>
      </c>
      <c r="G380" s="70" t="s">
        <v>159</v>
      </c>
      <c r="H380" s="70" t="str">
        <f t="shared" si="11"/>
        <v>BQR</v>
      </c>
    </row>
    <row r="381" spans="1:8" ht="15" x14ac:dyDescent="0.25">
      <c r="A381" s="88" t="s">
        <v>2495</v>
      </c>
      <c r="B381" s="88">
        <v>1995</v>
      </c>
      <c r="C381" s="89" t="s">
        <v>2668</v>
      </c>
      <c r="D381" s="88" t="s">
        <v>160</v>
      </c>
      <c r="F381" s="70">
        <f t="shared" si="10"/>
        <v>1995</v>
      </c>
      <c r="G381" s="70" t="s">
        <v>159</v>
      </c>
      <c r="H381" s="70" t="str">
        <f t="shared" si="11"/>
        <v>BQR</v>
      </c>
    </row>
    <row r="382" spans="1:8" ht="15" x14ac:dyDescent="0.25">
      <c r="A382" s="88" t="s">
        <v>2495</v>
      </c>
      <c r="B382" s="88">
        <v>1995</v>
      </c>
      <c r="C382" s="89" t="s">
        <v>2667</v>
      </c>
      <c r="D382" s="88" t="s">
        <v>160</v>
      </c>
      <c r="F382" s="70">
        <f t="shared" si="10"/>
        <v>1995</v>
      </c>
      <c r="G382" s="70" t="s">
        <v>159</v>
      </c>
      <c r="H382" s="70" t="str">
        <f t="shared" si="11"/>
        <v>BQR</v>
      </c>
    </row>
    <row r="383" spans="1:8" ht="15" x14ac:dyDescent="0.25">
      <c r="A383" s="88" t="s">
        <v>2495</v>
      </c>
      <c r="B383" s="88">
        <v>1996</v>
      </c>
      <c r="C383" s="89" t="s">
        <v>2666</v>
      </c>
      <c r="D383" s="88" t="s">
        <v>160</v>
      </c>
      <c r="F383" s="70">
        <f t="shared" si="10"/>
        <v>1996</v>
      </c>
      <c r="G383" s="70" t="s">
        <v>159</v>
      </c>
      <c r="H383" s="70" t="str">
        <f t="shared" si="11"/>
        <v>BQR</v>
      </c>
    </row>
    <row r="384" spans="1:8" ht="15" x14ac:dyDescent="0.25">
      <c r="A384" s="88" t="s">
        <v>2495</v>
      </c>
      <c r="B384" s="88">
        <v>1996</v>
      </c>
      <c r="C384" s="89" t="s">
        <v>2665</v>
      </c>
      <c r="D384" s="88" t="s">
        <v>160</v>
      </c>
      <c r="F384" s="70">
        <f t="shared" si="10"/>
        <v>1996</v>
      </c>
      <c r="G384" s="70" t="s">
        <v>159</v>
      </c>
      <c r="H384" s="70" t="str">
        <f t="shared" si="11"/>
        <v>BQR</v>
      </c>
    </row>
    <row r="385" spans="1:8" ht="15" x14ac:dyDescent="0.25">
      <c r="A385" s="88" t="s">
        <v>2495</v>
      </c>
      <c r="B385" s="88">
        <v>1996</v>
      </c>
      <c r="C385" s="89" t="s">
        <v>2664</v>
      </c>
      <c r="D385" s="88" t="s">
        <v>160</v>
      </c>
      <c r="F385" s="70">
        <f t="shared" si="10"/>
        <v>1996</v>
      </c>
      <c r="G385" s="70" t="s">
        <v>159</v>
      </c>
      <c r="H385" s="70" t="str">
        <f t="shared" si="11"/>
        <v>BQR</v>
      </c>
    </row>
    <row r="386" spans="1:8" ht="15" x14ac:dyDescent="0.25">
      <c r="A386" s="88" t="s">
        <v>2495</v>
      </c>
      <c r="B386" s="88">
        <v>1996</v>
      </c>
      <c r="C386" s="89" t="s">
        <v>2663</v>
      </c>
      <c r="D386" s="88" t="s">
        <v>160</v>
      </c>
      <c r="F386" s="70">
        <f t="shared" si="10"/>
        <v>1996</v>
      </c>
      <c r="G386" s="70" t="s">
        <v>159</v>
      </c>
      <c r="H386" s="70" t="str">
        <f t="shared" si="11"/>
        <v>BQR</v>
      </c>
    </row>
    <row r="387" spans="1:8" ht="15" x14ac:dyDescent="0.25">
      <c r="A387" s="88" t="s">
        <v>2495</v>
      </c>
      <c r="B387" s="88">
        <v>1996</v>
      </c>
      <c r="C387" s="89" t="s">
        <v>2662</v>
      </c>
      <c r="D387" s="88" t="s">
        <v>160</v>
      </c>
      <c r="F387" s="70">
        <f t="shared" si="10"/>
        <v>1996</v>
      </c>
      <c r="G387" s="70" t="s">
        <v>159</v>
      </c>
      <c r="H387" s="70" t="str">
        <f t="shared" si="11"/>
        <v>BQR</v>
      </c>
    </row>
    <row r="388" spans="1:8" ht="15" x14ac:dyDescent="0.25">
      <c r="A388" s="88" t="s">
        <v>2495</v>
      </c>
      <c r="B388" s="88">
        <v>1996</v>
      </c>
      <c r="C388" s="89" t="s">
        <v>2661</v>
      </c>
      <c r="D388" s="88" t="s">
        <v>160</v>
      </c>
      <c r="F388" s="70">
        <f t="shared" si="10"/>
        <v>1996</v>
      </c>
      <c r="G388" s="70" t="s">
        <v>159</v>
      </c>
      <c r="H388" s="70" t="str">
        <f t="shared" si="11"/>
        <v>BQR</v>
      </c>
    </row>
    <row r="389" spans="1:8" ht="15" x14ac:dyDescent="0.25">
      <c r="A389" s="88" t="s">
        <v>2495</v>
      </c>
      <c r="B389" s="88">
        <v>1996</v>
      </c>
      <c r="C389" s="89" t="s">
        <v>2660</v>
      </c>
      <c r="D389" s="88" t="s">
        <v>160</v>
      </c>
      <c r="F389" s="70">
        <f t="shared" si="10"/>
        <v>1996</v>
      </c>
      <c r="G389" s="70" t="s">
        <v>159</v>
      </c>
      <c r="H389" s="70" t="str">
        <f t="shared" si="11"/>
        <v>BQR</v>
      </c>
    </row>
    <row r="390" spans="1:8" ht="15" x14ac:dyDescent="0.25">
      <c r="A390" s="88" t="s">
        <v>2495</v>
      </c>
      <c r="B390" s="88">
        <v>1997</v>
      </c>
      <c r="C390" s="89" t="s">
        <v>2659</v>
      </c>
      <c r="D390" s="88" t="s">
        <v>160</v>
      </c>
      <c r="F390" s="70">
        <f t="shared" si="10"/>
        <v>1997</v>
      </c>
      <c r="G390" s="70" t="s">
        <v>159</v>
      </c>
      <c r="H390" s="70" t="str">
        <f t="shared" si="11"/>
        <v>BQR</v>
      </c>
    </row>
    <row r="391" spans="1:8" ht="15" x14ac:dyDescent="0.25">
      <c r="A391" s="88" t="s">
        <v>2495</v>
      </c>
      <c r="B391" s="88">
        <v>1997</v>
      </c>
      <c r="C391" s="89" t="s">
        <v>2658</v>
      </c>
      <c r="D391" s="88" t="s">
        <v>160</v>
      </c>
      <c r="F391" s="70">
        <f t="shared" si="10"/>
        <v>1997</v>
      </c>
      <c r="G391" s="70" t="s">
        <v>159</v>
      </c>
      <c r="H391" s="70" t="str">
        <f t="shared" si="11"/>
        <v>BQR</v>
      </c>
    </row>
    <row r="392" spans="1:8" ht="15" x14ac:dyDescent="0.25">
      <c r="A392" s="88" t="s">
        <v>2495</v>
      </c>
      <c r="B392" s="88">
        <v>1997</v>
      </c>
      <c r="C392" s="89" t="s">
        <v>2657</v>
      </c>
      <c r="D392" s="88" t="s">
        <v>160</v>
      </c>
      <c r="F392" s="70">
        <f t="shared" ref="F392:F455" si="12">+B392</f>
        <v>1997</v>
      </c>
      <c r="G392" s="70" t="s">
        <v>159</v>
      </c>
      <c r="H392" s="70" t="str">
        <f t="shared" ref="H392:H455" si="13">A392</f>
        <v>BQR</v>
      </c>
    </row>
    <row r="393" spans="1:8" ht="15" x14ac:dyDescent="0.25">
      <c r="A393" s="88" t="s">
        <v>2495</v>
      </c>
      <c r="B393" s="88">
        <v>1997</v>
      </c>
      <c r="C393" s="89" t="s">
        <v>2656</v>
      </c>
      <c r="D393" s="88" t="s">
        <v>160</v>
      </c>
      <c r="F393" s="70">
        <f t="shared" si="12"/>
        <v>1997</v>
      </c>
      <c r="G393" s="70" t="s">
        <v>159</v>
      </c>
      <c r="H393" s="70" t="str">
        <f t="shared" si="13"/>
        <v>BQR</v>
      </c>
    </row>
    <row r="394" spans="1:8" ht="15" x14ac:dyDescent="0.25">
      <c r="A394" s="88" t="s">
        <v>2495</v>
      </c>
      <c r="B394" s="88">
        <v>1997</v>
      </c>
      <c r="C394" s="89" t="s">
        <v>2655</v>
      </c>
      <c r="D394" s="88" t="s">
        <v>160</v>
      </c>
      <c r="F394" s="70">
        <f t="shared" si="12"/>
        <v>1997</v>
      </c>
      <c r="G394" s="70" t="s">
        <v>159</v>
      </c>
      <c r="H394" s="70" t="str">
        <f t="shared" si="13"/>
        <v>BQR</v>
      </c>
    </row>
    <row r="395" spans="1:8" ht="15" x14ac:dyDescent="0.25">
      <c r="A395" s="88" t="s">
        <v>2495</v>
      </c>
      <c r="B395" s="88">
        <v>1997</v>
      </c>
      <c r="C395" s="89" t="s">
        <v>2654</v>
      </c>
      <c r="D395" s="88" t="s">
        <v>160</v>
      </c>
      <c r="F395" s="70">
        <f t="shared" si="12"/>
        <v>1997</v>
      </c>
      <c r="G395" s="70" t="s">
        <v>159</v>
      </c>
      <c r="H395" s="70" t="str">
        <f t="shared" si="13"/>
        <v>BQR</v>
      </c>
    </row>
    <row r="396" spans="1:8" ht="15" x14ac:dyDescent="0.25">
      <c r="A396" s="88" t="s">
        <v>2495</v>
      </c>
      <c r="B396" s="88">
        <v>1997</v>
      </c>
      <c r="C396" s="89" t="s">
        <v>2653</v>
      </c>
      <c r="D396" s="88" t="s">
        <v>160</v>
      </c>
      <c r="F396" s="70">
        <f t="shared" si="12"/>
        <v>1997</v>
      </c>
      <c r="G396" s="70" t="s">
        <v>159</v>
      </c>
      <c r="H396" s="70" t="str">
        <f t="shared" si="13"/>
        <v>BQR</v>
      </c>
    </row>
    <row r="397" spans="1:8" ht="15" x14ac:dyDescent="0.25">
      <c r="A397" s="88" t="s">
        <v>2495</v>
      </c>
      <c r="B397" s="88">
        <v>1998</v>
      </c>
      <c r="C397" s="89" t="s">
        <v>2652</v>
      </c>
      <c r="D397" s="88" t="s">
        <v>160</v>
      </c>
      <c r="F397" s="70">
        <f t="shared" si="12"/>
        <v>1998</v>
      </c>
      <c r="G397" s="70" t="s">
        <v>159</v>
      </c>
      <c r="H397" s="70" t="str">
        <f t="shared" si="13"/>
        <v>BQR</v>
      </c>
    </row>
    <row r="398" spans="1:8" ht="15" x14ac:dyDescent="0.25">
      <c r="A398" s="88" t="s">
        <v>2495</v>
      </c>
      <c r="B398" s="88">
        <v>1998</v>
      </c>
      <c r="C398" s="89" t="s">
        <v>2651</v>
      </c>
      <c r="D398" s="88" t="s">
        <v>160</v>
      </c>
      <c r="F398" s="70">
        <f t="shared" si="12"/>
        <v>1998</v>
      </c>
      <c r="G398" s="70" t="s">
        <v>159</v>
      </c>
      <c r="H398" s="70" t="str">
        <f t="shared" si="13"/>
        <v>BQR</v>
      </c>
    </row>
    <row r="399" spans="1:8" ht="15" x14ac:dyDescent="0.25">
      <c r="A399" s="88" t="s">
        <v>2495</v>
      </c>
      <c r="B399" s="88">
        <v>1998</v>
      </c>
      <c r="C399" s="89" t="s">
        <v>2650</v>
      </c>
      <c r="D399" s="88" t="s">
        <v>160</v>
      </c>
      <c r="F399" s="70">
        <f t="shared" si="12"/>
        <v>1998</v>
      </c>
      <c r="G399" s="70" t="s">
        <v>159</v>
      </c>
      <c r="H399" s="70" t="str">
        <f t="shared" si="13"/>
        <v>BQR</v>
      </c>
    </row>
    <row r="400" spans="1:8" ht="15" x14ac:dyDescent="0.25">
      <c r="A400" s="88" t="s">
        <v>2495</v>
      </c>
      <c r="B400" s="88">
        <v>1998</v>
      </c>
      <c r="C400" s="89" t="s">
        <v>2649</v>
      </c>
      <c r="D400" s="88" t="s">
        <v>160</v>
      </c>
      <c r="F400" s="70">
        <f t="shared" si="12"/>
        <v>1998</v>
      </c>
      <c r="G400" s="70" t="s">
        <v>159</v>
      </c>
      <c r="H400" s="70" t="str">
        <f t="shared" si="13"/>
        <v>BQR</v>
      </c>
    </row>
    <row r="401" spans="1:8" ht="15" x14ac:dyDescent="0.25">
      <c r="A401" s="88" t="s">
        <v>2495</v>
      </c>
      <c r="B401" s="88">
        <v>1998</v>
      </c>
      <c r="C401" s="89" t="s">
        <v>2648</v>
      </c>
      <c r="D401" s="88" t="s">
        <v>160</v>
      </c>
      <c r="F401" s="70">
        <f t="shared" si="12"/>
        <v>1998</v>
      </c>
      <c r="G401" s="70" t="s">
        <v>159</v>
      </c>
      <c r="H401" s="70" t="str">
        <f t="shared" si="13"/>
        <v>BQR</v>
      </c>
    </row>
    <row r="402" spans="1:8" ht="15" x14ac:dyDescent="0.25">
      <c r="A402" s="88" t="s">
        <v>2495</v>
      </c>
      <c r="B402" s="88">
        <v>1998</v>
      </c>
      <c r="C402" s="89" t="s">
        <v>2647</v>
      </c>
      <c r="D402" s="88" t="s">
        <v>160</v>
      </c>
      <c r="F402" s="70">
        <f t="shared" si="12"/>
        <v>1998</v>
      </c>
      <c r="G402" s="70" t="s">
        <v>159</v>
      </c>
      <c r="H402" s="70" t="str">
        <f t="shared" si="13"/>
        <v>BQR</v>
      </c>
    </row>
    <row r="403" spans="1:8" ht="15" x14ac:dyDescent="0.25">
      <c r="A403" s="88" t="s">
        <v>2495</v>
      </c>
      <c r="B403" s="88">
        <v>1998</v>
      </c>
      <c r="C403" s="89" t="s">
        <v>2646</v>
      </c>
      <c r="D403" s="88" t="s">
        <v>160</v>
      </c>
      <c r="F403" s="70">
        <f t="shared" si="12"/>
        <v>1998</v>
      </c>
      <c r="G403" s="70" t="s">
        <v>159</v>
      </c>
      <c r="H403" s="70" t="str">
        <f t="shared" si="13"/>
        <v>BQR</v>
      </c>
    </row>
    <row r="404" spans="1:8" ht="15" x14ac:dyDescent="0.25">
      <c r="A404" s="88" t="s">
        <v>2495</v>
      </c>
      <c r="B404" s="88">
        <v>1999</v>
      </c>
      <c r="C404" s="89" t="s">
        <v>2645</v>
      </c>
      <c r="D404" s="88" t="s">
        <v>160</v>
      </c>
      <c r="F404" s="70">
        <f t="shared" si="12"/>
        <v>1999</v>
      </c>
      <c r="G404" s="70" t="s">
        <v>159</v>
      </c>
      <c r="H404" s="70" t="str">
        <f t="shared" si="13"/>
        <v>BQR</v>
      </c>
    </row>
    <row r="405" spans="1:8" ht="15" x14ac:dyDescent="0.25">
      <c r="A405" s="88" t="s">
        <v>2495</v>
      </c>
      <c r="B405" s="88">
        <v>1999</v>
      </c>
      <c r="C405" s="89" t="s">
        <v>2644</v>
      </c>
      <c r="D405" s="88" t="s">
        <v>160</v>
      </c>
      <c r="F405" s="70">
        <f t="shared" si="12"/>
        <v>1999</v>
      </c>
      <c r="G405" s="70" t="s">
        <v>159</v>
      </c>
      <c r="H405" s="70" t="str">
        <f t="shared" si="13"/>
        <v>BQR</v>
      </c>
    </row>
    <row r="406" spans="1:8" ht="15" x14ac:dyDescent="0.25">
      <c r="A406" s="88" t="s">
        <v>2495</v>
      </c>
      <c r="B406" s="88">
        <v>1999</v>
      </c>
      <c r="C406" s="89" t="s">
        <v>2643</v>
      </c>
      <c r="D406" s="88" t="s">
        <v>160</v>
      </c>
      <c r="F406" s="70">
        <f t="shared" si="12"/>
        <v>1999</v>
      </c>
      <c r="G406" s="70" t="s">
        <v>159</v>
      </c>
      <c r="H406" s="70" t="str">
        <f t="shared" si="13"/>
        <v>BQR</v>
      </c>
    </row>
    <row r="407" spans="1:8" ht="15" x14ac:dyDescent="0.25">
      <c r="A407" s="88" t="s">
        <v>2495</v>
      </c>
      <c r="B407" s="88">
        <v>1999</v>
      </c>
      <c r="C407" s="89" t="s">
        <v>2642</v>
      </c>
      <c r="D407" s="88" t="s">
        <v>160</v>
      </c>
      <c r="F407" s="70">
        <f t="shared" si="12"/>
        <v>1999</v>
      </c>
      <c r="G407" s="70" t="s">
        <v>159</v>
      </c>
      <c r="H407" s="70" t="str">
        <f t="shared" si="13"/>
        <v>BQR</v>
      </c>
    </row>
    <row r="408" spans="1:8" ht="15" x14ac:dyDescent="0.25">
      <c r="A408" s="88" t="s">
        <v>2495</v>
      </c>
      <c r="B408" s="88">
        <v>1999</v>
      </c>
      <c r="C408" s="89" t="s">
        <v>2641</v>
      </c>
      <c r="D408" s="88" t="s">
        <v>160</v>
      </c>
      <c r="F408" s="70">
        <f t="shared" si="12"/>
        <v>1999</v>
      </c>
      <c r="G408" s="70" t="s">
        <v>159</v>
      </c>
      <c r="H408" s="70" t="str">
        <f t="shared" si="13"/>
        <v>BQR</v>
      </c>
    </row>
    <row r="409" spans="1:8" ht="15" x14ac:dyDescent="0.25">
      <c r="A409" s="88" t="s">
        <v>2495</v>
      </c>
      <c r="B409" s="88">
        <v>1999</v>
      </c>
      <c r="C409" s="89" t="s">
        <v>2640</v>
      </c>
      <c r="D409" s="88" t="s">
        <v>160</v>
      </c>
      <c r="F409" s="70">
        <f t="shared" si="12"/>
        <v>1999</v>
      </c>
      <c r="G409" s="70" t="s">
        <v>159</v>
      </c>
      <c r="H409" s="70" t="str">
        <f t="shared" si="13"/>
        <v>BQR</v>
      </c>
    </row>
    <row r="410" spans="1:8" ht="15" x14ac:dyDescent="0.25">
      <c r="A410" s="88" t="s">
        <v>2495</v>
      </c>
      <c r="B410" s="88">
        <v>1999</v>
      </c>
      <c r="C410" s="89" t="s">
        <v>2639</v>
      </c>
      <c r="D410" s="88" t="s">
        <v>160</v>
      </c>
      <c r="F410" s="70">
        <f t="shared" si="12"/>
        <v>1999</v>
      </c>
      <c r="G410" s="70" t="s">
        <v>159</v>
      </c>
      <c r="H410" s="70" t="str">
        <f t="shared" si="13"/>
        <v>BQR</v>
      </c>
    </row>
    <row r="411" spans="1:8" ht="15" x14ac:dyDescent="0.25">
      <c r="A411" s="88" t="s">
        <v>2495</v>
      </c>
      <c r="B411" s="88">
        <v>2000</v>
      </c>
      <c r="C411" s="89" t="s">
        <v>2638</v>
      </c>
      <c r="D411" s="88" t="s">
        <v>160</v>
      </c>
      <c r="F411" s="70">
        <f t="shared" si="12"/>
        <v>2000</v>
      </c>
      <c r="G411" s="70" t="s">
        <v>159</v>
      </c>
      <c r="H411" s="70" t="str">
        <f t="shared" si="13"/>
        <v>BQR</v>
      </c>
    </row>
    <row r="412" spans="1:8" ht="15" x14ac:dyDescent="0.25">
      <c r="A412" s="88" t="s">
        <v>2495</v>
      </c>
      <c r="B412" s="88">
        <v>2000</v>
      </c>
      <c r="C412" s="89" t="s">
        <v>2637</v>
      </c>
      <c r="D412" s="88" t="s">
        <v>160</v>
      </c>
      <c r="F412" s="70">
        <f t="shared" si="12"/>
        <v>2000</v>
      </c>
      <c r="G412" s="70" t="s">
        <v>159</v>
      </c>
      <c r="H412" s="70" t="str">
        <f t="shared" si="13"/>
        <v>BQR</v>
      </c>
    </row>
    <row r="413" spans="1:8" ht="15" x14ac:dyDescent="0.25">
      <c r="A413" s="88" t="s">
        <v>2495</v>
      </c>
      <c r="B413" s="88">
        <v>2000</v>
      </c>
      <c r="C413" s="89" t="s">
        <v>2636</v>
      </c>
      <c r="D413" s="88" t="s">
        <v>160</v>
      </c>
      <c r="F413" s="70">
        <f t="shared" si="12"/>
        <v>2000</v>
      </c>
      <c r="G413" s="70" t="s">
        <v>159</v>
      </c>
      <c r="H413" s="70" t="str">
        <f t="shared" si="13"/>
        <v>BQR</v>
      </c>
    </row>
    <row r="414" spans="1:8" ht="15" x14ac:dyDescent="0.25">
      <c r="A414" s="88" t="s">
        <v>2495</v>
      </c>
      <c r="B414" s="88">
        <v>2000</v>
      </c>
      <c r="C414" s="89" t="s">
        <v>2635</v>
      </c>
      <c r="D414" s="88" t="s">
        <v>160</v>
      </c>
      <c r="F414" s="70">
        <f t="shared" si="12"/>
        <v>2000</v>
      </c>
      <c r="G414" s="70" t="s">
        <v>159</v>
      </c>
      <c r="H414" s="70" t="str">
        <f t="shared" si="13"/>
        <v>BQR</v>
      </c>
    </row>
    <row r="415" spans="1:8" ht="15" x14ac:dyDescent="0.25">
      <c r="A415" s="88" t="s">
        <v>2495</v>
      </c>
      <c r="B415" s="88">
        <v>2000</v>
      </c>
      <c r="C415" s="89" t="s">
        <v>2634</v>
      </c>
      <c r="D415" s="88" t="s">
        <v>160</v>
      </c>
      <c r="F415" s="70">
        <f t="shared" si="12"/>
        <v>2000</v>
      </c>
      <c r="G415" s="70" t="s">
        <v>159</v>
      </c>
      <c r="H415" s="70" t="str">
        <f t="shared" si="13"/>
        <v>BQR</v>
      </c>
    </row>
    <row r="416" spans="1:8" ht="15" x14ac:dyDescent="0.25">
      <c r="A416" s="88" t="s">
        <v>2495</v>
      </c>
      <c r="B416" s="88">
        <v>2000</v>
      </c>
      <c r="C416" s="89" t="s">
        <v>2633</v>
      </c>
      <c r="D416" s="88" t="s">
        <v>160</v>
      </c>
      <c r="F416" s="70">
        <f t="shared" si="12"/>
        <v>2000</v>
      </c>
      <c r="G416" s="70" t="s">
        <v>159</v>
      </c>
      <c r="H416" s="70" t="str">
        <f t="shared" si="13"/>
        <v>BQR</v>
      </c>
    </row>
    <row r="417" spans="1:8" ht="15" x14ac:dyDescent="0.25">
      <c r="A417" s="88" t="s">
        <v>2495</v>
      </c>
      <c r="B417" s="88">
        <v>2000</v>
      </c>
      <c r="C417" s="89" t="s">
        <v>2632</v>
      </c>
      <c r="D417" s="88" t="s">
        <v>160</v>
      </c>
      <c r="F417" s="70">
        <f t="shared" si="12"/>
        <v>2000</v>
      </c>
      <c r="G417" s="70" t="s">
        <v>159</v>
      </c>
      <c r="H417" s="70" t="str">
        <f t="shared" si="13"/>
        <v>BQR</v>
      </c>
    </row>
    <row r="418" spans="1:8" ht="15" x14ac:dyDescent="0.25">
      <c r="A418" s="88" t="s">
        <v>2495</v>
      </c>
      <c r="B418" s="88">
        <v>2000</v>
      </c>
      <c r="C418" s="89" t="s">
        <v>2631</v>
      </c>
      <c r="D418" s="88" t="s">
        <v>160</v>
      </c>
      <c r="F418" s="70">
        <f t="shared" si="12"/>
        <v>2000</v>
      </c>
      <c r="G418" s="70" t="s">
        <v>159</v>
      </c>
      <c r="H418" s="70" t="str">
        <f t="shared" si="13"/>
        <v>BQR</v>
      </c>
    </row>
    <row r="419" spans="1:8" ht="15" x14ac:dyDescent="0.25">
      <c r="A419" s="88" t="s">
        <v>2495</v>
      </c>
      <c r="B419" s="88">
        <v>2001</v>
      </c>
      <c r="C419" s="89" t="s">
        <v>2630</v>
      </c>
      <c r="D419" s="88" t="s">
        <v>160</v>
      </c>
      <c r="F419" s="70">
        <f t="shared" si="12"/>
        <v>2001</v>
      </c>
      <c r="G419" s="70" t="s">
        <v>159</v>
      </c>
      <c r="H419" s="70" t="str">
        <f t="shared" si="13"/>
        <v>BQR</v>
      </c>
    </row>
    <row r="420" spans="1:8" ht="15" x14ac:dyDescent="0.25">
      <c r="A420" s="88" t="s">
        <v>2495</v>
      </c>
      <c r="B420" s="88">
        <v>2001</v>
      </c>
      <c r="C420" s="89" t="s">
        <v>2629</v>
      </c>
      <c r="D420" s="88" t="s">
        <v>160</v>
      </c>
      <c r="F420" s="70">
        <f t="shared" si="12"/>
        <v>2001</v>
      </c>
      <c r="G420" s="70" t="s">
        <v>159</v>
      </c>
      <c r="H420" s="70" t="str">
        <f t="shared" si="13"/>
        <v>BQR</v>
      </c>
    </row>
    <row r="421" spans="1:8" ht="15" x14ac:dyDescent="0.25">
      <c r="A421" s="88" t="s">
        <v>2495</v>
      </c>
      <c r="B421" s="88">
        <v>2001</v>
      </c>
      <c r="C421" s="89" t="s">
        <v>2628</v>
      </c>
      <c r="D421" s="88" t="s">
        <v>160</v>
      </c>
      <c r="F421" s="70">
        <f t="shared" si="12"/>
        <v>2001</v>
      </c>
      <c r="G421" s="70" t="s">
        <v>159</v>
      </c>
      <c r="H421" s="70" t="str">
        <f t="shared" si="13"/>
        <v>BQR</v>
      </c>
    </row>
    <row r="422" spans="1:8" ht="15" x14ac:dyDescent="0.25">
      <c r="A422" s="88" t="s">
        <v>2495</v>
      </c>
      <c r="B422" s="88">
        <v>2001</v>
      </c>
      <c r="C422" s="89" t="s">
        <v>2627</v>
      </c>
      <c r="D422" s="88" t="s">
        <v>160</v>
      </c>
      <c r="F422" s="70">
        <f t="shared" si="12"/>
        <v>2001</v>
      </c>
      <c r="G422" s="70" t="s">
        <v>159</v>
      </c>
      <c r="H422" s="70" t="str">
        <f t="shared" si="13"/>
        <v>BQR</v>
      </c>
    </row>
    <row r="423" spans="1:8" ht="15" x14ac:dyDescent="0.25">
      <c r="A423" s="88" t="s">
        <v>2495</v>
      </c>
      <c r="B423" s="88">
        <v>2001</v>
      </c>
      <c r="C423" s="89" t="s">
        <v>2626</v>
      </c>
      <c r="D423" s="88" t="s">
        <v>160</v>
      </c>
      <c r="F423" s="70">
        <f t="shared" si="12"/>
        <v>2001</v>
      </c>
      <c r="G423" s="70" t="s">
        <v>159</v>
      </c>
      <c r="H423" s="70" t="str">
        <f t="shared" si="13"/>
        <v>BQR</v>
      </c>
    </row>
    <row r="424" spans="1:8" ht="15" x14ac:dyDescent="0.25">
      <c r="A424" s="88" t="s">
        <v>2495</v>
      </c>
      <c r="B424" s="88">
        <v>2001</v>
      </c>
      <c r="C424" s="89" t="s">
        <v>2625</v>
      </c>
      <c r="D424" s="88" t="s">
        <v>160</v>
      </c>
      <c r="F424" s="70">
        <f t="shared" si="12"/>
        <v>2001</v>
      </c>
      <c r="G424" s="70" t="s">
        <v>159</v>
      </c>
      <c r="H424" s="70" t="str">
        <f t="shared" si="13"/>
        <v>BQR</v>
      </c>
    </row>
    <row r="425" spans="1:8" ht="15" x14ac:dyDescent="0.25">
      <c r="A425" s="88" t="s">
        <v>2495</v>
      </c>
      <c r="B425" s="88">
        <v>2001</v>
      </c>
      <c r="C425" s="89" t="s">
        <v>2624</v>
      </c>
      <c r="D425" s="88" t="s">
        <v>160</v>
      </c>
      <c r="F425" s="70">
        <f t="shared" si="12"/>
        <v>2001</v>
      </c>
      <c r="G425" s="70" t="s">
        <v>159</v>
      </c>
      <c r="H425" s="70" t="str">
        <f t="shared" si="13"/>
        <v>BQR</v>
      </c>
    </row>
    <row r="426" spans="1:8" ht="15" x14ac:dyDescent="0.25">
      <c r="A426" s="88" t="s">
        <v>2495</v>
      </c>
      <c r="B426" s="88">
        <v>2001</v>
      </c>
      <c r="C426" s="89" t="s">
        <v>2623</v>
      </c>
      <c r="D426" s="88" t="s">
        <v>160</v>
      </c>
      <c r="F426" s="70">
        <f t="shared" si="12"/>
        <v>2001</v>
      </c>
      <c r="G426" s="70" t="s">
        <v>159</v>
      </c>
      <c r="H426" s="70" t="str">
        <f t="shared" si="13"/>
        <v>BQR</v>
      </c>
    </row>
    <row r="427" spans="1:8" ht="15" x14ac:dyDescent="0.25">
      <c r="A427" s="88" t="s">
        <v>2495</v>
      </c>
      <c r="B427" s="88">
        <v>2001</v>
      </c>
      <c r="C427" s="89" t="s">
        <v>2622</v>
      </c>
      <c r="D427" s="88" t="s">
        <v>160</v>
      </c>
      <c r="F427" s="70">
        <f t="shared" si="12"/>
        <v>2001</v>
      </c>
      <c r="G427" s="70" t="s">
        <v>159</v>
      </c>
      <c r="H427" s="70" t="str">
        <f t="shared" si="13"/>
        <v>BQR</v>
      </c>
    </row>
    <row r="428" spans="1:8" ht="15" x14ac:dyDescent="0.25">
      <c r="A428" s="88" t="s">
        <v>2495</v>
      </c>
      <c r="B428" s="88">
        <v>2002</v>
      </c>
      <c r="C428" s="89" t="s">
        <v>2621</v>
      </c>
      <c r="D428" s="88" t="s">
        <v>160</v>
      </c>
      <c r="F428" s="70">
        <f t="shared" si="12"/>
        <v>2002</v>
      </c>
      <c r="G428" s="70" t="s">
        <v>159</v>
      </c>
      <c r="H428" s="70" t="str">
        <f t="shared" si="13"/>
        <v>BQR</v>
      </c>
    </row>
    <row r="429" spans="1:8" ht="15" x14ac:dyDescent="0.25">
      <c r="A429" s="88" t="s">
        <v>2495</v>
      </c>
      <c r="B429" s="88">
        <v>2002</v>
      </c>
      <c r="C429" s="89" t="s">
        <v>2620</v>
      </c>
      <c r="D429" s="88" t="s">
        <v>160</v>
      </c>
      <c r="F429" s="70">
        <f t="shared" si="12"/>
        <v>2002</v>
      </c>
      <c r="G429" s="70" t="s">
        <v>159</v>
      </c>
      <c r="H429" s="70" t="str">
        <f t="shared" si="13"/>
        <v>BQR</v>
      </c>
    </row>
    <row r="430" spans="1:8" ht="15" x14ac:dyDescent="0.25">
      <c r="A430" s="88" t="s">
        <v>2495</v>
      </c>
      <c r="B430" s="88">
        <v>2002</v>
      </c>
      <c r="C430" s="89" t="s">
        <v>2619</v>
      </c>
      <c r="D430" s="88" t="s">
        <v>160</v>
      </c>
      <c r="F430" s="70">
        <f t="shared" si="12"/>
        <v>2002</v>
      </c>
      <c r="G430" s="70" t="s">
        <v>159</v>
      </c>
      <c r="H430" s="70" t="str">
        <f t="shared" si="13"/>
        <v>BQR</v>
      </c>
    </row>
    <row r="431" spans="1:8" ht="15" x14ac:dyDescent="0.25">
      <c r="A431" s="88" t="s">
        <v>2495</v>
      </c>
      <c r="B431" s="88">
        <v>2002</v>
      </c>
      <c r="C431" s="89" t="s">
        <v>2618</v>
      </c>
      <c r="D431" s="88" t="s">
        <v>160</v>
      </c>
      <c r="F431" s="70">
        <f t="shared" si="12"/>
        <v>2002</v>
      </c>
      <c r="G431" s="70" t="s">
        <v>159</v>
      </c>
      <c r="H431" s="70" t="str">
        <f t="shared" si="13"/>
        <v>BQR</v>
      </c>
    </row>
    <row r="432" spans="1:8" ht="15" x14ac:dyDescent="0.25">
      <c r="A432" s="88" t="s">
        <v>2495</v>
      </c>
      <c r="B432" s="88">
        <v>2002</v>
      </c>
      <c r="C432" s="89" t="s">
        <v>2617</v>
      </c>
      <c r="D432" s="88" t="s">
        <v>160</v>
      </c>
      <c r="F432" s="70">
        <f t="shared" si="12"/>
        <v>2002</v>
      </c>
      <c r="G432" s="70" t="s">
        <v>159</v>
      </c>
      <c r="H432" s="70" t="str">
        <f t="shared" si="13"/>
        <v>BQR</v>
      </c>
    </row>
    <row r="433" spans="1:8" ht="15" x14ac:dyDescent="0.25">
      <c r="A433" s="88" t="s">
        <v>2495</v>
      </c>
      <c r="B433" s="88">
        <v>2002</v>
      </c>
      <c r="C433" s="89" t="s">
        <v>2616</v>
      </c>
      <c r="D433" s="88" t="s">
        <v>160</v>
      </c>
      <c r="F433" s="70">
        <f t="shared" si="12"/>
        <v>2002</v>
      </c>
      <c r="G433" s="70" t="s">
        <v>159</v>
      </c>
      <c r="H433" s="70" t="str">
        <f t="shared" si="13"/>
        <v>BQR</v>
      </c>
    </row>
    <row r="434" spans="1:8" ht="15" x14ac:dyDescent="0.25">
      <c r="A434" s="88" t="s">
        <v>2495</v>
      </c>
      <c r="B434" s="88">
        <v>2003</v>
      </c>
      <c r="C434" s="89" t="s">
        <v>2615</v>
      </c>
      <c r="D434" s="88" t="s">
        <v>160</v>
      </c>
      <c r="F434" s="70">
        <f t="shared" si="12"/>
        <v>2003</v>
      </c>
      <c r="G434" s="70" t="s">
        <v>159</v>
      </c>
      <c r="H434" s="70" t="str">
        <f t="shared" si="13"/>
        <v>BQR</v>
      </c>
    </row>
    <row r="435" spans="1:8" ht="15" x14ac:dyDescent="0.25">
      <c r="A435" s="88" t="s">
        <v>2495</v>
      </c>
      <c r="B435" s="88">
        <v>2003</v>
      </c>
      <c r="C435" s="89" t="s">
        <v>2614</v>
      </c>
      <c r="D435" s="88" t="s">
        <v>160</v>
      </c>
      <c r="F435" s="70">
        <f t="shared" si="12"/>
        <v>2003</v>
      </c>
      <c r="G435" s="70" t="s">
        <v>159</v>
      </c>
      <c r="H435" s="70" t="str">
        <f t="shared" si="13"/>
        <v>BQR</v>
      </c>
    </row>
    <row r="436" spans="1:8" ht="15" x14ac:dyDescent="0.25">
      <c r="A436" s="88" t="s">
        <v>2495</v>
      </c>
      <c r="B436" s="88">
        <v>2003</v>
      </c>
      <c r="C436" s="89" t="s">
        <v>2613</v>
      </c>
      <c r="D436" s="88" t="s">
        <v>160</v>
      </c>
      <c r="F436" s="70">
        <f t="shared" si="12"/>
        <v>2003</v>
      </c>
      <c r="G436" s="70" t="s">
        <v>159</v>
      </c>
      <c r="H436" s="70" t="str">
        <f t="shared" si="13"/>
        <v>BQR</v>
      </c>
    </row>
    <row r="437" spans="1:8" ht="15" x14ac:dyDescent="0.25">
      <c r="A437" s="88" t="s">
        <v>2495</v>
      </c>
      <c r="B437" s="88">
        <v>2003</v>
      </c>
      <c r="C437" s="89" t="s">
        <v>2612</v>
      </c>
      <c r="D437" s="88" t="s">
        <v>160</v>
      </c>
      <c r="F437" s="70">
        <f t="shared" si="12"/>
        <v>2003</v>
      </c>
      <c r="G437" s="70" t="s">
        <v>159</v>
      </c>
      <c r="H437" s="70" t="str">
        <f t="shared" si="13"/>
        <v>BQR</v>
      </c>
    </row>
    <row r="438" spans="1:8" ht="15" x14ac:dyDescent="0.25">
      <c r="A438" s="88" t="s">
        <v>2495</v>
      </c>
      <c r="B438" s="88">
        <v>2003</v>
      </c>
      <c r="C438" s="89" t="s">
        <v>2611</v>
      </c>
      <c r="D438" s="88" t="s">
        <v>160</v>
      </c>
      <c r="F438" s="70">
        <f t="shared" si="12"/>
        <v>2003</v>
      </c>
      <c r="G438" s="70" t="s">
        <v>159</v>
      </c>
      <c r="H438" s="70" t="str">
        <f t="shared" si="13"/>
        <v>BQR</v>
      </c>
    </row>
    <row r="439" spans="1:8" ht="15" x14ac:dyDescent="0.25">
      <c r="A439" s="88" t="s">
        <v>2495</v>
      </c>
      <c r="B439" s="88">
        <v>2003</v>
      </c>
      <c r="C439" s="89" t="s">
        <v>2610</v>
      </c>
      <c r="D439" s="88" t="s">
        <v>160</v>
      </c>
      <c r="F439" s="70">
        <f t="shared" si="12"/>
        <v>2003</v>
      </c>
      <c r="G439" s="70" t="s">
        <v>159</v>
      </c>
      <c r="H439" s="70" t="str">
        <f t="shared" si="13"/>
        <v>BQR</v>
      </c>
    </row>
    <row r="440" spans="1:8" ht="15" x14ac:dyDescent="0.25">
      <c r="A440" s="88" t="s">
        <v>2495</v>
      </c>
      <c r="B440" s="88">
        <v>2004</v>
      </c>
      <c r="C440" s="89" t="s">
        <v>2609</v>
      </c>
      <c r="D440" s="88" t="s">
        <v>160</v>
      </c>
      <c r="F440" s="70">
        <f t="shared" si="12"/>
        <v>2004</v>
      </c>
      <c r="G440" s="70" t="s">
        <v>159</v>
      </c>
      <c r="H440" s="70" t="str">
        <f t="shared" si="13"/>
        <v>BQR</v>
      </c>
    </row>
    <row r="441" spans="1:8" ht="15" x14ac:dyDescent="0.25">
      <c r="A441" s="88" t="s">
        <v>2495</v>
      </c>
      <c r="B441" s="88">
        <v>2004</v>
      </c>
      <c r="C441" s="89" t="s">
        <v>2608</v>
      </c>
      <c r="D441" s="88" t="s">
        <v>160</v>
      </c>
      <c r="F441" s="70">
        <f t="shared" si="12"/>
        <v>2004</v>
      </c>
      <c r="G441" s="70" t="s">
        <v>159</v>
      </c>
      <c r="H441" s="70" t="str">
        <f t="shared" si="13"/>
        <v>BQR</v>
      </c>
    </row>
    <row r="442" spans="1:8" ht="15" x14ac:dyDescent="0.25">
      <c r="A442" s="88" t="s">
        <v>2495</v>
      </c>
      <c r="B442" s="88">
        <v>2004</v>
      </c>
      <c r="C442" s="89" t="s">
        <v>2607</v>
      </c>
      <c r="D442" s="88" t="s">
        <v>160</v>
      </c>
      <c r="F442" s="70">
        <f t="shared" si="12"/>
        <v>2004</v>
      </c>
      <c r="G442" s="70" t="s">
        <v>159</v>
      </c>
      <c r="H442" s="70" t="str">
        <f t="shared" si="13"/>
        <v>BQR</v>
      </c>
    </row>
    <row r="443" spans="1:8" ht="15" x14ac:dyDescent="0.25">
      <c r="A443" s="88" t="s">
        <v>2495</v>
      </c>
      <c r="B443" s="88">
        <v>2004</v>
      </c>
      <c r="C443" s="89" t="s">
        <v>2606</v>
      </c>
      <c r="D443" s="88" t="s">
        <v>160</v>
      </c>
      <c r="F443" s="70">
        <f t="shared" si="12"/>
        <v>2004</v>
      </c>
      <c r="G443" s="70" t="s">
        <v>159</v>
      </c>
      <c r="H443" s="70" t="str">
        <f t="shared" si="13"/>
        <v>BQR</v>
      </c>
    </row>
    <row r="444" spans="1:8" ht="15" x14ac:dyDescent="0.25">
      <c r="A444" s="88" t="s">
        <v>2495</v>
      </c>
      <c r="B444" s="88">
        <v>2004</v>
      </c>
      <c r="C444" s="89" t="s">
        <v>2605</v>
      </c>
      <c r="D444" s="88" t="s">
        <v>160</v>
      </c>
      <c r="F444" s="70">
        <f t="shared" si="12"/>
        <v>2004</v>
      </c>
      <c r="G444" s="70" t="s">
        <v>159</v>
      </c>
      <c r="H444" s="70" t="str">
        <f t="shared" si="13"/>
        <v>BQR</v>
      </c>
    </row>
    <row r="445" spans="1:8" ht="15" x14ac:dyDescent="0.25">
      <c r="A445" s="88" t="s">
        <v>2495</v>
      </c>
      <c r="B445" s="88">
        <v>2004</v>
      </c>
      <c r="C445" s="89" t="s">
        <v>2604</v>
      </c>
      <c r="D445" s="88" t="s">
        <v>160</v>
      </c>
      <c r="F445" s="70">
        <f t="shared" si="12"/>
        <v>2004</v>
      </c>
      <c r="G445" s="70" t="s">
        <v>159</v>
      </c>
      <c r="H445" s="70" t="str">
        <f t="shared" si="13"/>
        <v>BQR</v>
      </c>
    </row>
    <row r="446" spans="1:8" ht="15" x14ac:dyDescent="0.25">
      <c r="A446" s="88" t="s">
        <v>2495</v>
      </c>
      <c r="B446" s="88">
        <v>2004</v>
      </c>
      <c r="C446" s="89" t="s">
        <v>2603</v>
      </c>
      <c r="D446" s="88" t="s">
        <v>160</v>
      </c>
      <c r="F446" s="70">
        <f t="shared" si="12"/>
        <v>2004</v>
      </c>
      <c r="G446" s="70" t="s">
        <v>159</v>
      </c>
      <c r="H446" s="70" t="str">
        <f t="shared" si="13"/>
        <v>BQR</v>
      </c>
    </row>
    <row r="447" spans="1:8" ht="15" x14ac:dyDescent="0.25">
      <c r="A447" s="88" t="s">
        <v>2495</v>
      </c>
      <c r="B447" s="88">
        <v>2004</v>
      </c>
      <c r="C447" s="89" t="s">
        <v>2602</v>
      </c>
      <c r="D447" s="88" t="s">
        <v>160</v>
      </c>
      <c r="F447" s="70">
        <f t="shared" si="12"/>
        <v>2004</v>
      </c>
      <c r="G447" s="70" t="s">
        <v>159</v>
      </c>
      <c r="H447" s="70" t="str">
        <f t="shared" si="13"/>
        <v>BQR</v>
      </c>
    </row>
    <row r="448" spans="1:8" ht="15" x14ac:dyDescent="0.25">
      <c r="A448" s="88" t="s">
        <v>2495</v>
      </c>
      <c r="B448" s="88">
        <v>2004</v>
      </c>
      <c r="C448" s="89" t="s">
        <v>2601</v>
      </c>
      <c r="D448" s="88" t="s">
        <v>160</v>
      </c>
      <c r="F448" s="70">
        <f t="shared" si="12"/>
        <v>2004</v>
      </c>
      <c r="G448" s="70" t="s">
        <v>159</v>
      </c>
      <c r="H448" s="70" t="str">
        <f t="shared" si="13"/>
        <v>BQR</v>
      </c>
    </row>
    <row r="449" spans="1:8" ht="15" x14ac:dyDescent="0.25">
      <c r="A449" s="88" t="s">
        <v>2495</v>
      </c>
      <c r="B449" s="88">
        <v>2004</v>
      </c>
      <c r="C449" s="89" t="s">
        <v>2600</v>
      </c>
      <c r="D449" s="88" t="s">
        <v>160</v>
      </c>
      <c r="F449" s="70">
        <f t="shared" si="12"/>
        <v>2004</v>
      </c>
      <c r="G449" s="70" t="s">
        <v>159</v>
      </c>
      <c r="H449" s="70" t="str">
        <f t="shared" si="13"/>
        <v>BQR</v>
      </c>
    </row>
    <row r="450" spans="1:8" ht="15" x14ac:dyDescent="0.25">
      <c r="A450" s="88" t="s">
        <v>2495</v>
      </c>
      <c r="B450" s="88">
        <v>2005</v>
      </c>
      <c r="C450" s="89" t="s">
        <v>2599</v>
      </c>
      <c r="D450" s="88" t="s">
        <v>160</v>
      </c>
      <c r="F450" s="70">
        <f t="shared" si="12"/>
        <v>2005</v>
      </c>
      <c r="G450" s="70" t="s">
        <v>159</v>
      </c>
      <c r="H450" s="70" t="str">
        <f t="shared" si="13"/>
        <v>BQR</v>
      </c>
    </row>
    <row r="451" spans="1:8" ht="15" x14ac:dyDescent="0.25">
      <c r="A451" s="88" t="s">
        <v>2495</v>
      </c>
      <c r="B451" s="88">
        <v>2005</v>
      </c>
      <c r="C451" s="89" t="s">
        <v>2598</v>
      </c>
      <c r="D451" s="88" t="s">
        <v>160</v>
      </c>
      <c r="F451" s="70">
        <f t="shared" si="12"/>
        <v>2005</v>
      </c>
      <c r="G451" s="70" t="s">
        <v>159</v>
      </c>
      <c r="H451" s="70" t="str">
        <f t="shared" si="13"/>
        <v>BQR</v>
      </c>
    </row>
    <row r="452" spans="1:8" ht="15" x14ac:dyDescent="0.25">
      <c r="A452" s="88" t="s">
        <v>2495</v>
      </c>
      <c r="B452" s="88">
        <v>2005</v>
      </c>
      <c r="C452" s="89" t="s">
        <v>2597</v>
      </c>
      <c r="D452" s="88" t="s">
        <v>160</v>
      </c>
      <c r="F452" s="70">
        <f t="shared" si="12"/>
        <v>2005</v>
      </c>
      <c r="G452" s="70" t="s">
        <v>159</v>
      </c>
      <c r="H452" s="70" t="str">
        <f t="shared" si="13"/>
        <v>BQR</v>
      </c>
    </row>
    <row r="453" spans="1:8" ht="15" x14ac:dyDescent="0.25">
      <c r="A453" s="88" t="s">
        <v>2495</v>
      </c>
      <c r="B453" s="88">
        <v>2005</v>
      </c>
      <c r="C453" s="89" t="s">
        <v>2596</v>
      </c>
      <c r="D453" s="88" t="s">
        <v>160</v>
      </c>
      <c r="F453" s="70">
        <f t="shared" si="12"/>
        <v>2005</v>
      </c>
      <c r="G453" s="70" t="s">
        <v>159</v>
      </c>
      <c r="H453" s="70" t="str">
        <f t="shared" si="13"/>
        <v>BQR</v>
      </c>
    </row>
    <row r="454" spans="1:8" ht="15" x14ac:dyDescent="0.25">
      <c r="A454" s="88" t="s">
        <v>2495</v>
      </c>
      <c r="B454" s="88">
        <v>2005</v>
      </c>
      <c r="C454" s="89" t="s">
        <v>2595</v>
      </c>
      <c r="D454" s="88" t="s">
        <v>160</v>
      </c>
      <c r="F454" s="70">
        <f t="shared" si="12"/>
        <v>2005</v>
      </c>
      <c r="G454" s="70" t="s">
        <v>159</v>
      </c>
      <c r="H454" s="70" t="str">
        <f t="shared" si="13"/>
        <v>BQR</v>
      </c>
    </row>
    <row r="455" spans="1:8" ht="15" x14ac:dyDescent="0.25">
      <c r="A455" s="88" t="s">
        <v>2495</v>
      </c>
      <c r="B455" s="88">
        <v>2005</v>
      </c>
      <c r="C455" s="89" t="s">
        <v>2594</v>
      </c>
      <c r="D455" s="88" t="s">
        <v>160</v>
      </c>
      <c r="F455" s="70">
        <f t="shared" si="12"/>
        <v>2005</v>
      </c>
      <c r="G455" s="70" t="s">
        <v>159</v>
      </c>
      <c r="H455" s="70" t="str">
        <f t="shared" si="13"/>
        <v>BQR</v>
      </c>
    </row>
    <row r="456" spans="1:8" ht="15" x14ac:dyDescent="0.25">
      <c r="A456" s="88" t="s">
        <v>2495</v>
      </c>
      <c r="B456" s="88">
        <v>2005</v>
      </c>
      <c r="C456" s="89" t="s">
        <v>2593</v>
      </c>
      <c r="D456" s="88" t="s">
        <v>160</v>
      </c>
      <c r="F456" s="70">
        <f t="shared" ref="F456:F519" si="14">+B456</f>
        <v>2005</v>
      </c>
      <c r="G456" s="70" t="s">
        <v>159</v>
      </c>
      <c r="H456" s="70" t="str">
        <f t="shared" ref="H456:H519" si="15">A456</f>
        <v>BQR</v>
      </c>
    </row>
    <row r="457" spans="1:8" ht="15" x14ac:dyDescent="0.25">
      <c r="A457" s="88" t="s">
        <v>2495</v>
      </c>
      <c r="B457" s="88">
        <v>2005</v>
      </c>
      <c r="C457" s="89" t="s">
        <v>2592</v>
      </c>
      <c r="D457" s="88" t="s">
        <v>160</v>
      </c>
      <c r="F457" s="70">
        <f t="shared" si="14"/>
        <v>2005</v>
      </c>
      <c r="G457" s="70" t="s">
        <v>159</v>
      </c>
      <c r="H457" s="70" t="str">
        <f t="shared" si="15"/>
        <v>BQR</v>
      </c>
    </row>
    <row r="458" spans="1:8" ht="15" x14ac:dyDescent="0.25">
      <c r="A458" s="88" t="s">
        <v>2495</v>
      </c>
      <c r="B458" s="88">
        <v>2005</v>
      </c>
      <c r="C458" s="89" t="s">
        <v>2591</v>
      </c>
      <c r="D458" s="88" t="s">
        <v>160</v>
      </c>
      <c r="F458" s="70">
        <f t="shared" si="14"/>
        <v>2005</v>
      </c>
      <c r="G458" s="70" t="s">
        <v>159</v>
      </c>
      <c r="H458" s="70" t="str">
        <f t="shared" si="15"/>
        <v>BQR</v>
      </c>
    </row>
    <row r="459" spans="1:8" ht="15" x14ac:dyDescent="0.25">
      <c r="A459" s="88" t="s">
        <v>2495</v>
      </c>
      <c r="B459" s="88">
        <v>2006</v>
      </c>
      <c r="C459" s="89" t="s">
        <v>2590</v>
      </c>
      <c r="D459" s="88" t="s">
        <v>160</v>
      </c>
      <c r="F459" s="70">
        <f t="shared" si="14"/>
        <v>2006</v>
      </c>
      <c r="G459" s="70" t="s">
        <v>159</v>
      </c>
      <c r="H459" s="70" t="str">
        <f t="shared" si="15"/>
        <v>BQR</v>
      </c>
    </row>
    <row r="460" spans="1:8" ht="15" x14ac:dyDescent="0.25">
      <c r="A460" s="88" t="s">
        <v>2495</v>
      </c>
      <c r="B460" s="88">
        <v>2006</v>
      </c>
      <c r="C460" s="89" t="s">
        <v>2589</v>
      </c>
      <c r="D460" s="88" t="s">
        <v>160</v>
      </c>
      <c r="F460" s="70">
        <f t="shared" si="14"/>
        <v>2006</v>
      </c>
      <c r="G460" s="70" t="s">
        <v>159</v>
      </c>
      <c r="H460" s="70" t="str">
        <f t="shared" si="15"/>
        <v>BQR</v>
      </c>
    </row>
    <row r="461" spans="1:8" ht="15" x14ac:dyDescent="0.25">
      <c r="A461" s="88" t="s">
        <v>2495</v>
      </c>
      <c r="B461" s="88">
        <v>2006</v>
      </c>
      <c r="C461" s="89" t="s">
        <v>2588</v>
      </c>
      <c r="D461" s="88" t="s">
        <v>160</v>
      </c>
      <c r="F461" s="70">
        <f t="shared" si="14"/>
        <v>2006</v>
      </c>
      <c r="G461" s="70" t="s">
        <v>159</v>
      </c>
      <c r="H461" s="70" t="str">
        <f t="shared" si="15"/>
        <v>BQR</v>
      </c>
    </row>
    <row r="462" spans="1:8" ht="15" x14ac:dyDescent="0.25">
      <c r="A462" s="88" t="s">
        <v>2495</v>
      </c>
      <c r="B462" s="88">
        <v>2006</v>
      </c>
      <c r="C462" s="89" t="s">
        <v>2587</v>
      </c>
      <c r="D462" s="88" t="s">
        <v>160</v>
      </c>
      <c r="F462" s="70">
        <f t="shared" si="14"/>
        <v>2006</v>
      </c>
      <c r="G462" s="70" t="s">
        <v>159</v>
      </c>
      <c r="H462" s="70" t="str">
        <f t="shared" si="15"/>
        <v>BQR</v>
      </c>
    </row>
    <row r="463" spans="1:8" ht="15" x14ac:dyDescent="0.25">
      <c r="A463" s="88" t="s">
        <v>2495</v>
      </c>
      <c r="B463" s="88">
        <v>2006</v>
      </c>
      <c r="C463" s="89" t="s">
        <v>2586</v>
      </c>
      <c r="D463" s="88" t="s">
        <v>160</v>
      </c>
      <c r="F463" s="70">
        <f t="shared" si="14"/>
        <v>2006</v>
      </c>
      <c r="G463" s="70" t="s">
        <v>159</v>
      </c>
      <c r="H463" s="70" t="str">
        <f t="shared" si="15"/>
        <v>BQR</v>
      </c>
    </row>
    <row r="464" spans="1:8" ht="15" x14ac:dyDescent="0.25">
      <c r="A464" s="88" t="s">
        <v>2495</v>
      </c>
      <c r="B464" s="88">
        <v>2006</v>
      </c>
      <c r="C464" s="89" t="s">
        <v>2585</v>
      </c>
      <c r="D464" s="88" t="s">
        <v>160</v>
      </c>
      <c r="F464" s="70">
        <f t="shared" si="14"/>
        <v>2006</v>
      </c>
      <c r="G464" s="70" t="s">
        <v>159</v>
      </c>
      <c r="H464" s="70" t="str">
        <f t="shared" si="15"/>
        <v>BQR</v>
      </c>
    </row>
    <row r="465" spans="1:8" ht="15" x14ac:dyDescent="0.25">
      <c r="A465" s="88" t="s">
        <v>2495</v>
      </c>
      <c r="B465" s="88">
        <v>2006</v>
      </c>
      <c r="C465" s="89" t="s">
        <v>2584</v>
      </c>
      <c r="D465" s="88" t="s">
        <v>160</v>
      </c>
      <c r="F465" s="70">
        <f t="shared" si="14"/>
        <v>2006</v>
      </c>
      <c r="G465" s="70" t="s">
        <v>159</v>
      </c>
      <c r="H465" s="70" t="str">
        <f t="shared" si="15"/>
        <v>BQR</v>
      </c>
    </row>
    <row r="466" spans="1:8" ht="15" x14ac:dyDescent="0.25">
      <c r="A466" s="88" t="s">
        <v>2495</v>
      </c>
      <c r="B466" s="88">
        <v>2006</v>
      </c>
      <c r="C466" s="89" t="s">
        <v>2583</v>
      </c>
      <c r="D466" s="88" t="s">
        <v>160</v>
      </c>
      <c r="F466" s="70">
        <f t="shared" si="14"/>
        <v>2006</v>
      </c>
      <c r="G466" s="70" t="s">
        <v>159</v>
      </c>
      <c r="H466" s="70" t="str">
        <f t="shared" si="15"/>
        <v>BQR</v>
      </c>
    </row>
    <row r="467" spans="1:8" ht="15" x14ac:dyDescent="0.25">
      <c r="A467" s="88" t="s">
        <v>2495</v>
      </c>
      <c r="B467" s="88">
        <v>2007</v>
      </c>
      <c r="C467" s="89" t="s">
        <v>2582</v>
      </c>
      <c r="D467" s="88" t="s">
        <v>160</v>
      </c>
      <c r="F467" s="70">
        <f t="shared" si="14"/>
        <v>2007</v>
      </c>
      <c r="G467" s="70" t="s">
        <v>159</v>
      </c>
      <c r="H467" s="70" t="str">
        <f t="shared" si="15"/>
        <v>BQR</v>
      </c>
    </row>
    <row r="468" spans="1:8" ht="15" x14ac:dyDescent="0.25">
      <c r="A468" s="88" t="s">
        <v>2495</v>
      </c>
      <c r="B468" s="88">
        <v>2007</v>
      </c>
      <c r="C468" s="89" t="s">
        <v>2581</v>
      </c>
      <c r="D468" s="88" t="s">
        <v>160</v>
      </c>
      <c r="F468" s="70">
        <f t="shared" si="14"/>
        <v>2007</v>
      </c>
      <c r="G468" s="70" t="s">
        <v>159</v>
      </c>
      <c r="H468" s="70" t="str">
        <f t="shared" si="15"/>
        <v>BQR</v>
      </c>
    </row>
    <row r="469" spans="1:8" ht="15" x14ac:dyDescent="0.25">
      <c r="A469" s="88" t="s">
        <v>2495</v>
      </c>
      <c r="B469" s="88">
        <v>2007</v>
      </c>
      <c r="C469" s="89" t="s">
        <v>2580</v>
      </c>
      <c r="D469" s="88" t="s">
        <v>160</v>
      </c>
      <c r="F469" s="70">
        <f t="shared" si="14"/>
        <v>2007</v>
      </c>
      <c r="G469" s="70" t="s">
        <v>159</v>
      </c>
      <c r="H469" s="70" t="str">
        <f t="shared" si="15"/>
        <v>BQR</v>
      </c>
    </row>
    <row r="470" spans="1:8" ht="15" x14ac:dyDescent="0.25">
      <c r="A470" s="88" t="s">
        <v>2495</v>
      </c>
      <c r="B470" s="88">
        <v>2007</v>
      </c>
      <c r="C470" s="89" t="s">
        <v>2579</v>
      </c>
      <c r="D470" s="88" t="s">
        <v>160</v>
      </c>
      <c r="F470" s="70">
        <f t="shared" si="14"/>
        <v>2007</v>
      </c>
      <c r="G470" s="70" t="s">
        <v>159</v>
      </c>
      <c r="H470" s="70" t="str">
        <f t="shared" si="15"/>
        <v>BQR</v>
      </c>
    </row>
    <row r="471" spans="1:8" ht="15" x14ac:dyDescent="0.25">
      <c r="A471" s="88" t="s">
        <v>2495</v>
      </c>
      <c r="B471" s="88">
        <v>2007</v>
      </c>
      <c r="C471" s="89" t="s">
        <v>2578</v>
      </c>
      <c r="D471" s="88" t="s">
        <v>160</v>
      </c>
      <c r="F471" s="70">
        <f t="shared" si="14"/>
        <v>2007</v>
      </c>
      <c r="G471" s="70" t="s">
        <v>159</v>
      </c>
      <c r="H471" s="70" t="str">
        <f t="shared" si="15"/>
        <v>BQR</v>
      </c>
    </row>
    <row r="472" spans="1:8" ht="15" x14ac:dyDescent="0.25">
      <c r="A472" s="88" t="s">
        <v>2495</v>
      </c>
      <c r="B472" s="88">
        <v>2007</v>
      </c>
      <c r="C472" s="89" t="s">
        <v>2577</v>
      </c>
      <c r="D472" s="88" t="s">
        <v>160</v>
      </c>
      <c r="F472" s="70">
        <f t="shared" si="14"/>
        <v>2007</v>
      </c>
      <c r="G472" s="70" t="s">
        <v>159</v>
      </c>
      <c r="H472" s="70" t="str">
        <f t="shared" si="15"/>
        <v>BQR</v>
      </c>
    </row>
    <row r="473" spans="1:8" ht="15" x14ac:dyDescent="0.25">
      <c r="A473" s="88" t="s">
        <v>2495</v>
      </c>
      <c r="B473" s="88">
        <v>2007</v>
      </c>
      <c r="C473" s="89" t="s">
        <v>2576</v>
      </c>
      <c r="D473" s="88" t="s">
        <v>160</v>
      </c>
      <c r="F473" s="70">
        <f t="shared" si="14"/>
        <v>2007</v>
      </c>
      <c r="G473" s="70" t="s">
        <v>159</v>
      </c>
      <c r="H473" s="70" t="str">
        <f t="shared" si="15"/>
        <v>BQR</v>
      </c>
    </row>
    <row r="474" spans="1:8" ht="15" x14ac:dyDescent="0.25">
      <c r="A474" s="88" t="s">
        <v>2495</v>
      </c>
      <c r="B474" s="88">
        <v>2007</v>
      </c>
      <c r="C474" s="89" t="s">
        <v>2575</v>
      </c>
      <c r="D474" s="88" t="s">
        <v>160</v>
      </c>
      <c r="F474" s="70">
        <f t="shared" si="14"/>
        <v>2007</v>
      </c>
      <c r="G474" s="70" t="s">
        <v>159</v>
      </c>
      <c r="H474" s="70" t="str">
        <f t="shared" si="15"/>
        <v>BQR</v>
      </c>
    </row>
    <row r="475" spans="1:8" ht="15" x14ac:dyDescent="0.25">
      <c r="A475" s="88" t="s">
        <v>2495</v>
      </c>
      <c r="B475" s="88">
        <v>2008</v>
      </c>
      <c r="C475" s="89" t="s">
        <v>2574</v>
      </c>
      <c r="D475" s="88" t="s">
        <v>160</v>
      </c>
      <c r="F475" s="70">
        <f t="shared" si="14"/>
        <v>2008</v>
      </c>
      <c r="G475" s="70" t="s">
        <v>159</v>
      </c>
      <c r="H475" s="70" t="str">
        <f t="shared" si="15"/>
        <v>BQR</v>
      </c>
    </row>
    <row r="476" spans="1:8" ht="15" x14ac:dyDescent="0.25">
      <c r="A476" s="88" t="s">
        <v>2495</v>
      </c>
      <c r="B476" s="88">
        <v>2008</v>
      </c>
      <c r="C476" s="89" t="s">
        <v>2573</v>
      </c>
      <c r="D476" s="88" t="s">
        <v>160</v>
      </c>
      <c r="F476" s="70">
        <f t="shared" si="14"/>
        <v>2008</v>
      </c>
      <c r="G476" s="70" t="s">
        <v>159</v>
      </c>
      <c r="H476" s="70" t="str">
        <f t="shared" si="15"/>
        <v>BQR</v>
      </c>
    </row>
    <row r="477" spans="1:8" ht="15" x14ac:dyDescent="0.25">
      <c r="A477" s="88" t="s">
        <v>2495</v>
      </c>
      <c r="B477" s="88">
        <v>2008</v>
      </c>
      <c r="C477" s="89" t="s">
        <v>2572</v>
      </c>
      <c r="D477" s="88" t="s">
        <v>160</v>
      </c>
      <c r="F477" s="70">
        <f t="shared" si="14"/>
        <v>2008</v>
      </c>
      <c r="G477" s="70" t="s">
        <v>159</v>
      </c>
      <c r="H477" s="70" t="str">
        <f t="shared" si="15"/>
        <v>BQR</v>
      </c>
    </row>
    <row r="478" spans="1:8" ht="15" x14ac:dyDescent="0.25">
      <c r="A478" s="88" t="s">
        <v>2495</v>
      </c>
      <c r="B478" s="88">
        <v>2008</v>
      </c>
      <c r="C478" s="89" t="s">
        <v>2571</v>
      </c>
      <c r="D478" s="88" t="s">
        <v>160</v>
      </c>
      <c r="F478" s="70">
        <f t="shared" si="14"/>
        <v>2008</v>
      </c>
      <c r="G478" s="70" t="s">
        <v>159</v>
      </c>
      <c r="H478" s="70" t="str">
        <f t="shared" si="15"/>
        <v>BQR</v>
      </c>
    </row>
    <row r="479" spans="1:8" ht="15" x14ac:dyDescent="0.25">
      <c r="A479" s="88" t="s">
        <v>2495</v>
      </c>
      <c r="B479" s="88">
        <v>2008</v>
      </c>
      <c r="C479" s="89" t="s">
        <v>2570</v>
      </c>
      <c r="D479" s="88" t="s">
        <v>160</v>
      </c>
      <c r="F479" s="70">
        <f t="shared" si="14"/>
        <v>2008</v>
      </c>
      <c r="G479" s="70" t="s">
        <v>159</v>
      </c>
      <c r="H479" s="70" t="str">
        <f t="shared" si="15"/>
        <v>BQR</v>
      </c>
    </row>
    <row r="480" spans="1:8" ht="15" x14ac:dyDescent="0.25">
      <c r="A480" s="88" t="s">
        <v>2495</v>
      </c>
      <c r="B480" s="88">
        <v>2008</v>
      </c>
      <c r="C480" s="89" t="s">
        <v>2569</v>
      </c>
      <c r="D480" s="88" t="s">
        <v>160</v>
      </c>
      <c r="F480" s="70">
        <f t="shared" si="14"/>
        <v>2008</v>
      </c>
      <c r="G480" s="70" t="s">
        <v>159</v>
      </c>
      <c r="H480" s="70" t="str">
        <f t="shared" si="15"/>
        <v>BQR</v>
      </c>
    </row>
    <row r="481" spans="1:8" ht="15" x14ac:dyDescent="0.25">
      <c r="A481" s="88" t="s">
        <v>2495</v>
      </c>
      <c r="B481" s="88">
        <v>2008</v>
      </c>
      <c r="C481" s="89" t="s">
        <v>2568</v>
      </c>
      <c r="D481" s="88" t="s">
        <v>160</v>
      </c>
      <c r="F481" s="70">
        <f t="shared" si="14"/>
        <v>2008</v>
      </c>
      <c r="G481" s="70" t="s">
        <v>159</v>
      </c>
      <c r="H481" s="70" t="str">
        <f t="shared" si="15"/>
        <v>BQR</v>
      </c>
    </row>
    <row r="482" spans="1:8" ht="15" x14ac:dyDescent="0.25">
      <c r="A482" s="88" t="s">
        <v>2495</v>
      </c>
      <c r="B482" s="88">
        <v>2009</v>
      </c>
      <c r="C482" s="89" t="s">
        <v>2567</v>
      </c>
      <c r="D482" s="88" t="s">
        <v>160</v>
      </c>
      <c r="F482" s="70">
        <f t="shared" si="14"/>
        <v>2009</v>
      </c>
      <c r="G482" s="70" t="s">
        <v>159</v>
      </c>
      <c r="H482" s="70" t="str">
        <f t="shared" si="15"/>
        <v>BQR</v>
      </c>
    </row>
    <row r="483" spans="1:8" ht="15" x14ac:dyDescent="0.25">
      <c r="A483" s="88" t="s">
        <v>2495</v>
      </c>
      <c r="B483" s="88">
        <v>2009</v>
      </c>
      <c r="C483" s="89" t="s">
        <v>2566</v>
      </c>
      <c r="D483" s="88" t="s">
        <v>160</v>
      </c>
      <c r="F483" s="70">
        <f t="shared" si="14"/>
        <v>2009</v>
      </c>
      <c r="G483" s="70" t="s">
        <v>159</v>
      </c>
      <c r="H483" s="70" t="str">
        <f t="shared" si="15"/>
        <v>BQR</v>
      </c>
    </row>
    <row r="484" spans="1:8" ht="15" x14ac:dyDescent="0.25">
      <c r="A484" s="88" t="s">
        <v>2495</v>
      </c>
      <c r="B484" s="88">
        <v>2009</v>
      </c>
      <c r="C484" s="89" t="s">
        <v>2565</v>
      </c>
      <c r="D484" s="88" t="s">
        <v>160</v>
      </c>
      <c r="F484" s="70">
        <f t="shared" si="14"/>
        <v>2009</v>
      </c>
      <c r="G484" s="70" t="s">
        <v>159</v>
      </c>
      <c r="H484" s="70" t="str">
        <f t="shared" si="15"/>
        <v>BQR</v>
      </c>
    </row>
    <row r="485" spans="1:8" ht="15" x14ac:dyDescent="0.25">
      <c r="A485" s="88" t="s">
        <v>2495</v>
      </c>
      <c r="B485" s="88">
        <v>2009</v>
      </c>
      <c r="C485" s="89" t="s">
        <v>2564</v>
      </c>
      <c r="D485" s="88" t="s">
        <v>160</v>
      </c>
      <c r="F485" s="70">
        <f t="shared" si="14"/>
        <v>2009</v>
      </c>
      <c r="G485" s="70" t="s">
        <v>159</v>
      </c>
      <c r="H485" s="70" t="str">
        <f t="shared" si="15"/>
        <v>BQR</v>
      </c>
    </row>
    <row r="486" spans="1:8" ht="15" x14ac:dyDescent="0.25">
      <c r="A486" s="88" t="s">
        <v>2495</v>
      </c>
      <c r="B486" s="88">
        <v>2009</v>
      </c>
      <c r="C486" s="89" t="s">
        <v>2563</v>
      </c>
      <c r="D486" s="88" t="s">
        <v>160</v>
      </c>
      <c r="F486" s="70">
        <f t="shared" si="14"/>
        <v>2009</v>
      </c>
      <c r="G486" s="70" t="s">
        <v>159</v>
      </c>
      <c r="H486" s="70" t="str">
        <f t="shared" si="15"/>
        <v>BQR</v>
      </c>
    </row>
    <row r="487" spans="1:8" ht="15" x14ac:dyDescent="0.25">
      <c r="A487" s="88" t="s">
        <v>2495</v>
      </c>
      <c r="B487" s="88">
        <v>2009</v>
      </c>
      <c r="C487" s="89" t="s">
        <v>2562</v>
      </c>
      <c r="D487" s="88" t="s">
        <v>160</v>
      </c>
      <c r="F487" s="70">
        <f t="shared" si="14"/>
        <v>2009</v>
      </c>
      <c r="G487" s="70" t="s">
        <v>159</v>
      </c>
      <c r="H487" s="70" t="str">
        <f t="shared" si="15"/>
        <v>BQR</v>
      </c>
    </row>
    <row r="488" spans="1:8" ht="15" x14ac:dyDescent="0.25">
      <c r="A488" s="88" t="s">
        <v>2495</v>
      </c>
      <c r="B488" s="88">
        <v>2009</v>
      </c>
      <c r="C488" s="89" t="s">
        <v>2561</v>
      </c>
      <c r="D488" s="88" t="s">
        <v>160</v>
      </c>
      <c r="F488" s="70">
        <f t="shared" si="14"/>
        <v>2009</v>
      </c>
      <c r="G488" s="70" t="s">
        <v>159</v>
      </c>
      <c r="H488" s="70" t="str">
        <f t="shared" si="15"/>
        <v>BQR</v>
      </c>
    </row>
    <row r="489" spans="1:8" ht="15" x14ac:dyDescent="0.25">
      <c r="A489" s="88" t="s">
        <v>2495</v>
      </c>
      <c r="B489" s="88">
        <v>2009</v>
      </c>
      <c r="C489" s="89" t="s">
        <v>2560</v>
      </c>
      <c r="D489" s="88" t="s">
        <v>160</v>
      </c>
      <c r="F489" s="70">
        <f t="shared" si="14"/>
        <v>2009</v>
      </c>
      <c r="G489" s="70" t="s">
        <v>159</v>
      </c>
      <c r="H489" s="70" t="str">
        <f t="shared" si="15"/>
        <v>BQR</v>
      </c>
    </row>
    <row r="490" spans="1:8" ht="15" x14ac:dyDescent="0.25">
      <c r="A490" s="88" t="s">
        <v>2495</v>
      </c>
      <c r="B490" s="88">
        <v>2009</v>
      </c>
      <c r="C490" s="89" t="s">
        <v>2559</v>
      </c>
      <c r="D490" s="88" t="s">
        <v>160</v>
      </c>
      <c r="F490" s="70">
        <f t="shared" si="14"/>
        <v>2009</v>
      </c>
      <c r="G490" s="70" t="s">
        <v>159</v>
      </c>
      <c r="H490" s="70" t="str">
        <f t="shared" si="15"/>
        <v>BQR</v>
      </c>
    </row>
    <row r="491" spans="1:8" ht="15" x14ac:dyDescent="0.25">
      <c r="A491" s="88" t="s">
        <v>2495</v>
      </c>
      <c r="B491" s="88">
        <v>2009</v>
      </c>
      <c r="C491" s="89" t="s">
        <v>2558</v>
      </c>
      <c r="D491" s="88" t="s">
        <v>160</v>
      </c>
      <c r="F491" s="70">
        <f t="shared" si="14"/>
        <v>2009</v>
      </c>
      <c r="G491" s="70" t="s">
        <v>159</v>
      </c>
      <c r="H491" s="70" t="str">
        <f t="shared" si="15"/>
        <v>BQR</v>
      </c>
    </row>
    <row r="492" spans="1:8" ht="15" x14ac:dyDescent="0.25">
      <c r="A492" s="88" t="s">
        <v>2495</v>
      </c>
      <c r="B492" s="88">
        <v>2009</v>
      </c>
      <c r="C492" s="89" t="s">
        <v>2557</v>
      </c>
      <c r="D492" s="88" t="s">
        <v>160</v>
      </c>
      <c r="F492" s="70">
        <f t="shared" si="14"/>
        <v>2009</v>
      </c>
      <c r="G492" s="70" t="s">
        <v>159</v>
      </c>
      <c r="H492" s="70" t="str">
        <f t="shared" si="15"/>
        <v>BQR</v>
      </c>
    </row>
    <row r="493" spans="1:8" ht="15" x14ac:dyDescent="0.25">
      <c r="A493" s="88" t="s">
        <v>2495</v>
      </c>
      <c r="B493" s="88">
        <v>2010</v>
      </c>
      <c r="C493" s="89" t="s">
        <v>2556</v>
      </c>
      <c r="D493" s="88" t="s">
        <v>160</v>
      </c>
      <c r="F493" s="70">
        <f t="shared" si="14"/>
        <v>2010</v>
      </c>
      <c r="G493" s="70" t="s">
        <v>159</v>
      </c>
      <c r="H493" s="70" t="str">
        <f t="shared" si="15"/>
        <v>BQR</v>
      </c>
    </row>
    <row r="494" spans="1:8" ht="15" x14ac:dyDescent="0.25">
      <c r="A494" s="88" t="s">
        <v>2495</v>
      </c>
      <c r="B494" s="88">
        <v>2010</v>
      </c>
      <c r="C494" s="89" t="s">
        <v>2555</v>
      </c>
      <c r="D494" s="88" t="s">
        <v>160</v>
      </c>
      <c r="F494" s="70">
        <f t="shared" si="14"/>
        <v>2010</v>
      </c>
      <c r="G494" s="70" t="s">
        <v>159</v>
      </c>
      <c r="H494" s="70" t="str">
        <f t="shared" si="15"/>
        <v>BQR</v>
      </c>
    </row>
    <row r="495" spans="1:8" ht="15" x14ac:dyDescent="0.25">
      <c r="A495" s="88" t="s">
        <v>2495</v>
      </c>
      <c r="B495" s="88">
        <v>2010</v>
      </c>
      <c r="C495" s="89" t="s">
        <v>2554</v>
      </c>
      <c r="D495" s="88" t="s">
        <v>160</v>
      </c>
      <c r="F495" s="70">
        <f t="shared" si="14"/>
        <v>2010</v>
      </c>
      <c r="G495" s="70" t="s">
        <v>159</v>
      </c>
      <c r="H495" s="70" t="str">
        <f t="shared" si="15"/>
        <v>BQR</v>
      </c>
    </row>
    <row r="496" spans="1:8" ht="15" x14ac:dyDescent="0.25">
      <c r="A496" s="88" t="s">
        <v>2495</v>
      </c>
      <c r="B496" s="88">
        <v>2010</v>
      </c>
      <c r="C496" s="89" t="s">
        <v>2553</v>
      </c>
      <c r="D496" s="88" t="s">
        <v>160</v>
      </c>
      <c r="F496" s="70">
        <f t="shared" si="14"/>
        <v>2010</v>
      </c>
      <c r="G496" s="70" t="s">
        <v>159</v>
      </c>
      <c r="H496" s="70" t="str">
        <f t="shared" si="15"/>
        <v>BQR</v>
      </c>
    </row>
    <row r="497" spans="1:8" ht="15" x14ac:dyDescent="0.25">
      <c r="A497" s="88" t="s">
        <v>2495</v>
      </c>
      <c r="B497" s="88">
        <v>2010</v>
      </c>
      <c r="C497" s="89" t="s">
        <v>2552</v>
      </c>
      <c r="D497" s="88" t="s">
        <v>160</v>
      </c>
      <c r="F497" s="70">
        <f t="shared" si="14"/>
        <v>2010</v>
      </c>
      <c r="G497" s="70" t="s">
        <v>159</v>
      </c>
      <c r="H497" s="70" t="str">
        <f t="shared" si="15"/>
        <v>BQR</v>
      </c>
    </row>
    <row r="498" spans="1:8" ht="15" x14ac:dyDescent="0.25">
      <c r="A498" s="88" t="s">
        <v>2495</v>
      </c>
      <c r="B498" s="88">
        <v>2010</v>
      </c>
      <c r="C498" s="89" t="s">
        <v>2551</v>
      </c>
      <c r="D498" s="88" t="s">
        <v>160</v>
      </c>
      <c r="F498" s="70">
        <f t="shared" si="14"/>
        <v>2010</v>
      </c>
      <c r="G498" s="70" t="s">
        <v>159</v>
      </c>
      <c r="H498" s="70" t="str">
        <f t="shared" si="15"/>
        <v>BQR</v>
      </c>
    </row>
    <row r="499" spans="1:8" ht="15" x14ac:dyDescent="0.25">
      <c r="A499" s="88" t="s">
        <v>2495</v>
      </c>
      <c r="B499" s="88">
        <v>2010</v>
      </c>
      <c r="C499" s="89" t="s">
        <v>2550</v>
      </c>
      <c r="D499" s="88" t="s">
        <v>160</v>
      </c>
      <c r="F499" s="70">
        <f t="shared" si="14"/>
        <v>2010</v>
      </c>
      <c r="G499" s="70" t="s">
        <v>159</v>
      </c>
      <c r="H499" s="70" t="str">
        <f t="shared" si="15"/>
        <v>BQR</v>
      </c>
    </row>
    <row r="500" spans="1:8" ht="15" x14ac:dyDescent="0.25">
      <c r="A500" s="88" t="s">
        <v>2495</v>
      </c>
      <c r="B500" s="88">
        <v>2010</v>
      </c>
      <c r="C500" s="89" t="s">
        <v>2549</v>
      </c>
      <c r="D500" s="88" t="s">
        <v>160</v>
      </c>
      <c r="F500" s="70">
        <f t="shared" si="14"/>
        <v>2010</v>
      </c>
      <c r="G500" s="70" t="s">
        <v>159</v>
      </c>
      <c r="H500" s="70" t="str">
        <f t="shared" si="15"/>
        <v>BQR</v>
      </c>
    </row>
    <row r="501" spans="1:8" ht="15" x14ac:dyDescent="0.25">
      <c r="A501" s="88" t="s">
        <v>2495</v>
      </c>
      <c r="B501" s="88">
        <v>2010</v>
      </c>
      <c r="C501" s="89" t="s">
        <v>2548</v>
      </c>
      <c r="D501" s="88" t="s">
        <v>160</v>
      </c>
      <c r="F501" s="70">
        <f t="shared" si="14"/>
        <v>2010</v>
      </c>
      <c r="G501" s="70" t="s">
        <v>159</v>
      </c>
      <c r="H501" s="70" t="str">
        <f t="shared" si="15"/>
        <v>BQR</v>
      </c>
    </row>
    <row r="502" spans="1:8" ht="15" x14ac:dyDescent="0.25">
      <c r="A502" s="88" t="s">
        <v>2495</v>
      </c>
      <c r="B502" s="88">
        <v>2010</v>
      </c>
      <c r="C502" s="89" t="s">
        <v>2547</v>
      </c>
      <c r="D502" s="88" t="s">
        <v>160</v>
      </c>
      <c r="F502" s="70">
        <f t="shared" si="14"/>
        <v>2010</v>
      </c>
      <c r="G502" s="70" t="s">
        <v>159</v>
      </c>
      <c r="H502" s="70" t="str">
        <f t="shared" si="15"/>
        <v>BQR</v>
      </c>
    </row>
    <row r="503" spans="1:8" ht="15" x14ac:dyDescent="0.25">
      <c r="A503" s="88" t="s">
        <v>2495</v>
      </c>
      <c r="B503" s="88">
        <v>2010</v>
      </c>
      <c r="C503" s="89" t="s">
        <v>2546</v>
      </c>
      <c r="D503" s="88" t="s">
        <v>160</v>
      </c>
      <c r="F503" s="70">
        <f t="shared" si="14"/>
        <v>2010</v>
      </c>
      <c r="G503" s="70" t="s">
        <v>159</v>
      </c>
      <c r="H503" s="70" t="str">
        <f t="shared" si="15"/>
        <v>BQR</v>
      </c>
    </row>
    <row r="504" spans="1:8" ht="15" x14ac:dyDescent="0.25">
      <c r="A504" s="88" t="s">
        <v>2495</v>
      </c>
      <c r="B504" s="88">
        <v>2010</v>
      </c>
      <c r="C504" s="89" t="s">
        <v>2545</v>
      </c>
      <c r="D504" s="88" t="s">
        <v>160</v>
      </c>
      <c r="F504" s="70">
        <f t="shared" si="14"/>
        <v>2010</v>
      </c>
      <c r="G504" s="70" t="s">
        <v>159</v>
      </c>
      <c r="H504" s="70" t="str">
        <f t="shared" si="15"/>
        <v>BQR</v>
      </c>
    </row>
    <row r="505" spans="1:8" ht="15" x14ac:dyDescent="0.25">
      <c r="A505" s="88" t="s">
        <v>2495</v>
      </c>
      <c r="B505" s="88">
        <v>2011</v>
      </c>
      <c r="C505" s="89" t="s">
        <v>2544</v>
      </c>
      <c r="D505" s="88" t="s">
        <v>160</v>
      </c>
      <c r="F505" s="70">
        <f t="shared" si="14"/>
        <v>2011</v>
      </c>
      <c r="G505" s="70" t="s">
        <v>159</v>
      </c>
      <c r="H505" s="70" t="str">
        <f t="shared" si="15"/>
        <v>BQR</v>
      </c>
    </row>
    <row r="506" spans="1:8" ht="15" x14ac:dyDescent="0.25">
      <c r="A506" s="88" t="s">
        <v>2495</v>
      </c>
      <c r="B506" s="88">
        <v>2011</v>
      </c>
      <c r="C506" s="89" t="s">
        <v>2543</v>
      </c>
      <c r="D506" s="88" t="s">
        <v>160</v>
      </c>
      <c r="F506" s="70">
        <f t="shared" si="14"/>
        <v>2011</v>
      </c>
      <c r="G506" s="70" t="s">
        <v>159</v>
      </c>
      <c r="H506" s="70" t="str">
        <f t="shared" si="15"/>
        <v>BQR</v>
      </c>
    </row>
    <row r="507" spans="1:8" ht="15" x14ac:dyDescent="0.25">
      <c r="A507" s="88" t="s">
        <v>2495</v>
      </c>
      <c r="B507" s="88">
        <v>2011</v>
      </c>
      <c r="C507" s="89" t="s">
        <v>2542</v>
      </c>
      <c r="D507" s="88" t="s">
        <v>160</v>
      </c>
      <c r="F507" s="70">
        <f t="shared" si="14"/>
        <v>2011</v>
      </c>
      <c r="G507" s="70" t="s">
        <v>159</v>
      </c>
      <c r="H507" s="70" t="str">
        <f t="shared" si="15"/>
        <v>BQR</v>
      </c>
    </row>
    <row r="508" spans="1:8" ht="15" x14ac:dyDescent="0.25">
      <c r="A508" s="88" t="s">
        <v>2495</v>
      </c>
      <c r="B508" s="88">
        <v>2011</v>
      </c>
      <c r="C508" s="89" t="s">
        <v>2541</v>
      </c>
      <c r="D508" s="88" t="s">
        <v>160</v>
      </c>
      <c r="F508" s="70">
        <f t="shared" si="14"/>
        <v>2011</v>
      </c>
      <c r="G508" s="70" t="s">
        <v>159</v>
      </c>
      <c r="H508" s="70" t="str">
        <f t="shared" si="15"/>
        <v>BQR</v>
      </c>
    </row>
    <row r="509" spans="1:8" ht="15" x14ac:dyDescent="0.25">
      <c r="A509" s="88" t="s">
        <v>2495</v>
      </c>
      <c r="B509" s="88">
        <v>2011</v>
      </c>
      <c r="C509" s="89" t="s">
        <v>2540</v>
      </c>
      <c r="D509" s="88" t="s">
        <v>160</v>
      </c>
      <c r="F509" s="70">
        <f t="shared" si="14"/>
        <v>2011</v>
      </c>
      <c r="G509" s="70" t="s">
        <v>159</v>
      </c>
      <c r="H509" s="70" t="str">
        <f t="shared" si="15"/>
        <v>BQR</v>
      </c>
    </row>
    <row r="510" spans="1:8" ht="15" x14ac:dyDescent="0.25">
      <c r="A510" s="88" t="s">
        <v>2495</v>
      </c>
      <c r="B510" s="88">
        <v>2011</v>
      </c>
      <c r="C510" s="89" t="s">
        <v>2539</v>
      </c>
      <c r="D510" s="88" t="s">
        <v>160</v>
      </c>
      <c r="F510" s="70">
        <f t="shared" si="14"/>
        <v>2011</v>
      </c>
      <c r="G510" s="70" t="s">
        <v>159</v>
      </c>
      <c r="H510" s="70" t="str">
        <f t="shared" si="15"/>
        <v>BQR</v>
      </c>
    </row>
    <row r="511" spans="1:8" ht="15" x14ac:dyDescent="0.25">
      <c r="A511" s="88" t="s">
        <v>2495</v>
      </c>
      <c r="B511" s="88">
        <v>2011</v>
      </c>
      <c r="C511" s="89" t="s">
        <v>2538</v>
      </c>
      <c r="D511" s="88" t="s">
        <v>160</v>
      </c>
      <c r="F511" s="70">
        <f t="shared" si="14"/>
        <v>2011</v>
      </c>
      <c r="G511" s="70" t="s">
        <v>159</v>
      </c>
      <c r="H511" s="70" t="str">
        <f t="shared" si="15"/>
        <v>BQR</v>
      </c>
    </row>
    <row r="512" spans="1:8" ht="15" x14ac:dyDescent="0.25">
      <c r="A512" s="88" t="s">
        <v>2495</v>
      </c>
      <c r="B512" s="88">
        <v>2011</v>
      </c>
      <c r="C512" s="89" t="s">
        <v>2537</v>
      </c>
      <c r="D512" s="88" t="s">
        <v>160</v>
      </c>
      <c r="F512" s="70">
        <f t="shared" si="14"/>
        <v>2011</v>
      </c>
      <c r="G512" s="70" t="s">
        <v>159</v>
      </c>
      <c r="H512" s="70" t="str">
        <f t="shared" si="15"/>
        <v>BQR</v>
      </c>
    </row>
    <row r="513" spans="1:8" ht="15" x14ac:dyDescent="0.25">
      <c r="A513" s="88" t="s">
        <v>2495</v>
      </c>
      <c r="B513" s="88">
        <v>2011</v>
      </c>
      <c r="C513" s="89" t="s">
        <v>2536</v>
      </c>
      <c r="D513" s="88" t="s">
        <v>160</v>
      </c>
      <c r="F513" s="70">
        <f t="shared" si="14"/>
        <v>2011</v>
      </c>
      <c r="G513" s="70" t="s">
        <v>159</v>
      </c>
      <c r="H513" s="70" t="str">
        <f t="shared" si="15"/>
        <v>BQR</v>
      </c>
    </row>
    <row r="514" spans="1:8" ht="15" x14ac:dyDescent="0.25">
      <c r="A514" s="88" t="s">
        <v>2495</v>
      </c>
      <c r="B514" s="88">
        <v>2011</v>
      </c>
      <c r="C514" s="89" t="s">
        <v>2535</v>
      </c>
      <c r="D514" s="88" t="s">
        <v>160</v>
      </c>
      <c r="F514" s="70">
        <f t="shared" si="14"/>
        <v>2011</v>
      </c>
      <c r="G514" s="70" t="s">
        <v>159</v>
      </c>
      <c r="H514" s="70" t="str">
        <f t="shared" si="15"/>
        <v>BQR</v>
      </c>
    </row>
    <row r="515" spans="1:8" ht="15" x14ac:dyDescent="0.25">
      <c r="A515" s="88" t="s">
        <v>2495</v>
      </c>
      <c r="B515" s="88">
        <v>2011</v>
      </c>
      <c r="C515" s="89" t="s">
        <v>2534</v>
      </c>
      <c r="D515" s="88" t="s">
        <v>160</v>
      </c>
      <c r="F515" s="70">
        <f t="shared" si="14"/>
        <v>2011</v>
      </c>
      <c r="G515" s="70" t="s">
        <v>159</v>
      </c>
      <c r="H515" s="70" t="str">
        <f t="shared" si="15"/>
        <v>BQR</v>
      </c>
    </row>
    <row r="516" spans="1:8" ht="15" x14ac:dyDescent="0.25">
      <c r="A516" s="78" t="s">
        <v>2495</v>
      </c>
      <c r="B516" s="88">
        <v>2012</v>
      </c>
      <c r="C516" s="95" t="s">
        <v>2533</v>
      </c>
      <c r="D516" s="96" t="s">
        <v>160</v>
      </c>
      <c r="F516" s="70">
        <f t="shared" si="14"/>
        <v>2012</v>
      </c>
      <c r="G516" s="70" t="s">
        <v>159</v>
      </c>
      <c r="H516" s="70" t="str">
        <f t="shared" si="15"/>
        <v>BQR</v>
      </c>
    </row>
    <row r="517" spans="1:8" ht="15" x14ac:dyDescent="0.25">
      <c r="A517" s="78" t="s">
        <v>2495</v>
      </c>
      <c r="B517" s="88">
        <v>2012</v>
      </c>
      <c r="C517" s="95" t="s">
        <v>2532</v>
      </c>
      <c r="D517" s="96" t="s">
        <v>160</v>
      </c>
      <c r="F517" s="70">
        <f t="shared" si="14"/>
        <v>2012</v>
      </c>
      <c r="G517" s="70" t="s">
        <v>159</v>
      </c>
      <c r="H517" s="70" t="str">
        <f t="shared" si="15"/>
        <v>BQR</v>
      </c>
    </row>
    <row r="518" spans="1:8" ht="15" x14ac:dyDescent="0.25">
      <c r="A518" s="78" t="s">
        <v>2495</v>
      </c>
      <c r="B518" s="88">
        <v>2012</v>
      </c>
      <c r="C518" s="95" t="s">
        <v>2531</v>
      </c>
      <c r="D518" s="96" t="s">
        <v>160</v>
      </c>
      <c r="F518" s="70">
        <f t="shared" si="14"/>
        <v>2012</v>
      </c>
      <c r="G518" s="70" t="s">
        <v>159</v>
      </c>
      <c r="H518" s="70" t="str">
        <f t="shared" si="15"/>
        <v>BQR</v>
      </c>
    </row>
    <row r="519" spans="1:8" ht="15" x14ac:dyDescent="0.25">
      <c r="A519" s="78" t="s">
        <v>2495</v>
      </c>
      <c r="B519" s="88">
        <v>2012</v>
      </c>
      <c r="C519" s="95" t="s">
        <v>2530</v>
      </c>
      <c r="D519" s="96" t="s">
        <v>160</v>
      </c>
      <c r="F519" s="70">
        <f t="shared" si="14"/>
        <v>2012</v>
      </c>
      <c r="G519" s="70" t="s">
        <v>159</v>
      </c>
      <c r="H519" s="70" t="str">
        <f t="shared" si="15"/>
        <v>BQR</v>
      </c>
    </row>
    <row r="520" spans="1:8" ht="15" x14ac:dyDescent="0.25">
      <c r="A520" s="78" t="s">
        <v>2495</v>
      </c>
      <c r="B520" s="88">
        <v>2012</v>
      </c>
      <c r="C520" s="95" t="s">
        <v>2529</v>
      </c>
      <c r="D520" s="96" t="s">
        <v>160</v>
      </c>
      <c r="F520" s="70">
        <f t="shared" ref="F520:F583" si="16">+B520</f>
        <v>2012</v>
      </c>
      <c r="G520" s="70" t="s">
        <v>159</v>
      </c>
      <c r="H520" s="70" t="str">
        <f t="shared" ref="H520:H583" si="17">A520</f>
        <v>BQR</v>
      </c>
    </row>
    <row r="521" spans="1:8" ht="15" x14ac:dyDescent="0.25">
      <c r="A521" s="78" t="s">
        <v>2495</v>
      </c>
      <c r="B521" s="88">
        <v>2012</v>
      </c>
      <c r="C521" s="95" t="s">
        <v>2528</v>
      </c>
      <c r="D521" s="96" t="s">
        <v>160</v>
      </c>
      <c r="F521" s="70">
        <f t="shared" si="16"/>
        <v>2012</v>
      </c>
      <c r="G521" s="70" t="s">
        <v>159</v>
      </c>
      <c r="H521" s="70" t="str">
        <f t="shared" si="17"/>
        <v>BQR</v>
      </c>
    </row>
    <row r="522" spans="1:8" ht="15" x14ac:dyDescent="0.25">
      <c r="A522" s="78" t="s">
        <v>2495</v>
      </c>
      <c r="B522" s="88">
        <v>2012</v>
      </c>
      <c r="C522" s="95" t="s">
        <v>2527</v>
      </c>
      <c r="D522" s="96" t="s">
        <v>160</v>
      </c>
      <c r="F522" s="70">
        <f t="shared" si="16"/>
        <v>2012</v>
      </c>
      <c r="G522" s="70" t="s">
        <v>159</v>
      </c>
      <c r="H522" s="70" t="str">
        <f t="shared" si="17"/>
        <v>BQR</v>
      </c>
    </row>
    <row r="523" spans="1:8" ht="15" x14ac:dyDescent="0.25">
      <c r="A523" s="78" t="s">
        <v>2495</v>
      </c>
      <c r="B523" s="88">
        <v>2012</v>
      </c>
      <c r="C523" s="95" t="s">
        <v>2526</v>
      </c>
      <c r="D523" s="96" t="s">
        <v>160</v>
      </c>
      <c r="F523" s="70">
        <f t="shared" si="16"/>
        <v>2012</v>
      </c>
      <c r="G523" s="70" t="s">
        <v>159</v>
      </c>
      <c r="H523" s="70" t="str">
        <f t="shared" si="17"/>
        <v>BQR</v>
      </c>
    </row>
    <row r="524" spans="1:8" ht="15" x14ac:dyDescent="0.25">
      <c r="A524" s="78" t="s">
        <v>2495</v>
      </c>
      <c r="B524" s="88">
        <v>2012</v>
      </c>
      <c r="C524" s="95" t="s">
        <v>2525</v>
      </c>
      <c r="D524" s="96" t="s">
        <v>160</v>
      </c>
      <c r="F524" s="70">
        <f t="shared" si="16"/>
        <v>2012</v>
      </c>
      <c r="G524" s="70" t="s">
        <v>159</v>
      </c>
      <c r="H524" s="70" t="str">
        <f t="shared" si="17"/>
        <v>BQR</v>
      </c>
    </row>
    <row r="525" spans="1:8" ht="15" x14ac:dyDescent="0.25">
      <c r="A525" s="78" t="s">
        <v>2495</v>
      </c>
      <c r="B525" s="88">
        <v>2012</v>
      </c>
      <c r="C525" s="95" t="s">
        <v>2524</v>
      </c>
      <c r="D525" s="96" t="s">
        <v>160</v>
      </c>
      <c r="F525" s="70">
        <f t="shared" si="16"/>
        <v>2012</v>
      </c>
      <c r="G525" s="70" t="s">
        <v>159</v>
      </c>
      <c r="H525" s="70" t="str">
        <f t="shared" si="17"/>
        <v>BQR</v>
      </c>
    </row>
    <row r="526" spans="1:8" ht="15" x14ac:dyDescent="0.25">
      <c r="A526" s="78" t="s">
        <v>2495</v>
      </c>
      <c r="B526" s="88">
        <v>2012</v>
      </c>
      <c r="C526" s="95" t="s">
        <v>2523</v>
      </c>
      <c r="D526" s="96" t="s">
        <v>160</v>
      </c>
      <c r="F526" s="70">
        <f t="shared" si="16"/>
        <v>2012</v>
      </c>
      <c r="G526" s="70" t="s">
        <v>159</v>
      </c>
      <c r="H526" s="70" t="str">
        <f t="shared" si="17"/>
        <v>BQR</v>
      </c>
    </row>
    <row r="527" spans="1:8" ht="15" x14ac:dyDescent="0.25">
      <c r="A527" s="88" t="s">
        <v>2495</v>
      </c>
      <c r="B527" s="88">
        <v>2013</v>
      </c>
      <c r="C527" s="76" t="s">
        <v>2522</v>
      </c>
      <c r="D527" s="89" t="s">
        <v>160</v>
      </c>
      <c r="F527" s="70">
        <f t="shared" si="16"/>
        <v>2013</v>
      </c>
      <c r="G527" s="70" t="s">
        <v>159</v>
      </c>
      <c r="H527" s="70" t="str">
        <f t="shared" si="17"/>
        <v>BQR</v>
      </c>
    </row>
    <row r="528" spans="1:8" ht="15" x14ac:dyDescent="0.25">
      <c r="A528" s="88" t="s">
        <v>2495</v>
      </c>
      <c r="B528" s="88">
        <v>2013</v>
      </c>
      <c r="C528" s="76" t="s">
        <v>2521</v>
      </c>
      <c r="D528" s="89" t="s">
        <v>160</v>
      </c>
      <c r="F528" s="70">
        <f t="shared" si="16"/>
        <v>2013</v>
      </c>
      <c r="G528" s="70" t="s">
        <v>159</v>
      </c>
      <c r="H528" s="70" t="str">
        <f t="shared" si="17"/>
        <v>BQR</v>
      </c>
    </row>
    <row r="529" spans="1:8" ht="15" x14ac:dyDescent="0.25">
      <c r="A529" s="88" t="s">
        <v>2495</v>
      </c>
      <c r="B529" s="88">
        <v>2013</v>
      </c>
      <c r="C529" s="76" t="s">
        <v>2520</v>
      </c>
      <c r="D529" s="89" t="s">
        <v>160</v>
      </c>
      <c r="F529" s="70">
        <f t="shared" si="16"/>
        <v>2013</v>
      </c>
      <c r="G529" s="70" t="s">
        <v>159</v>
      </c>
      <c r="H529" s="70" t="str">
        <f t="shared" si="17"/>
        <v>BQR</v>
      </c>
    </row>
    <row r="530" spans="1:8" ht="15" x14ac:dyDescent="0.25">
      <c r="A530" s="88" t="s">
        <v>2495</v>
      </c>
      <c r="B530" s="88">
        <v>2013</v>
      </c>
      <c r="C530" s="76" t="s">
        <v>2519</v>
      </c>
      <c r="D530" s="89" t="s">
        <v>160</v>
      </c>
      <c r="F530" s="70">
        <f t="shared" si="16"/>
        <v>2013</v>
      </c>
      <c r="G530" s="70" t="s">
        <v>159</v>
      </c>
      <c r="H530" s="70" t="str">
        <f t="shared" si="17"/>
        <v>BQR</v>
      </c>
    </row>
    <row r="531" spans="1:8" ht="15" x14ac:dyDescent="0.25">
      <c r="A531" s="88" t="s">
        <v>2495</v>
      </c>
      <c r="B531" s="88">
        <v>2013</v>
      </c>
      <c r="C531" s="76" t="s">
        <v>2518</v>
      </c>
      <c r="D531" s="89" t="s">
        <v>160</v>
      </c>
      <c r="F531" s="70">
        <f t="shared" si="16"/>
        <v>2013</v>
      </c>
      <c r="G531" s="70" t="s">
        <v>159</v>
      </c>
      <c r="H531" s="70" t="str">
        <f t="shared" si="17"/>
        <v>BQR</v>
      </c>
    </row>
    <row r="532" spans="1:8" ht="15" x14ac:dyDescent="0.25">
      <c r="A532" s="88" t="s">
        <v>2495</v>
      </c>
      <c r="B532" s="88">
        <v>2013</v>
      </c>
      <c r="C532" s="76" t="s">
        <v>2517</v>
      </c>
      <c r="D532" s="89" t="s">
        <v>160</v>
      </c>
      <c r="F532" s="70">
        <f t="shared" si="16"/>
        <v>2013</v>
      </c>
      <c r="G532" s="70" t="s">
        <v>159</v>
      </c>
      <c r="H532" s="70" t="str">
        <f t="shared" si="17"/>
        <v>BQR</v>
      </c>
    </row>
    <row r="533" spans="1:8" ht="15" x14ac:dyDescent="0.25">
      <c r="A533" s="88" t="s">
        <v>2495</v>
      </c>
      <c r="B533" s="88">
        <v>2013</v>
      </c>
      <c r="C533" s="76" t="s">
        <v>2516</v>
      </c>
      <c r="D533" s="89" t="s">
        <v>160</v>
      </c>
      <c r="F533" s="70">
        <f t="shared" si="16"/>
        <v>2013</v>
      </c>
      <c r="G533" s="70" t="s">
        <v>159</v>
      </c>
      <c r="H533" s="70" t="str">
        <f t="shared" si="17"/>
        <v>BQR</v>
      </c>
    </row>
    <row r="534" spans="1:8" ht="15" x14ac:dyDescent="0.25">
      <c r="A534" s="88" t="s">
        <v>2495</v>
      </c>
      <c r="B534" s="88">
        <v>2013</v>
      </c>
      <c r="C534" s="76" t="s">
        <v>2515</v>
      </c>
      <c r="D534" s="89" t="s">
        <v>160</v>
      </c>
      <c r="F534" s="70">
        <f t="shared" si="16"/>
        <v>2013</v>
      </c>
      <c r="G534" s="70" t="s">
        <v>159</v>
      </c>
      <c r="H534" s="70" t="str">
        <f t="shared" si="17"/>
        <v>BQR</v>
      </c>
    </row>
    <row r="535" spans="1:8" ht="15" x14ac:dyDescent="0.25">
      <c r="A535" s="88" t="s">
        <v>2495</v>
      </c>
      <c r="B535" s="88">
        <v>2014</v>
      </c>
      <c r="C535" s="76" t="s">
        <v>2514</v>
      </c>
      <c r="D535" s="89" t="s">
        <v>160</v>
      </c>
      <c r="F535" s="70">
        <f t="shared" si="16"/>
        <v>2014</v>
      </c>
      <c r="G535" s="70" t="s">
        <v>159</v>
      </c>
      <c r="H535" s="70" t="str">
        <f t="shared" si="17"/>
        <v>BQR</v>
      </c>
    </row>
    <row r="536" spans="1:8" ht="15" x14ac:dyDescent="0.25">
      <c r="A536" s="88" t="s">
        <v>2495</v>
      </c>
      <c r="B536" s="88">
        <v>2014</v>
      </c>
      <c r="C536" s="76" t="s">
        <v>2513</v>
      </c>
      <c r="D536" s="89" t="s">
        <v>160</v>
      </c>
      <c r="F536" s="70">
        <f t="shared" si="16"/>
        <v>2014</v>
      </c>
      <c r="G536" s="70" t="s">
        <v>159</v>
      </c>
      <c r="H536" s="70" t="str">
        <f t="shared" si="17"/>
        <v>BQR</v>
      </c>
    </row>
    <row r="537" spans="1:8" ht="15" x14ac:dyDescent="0.25">
      <c r="A537" s="88" t="s">
        <v>2495</v>
      </c>
      <c r="B537" s="88">
        <v>2014</v>
      </c>
      <c r="C537" s="76" t="s">
        <v>2512</v>
      </c>
      <c r="D537" s="89" t="s">
        <v>160</v>
      </c>
      <c r="F537" s="70">
        <f t="shared" si="16"/>
        <v>2014</v>
      </c>
      <c r="G537" s="70" t="s">
        <v>159</v>
      </c>
      <c r="H537" s="70" t="str">
        <f t="shared" si="17"/>
        <v>BQR</v>
      </c>
    </row>
    <row r="538" spans="1:8" ht="15" x14ac:dyDescent="0.25">
      <c r="A538" s="88" t="s">
        <v>2495</v>
      </c>
      <c r="B538" s="88">
        <v>2014</v>
      </c>
      <c r="C538" s="76" t="s">
        <v>2511</v>
      </c>
      <c r="D538" s="89" t="s">
        <v>160</v>
      </c>
      <c r="F538" s="70">
        <f t="shared" si="16"/>
        <v>2014</v>
      </c>
      <c r="G538" s="70" t="s">
        <v>159</v>
      </c>
      <c r="H538" s="70" t="str">
        <f t="shared" si="17"/>
        <v>BQR</v>
      </c>
    </row>
    <row r="539" spans="1:8" ht="15" x14ac:dyDescent="0.25">
      <c r="A539" s="88" t="s">
        <v>2495</v>
      </c>
      <c r="B539" s="88">
        <v>2015</v>
      </c>
      <c r="C539" s="76" t="s">
        <v>2510</v>
      </c>
      <c r="D539" s="89" t="s">
        <v>160</v>
      </c>
      <c r="F539" s="70">
        <f t="shared" si="16"/>
        <v>2015</v>
      </c>
      <c r="G539" s="70" t="s">
        <v>159</v>
      </c>
      <c r="H539" s="70" t="str">
        <f t="shared" si="17"/>
        <v>BQR</v>
      </c>
    </row>
    <row r="540" spans="1:8" ht="15" x14ac:dyDescent="0.25">
      <c r="A540" s="88" t="s">
        <v>2495</v>
      </c>
      <c r="B540" s="88">
        <v>2015</v>
      </c>
      <c r="C540" s="76" t="s">
        <v>2509</v>
      </c>
      <c r="D540" s="89" t="s">
        <v>160</v>
      </c>
      <c r="F540" s="70">
        <f t="shared" si="16"/>
        <v>2015</v>
      </c>
      <c r="G540" s="70" t="s">
        <v>159</v>
      </c>
      <c r="H540" s="70" t="str">
        <f t="shared" si="17"/>
        <v>BQR</v>
      </c>
    </row>
    <row r="541" spans="1:8" ht="15" x14ac:dyDescent="0.25">
      <c r="A541" s="88" t="s">
        <v>2495</v>
      </c>
      <c r="B541" s="88">
        <v>2015</v>
      </c>
      <c r="C541" s="76" t="s">
        <v>2508</v>
      </c>
      <c r="D541" s="89" t="s">
        <v>160</v>
      </c>
      <c r="F541" s="70">
        <f t="shared" si="16"/>
        <v>2015</v>
      </c>
      <c r="G541" s="70" t="s">
        <v>159</v>
      </c>
      <c r="H541" s="70" t="str">
        <f t="shared" si="17"/>
        <v>BQR</v>
      </c>
    </row>
    <row r="542" spans="1:8" ht="15" x14ac:dyDescent="0.25">
      <c r="A542" s="88" t="s">
        <v>2495</v>
      </c>
      <c r="B542" s="88">
        <v>2015</v>
      </c>
      <c r="C542" s="76" t="s">
        <v>2507</v>
      </c>
      <c r="D542" s="89" t="s">
        <v>160</v>
      </c>
      <c r="F542" s="70">
        <f t="shared" si="16"/>
        <v>2015</v>
      </c>
      <c r="G542" s="70" t="s">
        <v>159</v>
      </c>
      <c r="H542" s="70" t="str">
        <f t="shared" si="17"/>
        <v>BQR</v>
      </c>
    </row>
    <row r="543" spans="1:8" ht="15" x14ac:dyDescent="0.25">
      <c r="A543" s="88" t="s">
        <v>2495</v>
      </c>
      <c r="B543" s="88">
        <v>2016</v>
      </c>
      <c r="C543" s="76" t="s">
        <v>2506</v>
      </c>
      <c r="D543" s="89" t="s">
        <v>160</v>
      </c>
      <c r="F543" s="70">
        <f t="shared" si="16"/>
        <v>2016</v>
      </c>
      <c r="G543" s="70" t="s">
        <v>159</v>
      </c>
      <c r="H543" s="70" t="str">
        <f t="shared" si="17"/>
        <v>BQR</v>
      </c>
    </row>
    <row r="544" spans="1:8" ht="15" x14ac:dyDescent="0.25">
      <c r="A544" s="88" t="s">
        <v>2495</v>
      </c>
      <c r="B544" s="88">
        <v>2016</v>
      </c>
      <c r="C544" s="76" t="s">
        <v>2505</v>
      </c>
      <c r="D544" s="89" t="s">
        <v>160</v>
      </c>
      <c r="F544" s="70">
        <f t="shared" si="16"/>
        <v>2016</v>
      </c>
      <c r="G544" s="70" t="s">
        <v>159</v>
      </c>
      <c r="H544" s="70" t="str">
        <f t="shared" si="17"/>
        <v>BQR</v>
      </c>
    </row>
    <row r="545" spans="1:8" ht="15" x14ac:dyDescent="0.25">
      <c r="A545" s="88" t="s">
        <v>2495</v>
      </c>
      <c r="B545" s="88">
        <v>2016</v>
      </c>
      <c r="C545" s="76" t="s">
        <v>2504</v>
      </c>
      <c r="D545" s="89" t="s">
        <v>160</v>
      </c>
      <c r="F545" s="70">
        <f t="shared" si="16"/>
        <v>2016</v>
      </c>
      <c r="G545" s="70" t="s">
        <v>159</v>
      </c>
      <c r="H545" s="70" t="str">
        <f t="shared" si="17"/>
        <v>BQR</v>
      </c>
    </row>
    <row r="546" spans="1:8" ht="15" x14ac:dyDescent="0.25">
      <c r="A546" s="88" t="s">
        <v>2495</v>
      </c>
      <c r="B546" s="88">
        <v>2016</v>
      </c>
      <c r="C546" s="76" t="s">
        <v>2503</v>
      </c>
      <c r="D546" s="89" t="s">
        <v>160</v>
      </c>
      <c r="F546" s="70">
        <f t="shared" si="16"/>
        <v>2016</v>
      </c>
      <c r="G546" s="70" t="s">
        <v>159</v>
      </c>
      <c r="H546" s="70" t="str">
        <f t="shared" si="17"/>
        <v>BQR</v>
      </c>
    </row>
    <row r="547" spans="1:8" ht="15" x14ac:dyDescent="0.25">
      <c r="A547" s="78" t="s">
        <v>2495</v>
      </c>
      <c r="B547" s="78">
        <v>2017</v>
      </c>
      <c r="C547" s="92" t="s">
        <v>2502</v>
      </c>
      <c r="D547" s="91" t="s">
        <v>160</v>
      </c>
      <c r="F547" s="70">
        <f t="shared" si="16"/>
        <v>2017</v>
      </c>
      <c r="G547" s="70" t="s">
        <v>159</v>
      </c>
      <c r="H547" s="70" t="str">
        <f t="shared" si="17"/>
        <v>BQR</v>
      </c>
    </row>
    <row r="548" spans="1:8" ht="15" x14ac:dyDescent="0.25">
      <c r="A548" s="78" t="s">
        <v>2495</v>
      </c>
      <c r="B548" s="78">
        <v>2017</v>
      </c>
      <c r="C548" s="92" t="s">
        <v>2501</v>
      </c>
      <c r="D548" s="91" t="s">
        <v>160</v>
      </c>
      <c r="F548" s="70">
        <f t="shared" si="16"/>
        <v>2017</v>
      </c>
      <c r="G548" s="70" t="s">
        <v>159</v>
      </c>
      <c r="H548" s="70" t="str">
        <f t="shared" si="17"/>
        <v>BQR</v>
      </c>
    </row>
    <row r="549" spans="1:8" ht="15" x14ac:dyDescent="0.25">
      <c r="A549" s="78" t="s">
        <v>2495</v>
      </c>
      <c r="B549" s="78">
        <v>2017</v>
      </c>
      <c r="C549" s="92" t="s">
        <v>2500</v>
      </c>
      <c r="D549" s="91" t="s">
        <v>160</v>
      </c>
      <c r="F549" s="70">
        <f t="shared" si="16"/>
        <v>2017</v>
      </c>
      <c r="G549" s="70" t="s">
        <v>159</v>
      </c>
      <c r="H549" s="70" t="str">
        <f t="shared" si="17"/>
        <v>BQR</v>
      </c>
    </row>
    <row r="550" spans="1:8" ht="15" x14ac:dyDescent="0.25">
      <c r="A550" s="78" t="s">
        <v>2495</v>
      </c>
      <c r="B550" s="78">
        <v>2017</v>
      </c>
      <c r="C550" s="92" t="s">
        <v>2499</v>
      </c>
      <c r="D550" s="91" t="s">
        <v>160</v>
      </c>
      <c r="F550" s="70">
        <f t="shared" si="16"/>
        <v>2017</v>
      </c>
      <c r="G550" s="70" t="s">
        <v>159</v>
      </c>
      <c r="H550" s="70" t="str">
        <f t="shared" si="17"/>
        <v>BQR</v>
      </c>
    </row>
    <row r="551" spans="1:8" ht="15" x14ac:dyDescent="0.25">
      <c r="A551" s="81" t="s">
        <v>2495</v>
      </c>
      <c r="B551" s="81">
        <v>2018</v>
      </c>
      <c r="C551" s="90" t="s">
        <v>2498</v>
      </c>
      <c r="D551" s="71" t="s">
        <v>160</v>
      </c>
      <c r="F551" s="70">
        <f t="shared" si="16"/>
        <v>2018</v>
      </c>
      <c r="G551" s="70" t="s">
        <v>159</v>
      </c>
      <c r="H551" s="70" t="str">
        <f t="shared" si="17"/>
        <v>BQR</v>
      </c>
    </row>
    <row r="552" spans="1:8" ht="15" x14ac:dyDescent="0.25">
      <c r="A552" s="81" t="s">
        <v>2495</v>
      </c>
      <c r="B552" s="81">
        <v>2018</v>
      </c>
      <c r="C552" s="90" t="s">
        <v>2497</v>
      </c>
      <c r="D552" s="71" t="s">
        <v>160</v>
      </c>
      <c r="F552" s="70">
        <f t="shared" si="16"/>
        <v>2018</v>
      </c>
      <c r="G552" s="70" t="s">
        <v>159</v>
      </c>
      <c r="H552" s="70" t="str">
        <f t="shared" si="17"/>
        <v>BQR</v>
      </c>
    </row>
    <row r="553" spans="1:8" ht="15" x14ac:dyDescent="0.25">
      <c r="A553" s="81" t="s">
        <v>2495</v>
      </c>
      <c r="B553" s="81">
        <v>2018</v>
      </c>
      <c r="C553" s="90" t="s">
        <v>2496</v>
      </c>
      <c r="D553" s="71" t="s">
        <v>160</v>
      </c>
      <c r="F553" s="70">
        <f t="shared" si="16"/>
        <v>2018</v>
      </c>
      <c r="G553" s="70" t="s">
        <v>159</v>
      </c>
      <c r="H553" s="70" t="str">
        <f t="shared" si="17"/>
        <v>BQR</v>
      </c>
    </row>
    <row r="554" spans="1:8" ht="15" x14ac:dyDescent="0.25">
      <c r="A554" s="81" t="s">
        <v>2495</v>
      </c>
      <c r="B554" s="81">
        <v>2018</v>
      </c>
      <c r="C554" s="90" t="s">
        <v>2494</v>
      </c>
      <c r="D554" s="71" t="s">
        <v>160</v>
      </c>
      <c r="F554" s="70">
        <f t="shared" si="16"/>
        <v>2018</v>
      </c>
      <c r="G554" s="70" t="s">
        <v>159</v>
      </c>
      <c r="H554" s="70" t="str">
        <f t="shared" si="17"/>
        <v>BQR</v>
      </c>
    </row>
    <row r="555" spans="1:8" ht="15" x14ac:dyDescent="0.25">
      <c r="A555" s="88" t="s">
        <v>2390</v>
      </c>
      <c r="B555" s="88">
        <v>1981</v>
      </c>
      <c r="C555" s="89" t="s">
        <v>2493</v>
      </c>
      <c r="D555" s="88" t="s">
        <v>160</v>
      </c>
      <c r="F555" s="70">
        <f t="shared" si="16"/>
        <v>1981</v>
      </c>
      <c r="G555" s="70" t="s">
        <v>159</v>
      </c>
      <c r="H555" s="70" t="str">
        <f t="shared" si="17"/>
        <v>CHI</v>
      </c>
    </row>
    <row r="556" spans="1:8" ht="15" x14ac:dyDescent="0.25">
      <c r="A556" s="88" t="s">
        <v>2390</v>
      </c>
      <c r="B556" s="88">
        <v>1982</v>
      </c>
      <c r="C556" s="89" t="s">
        <v>2492</v>
      </c>
      <c r="D556" s="88" t="s">
        <v>160</v>
      </c>
      <c r="F556" s="70">
        <f t="shared" si="16"/>
        <v>1982</v>
      </c>
      <c r="G556" s="70" t="s">
        <v>159</v>
      </c>
      <c r="H556" s="70" t="str">
        <f t="shared" si="17"/>
        <v>CHI</v>
      </c>
    </row>
    <row r="557" spans="1:8" ht="15" x14ac:dyDescent="0.25">
      <c r="A557" s="88" t="s">
        <v>2390</v>
      </c>
      <c r="B557" s="88">
        <v>1983</v>
      </c>
      <c r="C557" s="89" t="s">
        <v>2491</v>
      </c>
      <c r="D557" s="88" t="s">
        <v>160</v>
      </c>
      <c r="F557" s="70">
        <f t="shared" si="16"/>
        <v>1983</v>
      </c>
      <c r="G557" s="70" t="s">
        <v>159</v>
      </c>
      <c r="H557" s="70" t="str">
        <f t="shared" si="17"/>
        <v>CHI</v>
      </c>
    </row>
    <row r="558" spans="1:8" ht="15" x14ac:dyDescent="0.25">
      <c r="A558" s="88" t="s">
        <v>2390</v>
      </c>
      <c r="B558" s="88">
        <v>1983</v>
      </c>
      <c r="C558" s="89" t="s">
        <v>2490</v>
      </c>
      <c r="D558" s="88" t="s">
        <v>160</v>
      </c>
      <c r="F558" s="70">
        <f t="shared" si="16"/>
        <v>1983</v>
      </c>
      <c r="G558" s="70" t="s">
        <v>159</v>
      </c>
      <c r="H558" s="70" t="str">
        <f t="shared" si="17"/>
        <v>CHI</v>
      </c>
    </row>
    <row r="559" spans="1:8" ht="15" x14ac:dyDescent="0.25">
      <c r="A559" s="88" t="s">
        <v>2390</v>
      </c>
      <c r="B559" s="88">
        <v>1983</v>
      </c>
      <c r="C559" s="89" t="s">
        <v>2489</v>
      </c>
      <c r="D559" s="88" t="s">
        <v>160</v>
      </c>
      <c r="F559" s="70">
        <f t="shared" si="16"/>
        <v>1983</v>
      </c>
      <c r="G559" s="70" t="s">
        <v>159</v>
      </c>
      <c r="H559" s="70" t="str">
        <f t="shared" si="17"/>
        <v>CHI</v>
      </c>
    </row>
    <row r="560" spans="1:8" ht="15" x14ac:dyDescent="0.25">
      <c r="A560" s="88" t="s">
        <v>2390</v>
      </c>
      <c r="B560" s="88">
        <v>1984</v>
      </c>
      <c r="C560" s="89" t="s">
        <v>2488</v>
      </c>
      <c r="D560" s="88" t="s">
        <v>160</v>
      </c>
      <c r="F560" s="70">
        <f t="shared" si="16"/>
        <v>1984</v>
      </c>
      <c r="G560" s="70" t="s">
        <v>159</v>
      </c>
      <c r="H560" s="70" t="str">
        <f t="shared" si="17"/>
        <v>CHI</v>
      </c>
    </row>
    <row r="561" spans="1:8" ht="15" x14ac:dyDescent="0.25">
      <c r="A561" s="88" t="s">
        <v>2390</v>
      </c>
      <c r="B561" s="88">
        <v>1984</v>
      </c>
      <c r="C561" s="89" t="s">
        <v>2487</v>
      </c>
      <c r="D561" s="88" t="s">
        <v>160</v>
      </c>
      <c r="F561" s="70">
        <f t="shared" si="16"/>
        <v>1984</v>
      </c>
      <c r="G561" s="70" t="s">
        <v>159</v>
      </c>
      <c r="H561" s="70" t="str">
        <f t="shared" si="17"/>
        <v>CHI</v>
      </c>
    </row>
    <row r="562" spans="1:8" ht="15" x14ac:dyDescent="0.25">
      <c r="A562" s="88" t="s">
        <v>2390</v>
      </c>
      <c r="B562" s="88">
        <v>1984</v>
      </c>
      <c r="C562" s="89" t="s">
        <v>2486</v>
      </c>
      <c r="D562" s="88" t="s">
        <v>160</v>
      </c>
      <c r="F562" s="70">
        <f t="shared" si="16"/>
        <v>1984</v>
      </c>
      <c r="G562" s="70" t="s">
        <v>159</v>
      </c>
      <c r="H562" s="70" t="str">
        <f t="shared" si="17"/>
        <v>CHI</v>
      </c>
    </row>
    <row r="563" spans="1:8" ht="15" x14ac:dyDescent="0.25">
      <c r="A563" s="88" t="s">
        <v>2390</v>
      </c>
      <c r="B563" s="88">
        <v>1984</v>
      </c>
      <c r="C563" s="89" t="s">
        <v>2485</v>
      </c>
      <c r="D563" s="88" t="s">
        <v>160</v>
      </c>
      <c r="F563" s="70">
        <f t="shared" si="16"/>
        <v>1984</v>
      </c>
      <c r="G563" s="70" t="s">
        <v>159</v>
      </c>
      <c r="H563" s="70" t="str">
        <f t="shared" si="17"/>
        <v>CHI</v>
      </c>
    </row>
    <row r="564" spans="1:8" ht="15" x14ac:dyDescent="0.25">
      <c r="A564" s="88" t="s">
        <v>2390</v>
      </c>
      <c r="B564" s="88">
        <v>1984</v>
      </c>
      <c r="C564" s="89" t="s">
        <v>2484</v>
      </c>
      <c r="D564" s="88" t="s">
        <v>160</v>
      </c>
      <c r="F564" s="70">
        <f t="shared" si="16"/>
        <v>1984</v>
      </c>
      <c r="G564" s="70" t="s">
        <v>159</v>
      </c>
      <c r="H564" s="70" t="str">
        <f t="shared" si="17"/>
        <v>CHI</v>
      </c>
    </row>
    <row r="565" spans="1:8" ht="15" x14ac:dyDescent="0.25">
      <c r="A565" s="88" t="s">
        <v>2390</v>
      </c>
      <c r="B565" s="88">
        <v>1984</v>
      </c>
      <c r="C565" s="89" t="s">
        <v>2483</v>
      </c>
      <c r="D565" s="88" t="s">
        <v>160</v>
      </c>
      <c r="F565" s="70">
        <f t="shared" si="16"/>
        <v>1984</v>
      </c>
      <c r="G565" s="70" t="s">
        <v>159</v>
      </c>
      <c r="H565" s="70" t="str">
        <f t="shared" si="17"/>
        <v>CHI</v>
      </c>
    </row>
    <row r="566" spans="1:8" ht="15" x14ac:dyDescent="0.25">
      <c r="A566" s="88" t="s">
        <v>2390</v>
      </c>
      <c r="B566" s="88">
        <v>1985</v>
      </c>
      <c r="C566" s="89" t="s">
        <v>2482</v>
      </c>
      <c r="D566" s="88" t="s">
        <v>160</v>
      </c>
      <c r="F566" s="70">
        <f t="shared" si="16"/>
        <v>1985</v>
      </c>
      <c r="G566" s="70" t="s">
        <v>159</v>
      </c>
      <c r="H566" s="70" t="str">
        <f t="shared" si="17"/>
        <v>CHI</v>
      </c>
    </row>
    <row r="567" spans="1:8" ht="15" x14ac:dyDescent="0.25">
      <c r="A567" s="88" t="s">
        <v>2390</v>
      </c>
      <c r="B567" s="88">
        <v>1986</v>
      </c>
      <c r="C567" s="89" t="s">
        <v>2481</v>
      </c>
      <c r="D567" s="88" t="s">
        <v>160</v>
      </c>
      <c r="F567" s="70">
        <f t="shared" si="16"/>
        <v>1986</v>
      </c>
      <c r="G567" s="70" t="s">
        <v>159</v>
      </c>
      <c r="H567" s="70" t="str">
        <f t="shared" si="17"/>
        <v>CHI</v>
      </c>
    </row>
    <row r="568" spans="1:8" ht="15" x14ac:dyDescent="0.25">
      <c r="A568" s="88" t="s">
        <v>2390</v>
      </c>
      <c r="B568" s="88">
        <v>1987</v>
      </c>
      <c r="C568" s="89" t="s">
        <v>2480</v>
      </c>
      <c r="D568" s="88" t="s">
        <v>160</v>
      </c>
      <c r="F568" s="70">
        <f t="shared" si="16"/>
        <v>1987</v>
      </c>
      <c r="G568" s="70" t="s">
        <v>159</v>
      </c>
      <c r="H568" s="70" t="str">
        <f t="shared" si="17"/>
        <v>CHI</v>
      </c>
    </row>
    <row r="569" spans="1:8" ht="15" x14ac:dyDescent="0.25">
      <c r="A569" s="88" t="s">
        <v>2390</v>
      </c>
      <c r="B569" s="88">
        <v>1988</v>
      </c>
      <c r="C569" s="89" t="s">
        <v>2479</v>
      </c>
      <c r="D569" s="88" t="s">
        <v>160</v>
      </c>
      <c r="F569" s="70">
        <f t="shared" si="16"/>
        <v>1988</v>
      </c>
      <c r="G569" s="70" t="s">
        <v>159</v>
      </c>
      <c r="H569" s="70" t="str">
        <f t="shared" si="17"/>
        <v>CHI</v>
      </c>
    </row>
    <row r="570" spans="1:8" ht="15" x14ac:dyDescent="0.25">
      <c r="A570" s="88" t="s">
        <v>2390</v>
      </c>
      <c r="B570" s="88">
        <v>1988</v>
      </c>
      <c r="C570" s="89" t="s">
        <v>2478</v>
      </c>
      <c r="D570" s="88" t="s">
        <v>160</v>
      </c>
      <c r="F570" s="70">
        <f t="shared" si="16"/>
        <v>1988</v>
      </c>
      <c r="G570" s="70" t="s">
        <v>159</v>
      </c>
      <c r="H570" s="70" t="str">
        <f t="shared" si="17"/>
        <v>CHI</v>
      </c>
    </row>
    <row r="571" spans="1:8" ht="15" x14ac:dyDescent="0.25">
      <c r="A571" s="88" t="s">
        <v>2390</v>
      </c>
      <c r="B571" s="88">
        <v>1989</v>
      </c>
      <c r="C571" s="89" t="s">
        <v>2477</v>
      </c>
      <c r="D571" s="88" t="s">
        <v>160</v>
      </c>
      <c r="F571" s="70">
        <f t="shared" si="16"/>
        <v>1989</v>
      </c>
      <c r="G571" s="70" t="s">
        <v>159</v>
      </c>
      <c r="H571" s="70" t="str">
        <f t="shared" si="17"/>
        <v>CHI</v>
      </c>
    </row>
    <row r="572" spans="1:8" ht="15" x14ac:dyDescent="0.25">
      <c r="A572" s="88" t="s">
        <v>2390</v>
      </c>
      <c r="B572" s="88">
        <v>1989</v>
      </c>
      <c r="C572" s="89" t="s">
        <v>2476</v>
      </c>
      <c r="D572" s="88" t="s">
        <v>160</v>
      </c>
      <c r="F572" s="70">
        <f t="shared" si="16"/>
        <v>1989</v>
      </c>
      <c r="G572" s="70" t="s">
        <v>159</v>
      </c>
      <c r="H572" s="70" t="str">
        <f t="shared" si="17"/>
        <v>CHI</v>
      </c>
    </row>
    <row r="573" spans="1:8" ht="15" x14ac:dyDescent="0.25">
      <c r="A573" s="88" t="s">
        <v>2390</v>
      </c>
      <c r="B573" s="88">
        <v>1990</v>
      </c>
      <c r="C573" s="89" t="s">
        <v>2475</v>
      </c>
      <c r="D573" s="88" t="s">
        <v>160</v>
      </c>
      <c r="F573" s="70">
        <f t="shared" si="16"/>
        <v>1990</v>
      </c>
      <c r="G573" s="70" t="s">
        <v>159</v>
      </c>
      <c r="H573" s="70" t="str">
        <f t="shared" si="17"/>
        <v>CHI</v>
      </c>
    </row>
    <row r="574" spans="1:8" ht="15" x14ac:dyDescent="0.25">
      <c r="A574" s="88" t="s">
        <v>2390</v>
      </c>
      <c r="B574" s="88">
        <v>1991</v>
      </c>
      <c r="C574" s="89" t="s">
        <v>2474</v>
      </c>
      <c r="D574" s="88" t="s">
        <v>160</v>
      </c>
      <c r="F574" s="70">
        <f t="shared" si="16"/>
        <v>1991</v>
      </c>
      <c r="G574" s="70" t="s">
        <v>159</v>
      </c>
      <c r="H574" s="70" t="str">
        <f t="shared" si="17"/>
        <v>CHI</v>
      </c>
    </row>
    <row r="575" spans="1:8" ht="15" x14ac:dyDescent="0.25">
      <c r="A575" s="88" t="s">
        <v>2390</v>
      </c>
      <c r="B575" s="88">
        <v>1991</v>
      </c>
      <c r="C575" s="89" t="s">
        <v>2473</v>
      </c>
      <c r="D575" s="88" t="s">
        <v>160</v>
      </c>
      <c r="F575" s="70">
        <f t="shared" si="16"/>
        <v>1991</v>
      </c>
      <c r="G575" s="70" t="s">
        <v>159</v>
      </c>
      <c r="H575" s="70" t="str">
        <f t="shared" si="17"/>
        <v>CHI</v>
      </c>
    </row>
    <row r="576" spans="1:8" ht="15" x14ac:dyDescent="0.25">
      <c r="A576" s="88" t="s">
        <v>2390</v>
      </c>
      <c r="B576" s="88">
        <v>1992</v>
      </c>
      <c r="C576" s="89" t="s">
        <v>2472</v>
      </c>
      <c r="D576" s="88" t="s">
        <v>160</v>
      </c>
      <c r="F576" s="70">
        <f t="shared" si="16"/>
        <v>1992</v>
      </c>
      <c r="G576" s="70" t="s">
        <v>159</v>
      </c>
      <c r="H576" s="70" t="str">
        <f t="shared" si="17"/>
        <v>CHI</v>
      </c>
    </row>
    <row r="577" spans="1:8" ht="15" x14ac:dyDescent="0.25">
      <c r="A577" s="88" t="s">
        <v>2390</v>
      </c>
      <c r="B577" s="88">
        <v>1992</v>
      </c>
      <c r="C577" s="89" t="s">
        <v>2471</v>
      </c>
      <c r="D577" s="88" t="s">
        <v>160</v>
      </c>
      <c r="F577" s="70">
        <f t="shared" si="16"/>
        <v>1992</v>
      </c>
      <c r="G577" s="70" t="s">
        <v>159</v>
      </c>
      <c r="H577" s="70" t="str">
        <f t="shared" si="17"/>
        <v>CHI</v>
      </c>
    </row>
    <row r="578" spans="1:8" ht="15" x14ac:dyDescent="0.25">
      <c r="A578" s="88" t="s">
        <v>2390</v>
      </c>
      <c r="B578" s="88">
        <v>1993</v>
      </c>
      <c r="C578" s="89" t="s">
        <v>2470</v>
      </c>
      <c r="D578" s="88" t="s">
        <v>160</v>
      </c>
      <c r="F578" s="70">
        <f t="shared" si="16"/>
        <v>1993</v>
      </c>
      <c r="G578" s="70" t="s">
        <v>159</v>
      </c>
      <c r="H578" s="70" t="str">
        <f t="shared" si="17"/>
        <v>CHI</v>
      </c>
    </row>
    <row r="579" spans="1:8" ht="15" x14ac:dyDescent="0.25">
      <c r="A579" s="88" t="s">
        <v>2390</v>
      </c>
      <c r="B579" s="88">
        <v>1993</v>
      </c>
      <c r="C579" s="89" t="s">
        <v>2469</v>
      </c>
      <c r="D579" s="88" t="s">
        <v>160</v>
      </c>
      <c r="F579" s="70">
        <f t="shared" si="16"/>
        <v>1993</v>
      </c>
      <c r="G579" s="70" t="s">
        <v>159</v>
      </c>
      <c r="H579" s="70" t="str">
        <f t="shared" si="17"/>
        <v>CHI</v>
      </c>
    </row>
    <row r="580" spans="1:8" ht="15" x14ac:dyDescent="0.25">
      <c r="A580" s="88" t="s">
        <v>2390</v>
      </c>
      <c r="B580" s="88">
        <v>1994</v>
      </c>
      <c r="C580" s="89" t="s">
        <v>2468</v>
      </c>
      <c r="D580" s="88" t="s">
        <v>160</v>
      </c>
      <c r="F580" s="70">
        <f t="shared" si="16"/>
        <v>1994</v>
      </c>
      <c r="G580" s="70" t="s">
        <v>159</v>
      </c>
      <c r="H580" s="70" t="str">
        <f t="shared" si="17"/>
        <v>CHI</v>
      </c>
    </row>
    <row r="581" spans="1:8" ht="15" x14ac:dyDescent="0.25">
      <c r="A581" s="88" t="s">
        <v>2390</v>
      </c>
      <c r="B581" s="88">
        <v>1994</v>
      </c>
      <c r="C581" s="89" t="s">
        <v>2467</v>
      </c>
      <c r="D581" s="88" t="s">
        <v>160</v>
      </c>
      <c r="F581" s="70">
        <f t="shared" si="16"/>
        <v>1994</v>
      </c>
      <c r="G581" s="70" t="s">
        <v>159</v>
      </c>
      <c r="H581" s="70" t="str">
        <f t="shared" si="17"/>
        <v>CHI</v>
      </c>
    </row>
    <row r="582" spans="1:8" ht="15" x14ac:dyDescent="0.25">
      <c r="A582" s="88" t="s">
        <v>2390</v>
      </c>
      <c r="B582" s="88">
        <v>1994</v>
      </c>
      <c r="C582" s="89" t="s">
        <v>2466</v>
      </c>
      <c r="D582" s="88" t="s">
        <v>160</v>
      </c>
      <c r="F582" s="70">
        <f t="shared" si="16"/>
        <v>1994</v>
      </c>
      <c r="G582" s="70" t="s">
        <v>159</v>
      </c>
      <c r="H582" s="70" t="str">
        <f t="shared" si="17"/>
        <v>CHI</v>
      </c>
    </row>
    <row r="583" spans="1:8" ht="15" x14ac:dyDescent="0.25">
      <c r="A583" s="88" t="s">
        <v>2390</v>
      </c>
      <c r="B583" s="88">
        <v>1994</v>
      </c>
      <c r="C583" s="89" t="s">
        <v>2465</v>
      </c>
      <c r="D583" s="88" t="s">
        <v>160</v>
      </c>
      <c r="F583" s="70">
        <f t="shared" si="16"/>
        <v>1994</v>
      </c>
      <c r="G583" s="70" t="s">
        <v>159</v>
      </c>
      <c r="H583" s="70" t="str">
        <f t="shared" si="17"/>
        <v>CHI</v>
      </c>
    </row>
    <row r="584" spans="1:8" ht="15" x14ac:dyDescent="0.25">
      <c r="A584" s="88" t="s">
        <v>2390</v>
      </c>
      <c r="B584" s="88">
        <v>1995</v>
      </c>
      <c r="C584" s="89" t="s">
        <v>2464</v>
      </c>
      <c r="D584" s="88" t="s">
        <v>160</v>
      </c>
      <c r="F584" s="70">
        <f t="shared" ref="F584:F647" si="18">+B584</f>
        <v>1995</v>
      </c>
      <c r="G584" s="70" t="s">
        <v>159</v>
      </c>
      <c r="H584" s="70" t="str">
        <f t="shared" ref="H584:H647" si="19">A584</f>
        <v>CHI</v>
      </c>
    </row>
    <row r="585" spans="1:8" ht="15" x14ac:dyDescent="0.25">
      <c r="A585" s="88" t="s">
        <v>2390</v>
      </c>
      <c r="B585" s="88">
        <v>1995</v>
      </c>
      <c r="C585" s="89" t="s">
        <v>2463</v>
      </c>
      <c r="D585" s="88" t="s">
        <v>160</v>
      </c>
      <c r="F585" s="70">
        <f t="shared" si="18"/>
        <v>1995</v>
      </c>
      <c r="G585" s="70" t="s">
        <v>159</v>
      </c>
      <c r="H585" s="70" t="str">
        <f t="shared" si="19"/>
        <v>CHI</v>
      </c>
    </row>
    <row r="586" spans="1:8" ht="15" x14ac:dyDescent="0.25">
      <c r="A586" s="88" t="s">
        <v>2390</v>
      </c>
      <c r="B586" s="88">
        <v>1996</v>
      </c>
      <c r="C586" s="89" t="s">
        <v>2462</v>
      </c>
      <c r="D586" s="88" t="s">
        <v>160</v>
      </c>
      <c r="F586" s="70">
        <f t="shared" si="18"/>
        <v>1996</v>
      </c>
      <c r="G586" s="70" t="s">
        <v>159</v>
      </c>
      <c r="H586" s="70" t="str">
        <f t="shared" si="19"/>
        <v>CHI</v>
      </c>
    </row>
    <row r="587" spans="1:8" ht="15" x14ac:dyDescent="0.25">
      <c r="A587" s="88" t="s">
        <v>2390</v>
      </c>
      <c r="B587" s="88">
        <v>1996</v>
      </c>
      <c r="C587" s="89" t="s">
        <v>2461</v>
      </c>
      <c r="D587" s="88" t="s">
        <v>160</v>
      </c>
      <c r="F587" s="70">
        <f t="shared" si="18"/>
        <v>1996</v>
      </c>
      <c r="G587" s="70" t="s">
        <v>159</v>
      </c>
      <c r="H587" s="70" t="str">
        <f t="shared" si="19"/>
        <v>CHI</v>
      </c>
    </row>
    <row r="588" spans="1:8" ht="15" x14ac:dyDescent="0.25">
      <c r="A588" s="88" t="s">
        <v>2390</v>
      </c>
      <c r="B588" s="88">
        <v>1997</v>
      </c>
      <c r="C588" s="89" t="s">
        <v>2460</v>
      </c>
      <c r="D588" s="88" t="s">
        <v>160</v>
      </c>
      <c r="F588" s="70">
        <f t="shared" si="18"/>
        <v>1997</v>
      </c>
      <c r="G588" s="70" t="s">
        <v>159</v>
      </c>
      <c r="H588" s="70" t="str">
        <f t="shared" si="19"/>
        <v>CHI</v>
      </c>
    </row>
    <row r="589" spans="1:8" ht="15" x14ac:dyDescent="0.25">
      <c r="A589" s="88" t="s">
        <v>2390</v>
      </c>
      <c r="B589" s="88">
        <v>1997</v>
      </c>
      <c r="C589" s="89" t="s">
        <v>2459</v>
      </c>
      <c r="D589" s="88" t="s">
        <v>160</v>
      </c>
      <c r="F589" s="70">
        <f t="shared" si="18"/>
        <v>1997</v>
      </c>
      <c r="G589" s="70" t="s">
        <v>159</v>
      </c>
      <c r="H589" s="70" t="str">
        <f t="shared" si="19"/>
        <v>CHI</v>
      </c>
    </row>
    <row r="590" spans="1:8" ht="15" x14ac:dyDescent="0.25">
      <c r="A590" s="88" t="s">
        <v>2390</v>
      </c>
      <c r="B590" s="88">
        <v>1998</v>
      </c>
      <c r="C590" s="89" t="s">
        <v>2458</v>
      </c>
      <c r="D590" s="88" t="s">
        <v>160</v>
      </c>
      <c r="F590" s="70">
        <f t="shared" si="18"/>
        <v>1998</v>
      </c>
      <c r="G590" s="70" t="s">
        <v>159</v>
      </c>
      <c r="H590" s="70" t="str">
        <f t="shared" si="19"/>
        <v>CHI</v>
      </c>
    </row>
    <row r="591" spans="1:8" ht="15" x14ac:dyDescent="0.25">
      <c r="A591" s="88" t="s">
        <v>2390</v>
      </c>
      <c r="B591" s="88">
        <v>1998</v>
      </c>
      <c r="C591" s="89" t="s">
        <v>2457</v>
      </c>
      <c r="D591" s="88" t="s">
        <v>160</v>
      </c>
      <c r="F591" s="70">
        <f t="shared" si="18"/>
        <v>1998</v>
      </c>
      <c r="G591" s="70" t="s">
        <v>159</v>
      </c>
      <c r="H591" s="70" t="str">
        <f t="shared" si="19"/>
        <v>CHI</v>
      </c>
    </row>
    <row r="592" spans="1:8" ht="15" x14ac:dyDescent="0.25">
      <c r="A592" s="88" t="s">
        <v>2390</v>
      </c>
      <c r="B592" s="88">
        <v>1999</v>
      </c>
      <c r="C592" s="89" t="s">
        <v>2456</v>
      </c>
      <c r="D592" s="88" t="s">
        <v>160</v>
      </c>
      <c r="F592" s="70">
        <f t="shared" si="18"/>
        <v>1999</v>
      </c>
      <c r="G592" s="70" t="s">
        <v>159</v>
      </c>
      <c r="H592" s="70" t="str">
        <f t="shared" si="19"/>
        <v>CHI</v>
      </c>
    </row>
    <row r="593" spans="1:8" ht="15" x14ac:dyDescent="0.25">
      <c r="A593" s="88" t="s">
        <v>2390</v>
      </c>
      <c r="B593" s="88">
        <v>1999</v>
      </c>
      <c r="C593" s="89" t="s">
        <v>2455</v>
      </c>
      <c r="D593" s="88" t="s">
        <v>160</v>
      </c>
      <c r="F593" s="70">
        <f t="shared" si="18"/>
        <v>1999</v>
      </c>
      <c r="G593" s="70" t="s">
        <v>159</v>
      </c>
      <c r="H593" s="70" t="str">
        <f t="shared" si="19"/>
        <v>CHI</v>
      </c>
    </row>
    <row r="594" spans="1:8" ht="15" x14ac:dyDescent="0.25">
      <c r="A594" s="88" t="s">
        <v>2390</v>
      </c>
      <c r="B594" s="88">
        <v>1999</v>
      </c>
      <c r="C594" s="89" t="s">
        <v>2454</v>
      </c>
      <c r="D594" s="88" t="s">
        <v>160</v>
      </c>
      <c r="F594" s="70">
        <f t="shared" si="18"/>
        <v>1999</v>
      </c>
      <c r="G594" s="70" t="s">
        <v>159</v>
      </c>
      <c r="H594" s="70" t="str">
        <f t="shared" si="19"/>
        <v>CHI</v>
      </c>
    </row>
    <row r="595" spans="1:8" ht="15" x14ac:dyDescent="0.25">
      <c r="A595" s="88" t="s">
        <v>2390</v>
      </c>
      <c r="B595" s="88">
        <v>1999</v>
      </c>
      <c r="C595" s="89" t="s">
        <v>2453</v>
      </c>
      <c r="D595" s="88" t="s">
        <v>160</v>
      </c>
      <c r="F595" s="70">
        <f t="shared" si="18"/>
        <v>1999</v>
      </c>
      <c r="G595" s="70" t="s">
        <v>159</v>
      </c>
      <c r="H595" s="70" t="str">
        <f t="shared" si="19"/>
        <v>CHI</v>
      </c>
    </row>
    <row r="596" spans="1:8" ht="15" x14ac:dyDescent="0.25">
      <c r="A596" s="88" t="s">
        <v>2390</v>
      </c>
      <c r="B596" s="88">
        <v>2000</v>
      </c>
      <c r="C596" s="89" t="s">
        <v>2452</v>
      </c>
      <c r="D596" s="88" t="s">
        <v>160</v>
      </c>
      <c r="F596" s="70">
        <f t="shared" si="18"/>
        <v>2000</v>
      </c>
      <c r="G596" s="70" t="s">
        <v>159</v>
      </c>
      <c r="H596" s="70" t="str">
        <f t="shared" si="19"/>
        <v>CHI</v>
      </c>
    </row>
    <row r="597" spans="1:8" ht="15" x14ac:dyDescent="0.25">
      <c r="A597" s="88" t="s">
        <v>2390</v>
      </c>
      <c r="B597" s="88">
        <v>2000</v>
      </c>
      <c r="C597" s="89" t="s">
        <v>2451</v>
      </c>
      <c r="D597" s="88" t="s">
        <v>160</v>
      </c>
      <c r="F597" s="70">
        <f t="shared" si="18"/>
        <v>2000</v>
      </c>
      <c r="G597" s="70" t="s">
        <v>159</v>
      </c>
      <c r="H597" s="70" t="str">
        <f t="shared" si="19"/>
        <v>CHI</v>
      </c>
    </row>
    <row r="598" spans="1:8" ht="15" x14ac:dyDescent="0.25">
      <c r="A598" s="88" t="s">
        <v>2390</v>
      </c>
      <c r="B598" s="88">
        <v>2000</v>
      </c>
      <c r="C598" s="89" t="s">
        <v>2450</v>
      </c>
      <c r="D598" s="88" t="s">
        <v>160</v>
      </c>
      <c r="F598" s="70">
        <f t="shared" si="18"/>
        <v>2000</v>
      </c>
      <c r="G598" s="70" t="s">
        <v>159</v>
      </c>
      <c r="H598" s="70" t="str">
        <f t="shared" si="19"/>
        <v>CHI</v>
      </c>
    </row>
    <row r="599" spans="1:8" ht="15" x14ac:dyDescent="0.25">
      <c r="A599" s="88" t="s">
        <v>2390</v>
      </c>
      <c r="B599" s="88">
        <v>2000</v>
      </c>
      <c r="C599" s="89" t="s">
        <v>2449</v>
      </c>
      <c r="D599" s="88" t="s">
        <v>160</v>
      </c>
      <c r="F599" s="70">
        <f t="shared" si="18"/>
        <v>2000</v>
      </c>
      <c r="G599" s="70" t="s">
        <v>159</v>
      </c>
      <c r="H599" s="70" t="str">
        <f t="shared" si="19"/>
        <v>CHI</v>
      </c>
    </row>
    <row r="600" spans="1:8" ht="15" x14ac:dyDescent="0.25">
      <c r="A600" s="88" t="s">
        <v>2390</v>
      </c>
      <c r="B600" s="88">
        <v>2001</v>
      </c>
      <c r="C600" s="89" t="s">
        <v>2448</v>
      </c>
      <c r="D600" s="88" t="s">
        <v>160</v>
      </c>
      <c r="F600" s="70">
        <f t="shared" si="18"/>
        <v>2001</v>
      </c>
      <c r="G600" s="70" t="s">
        <v>159</v>
      </c>
      <c r="H600" s="70" t="str">
        <f t="shared" si="19"/>
        <v>CHI</v>
      </c>
    </row>
    <row r="601" spans="1:8" ht="15" x14ac:dyDescent="0.25">
      <c r="A601" s="88" t="s">
        <v>2390</v>
      </c>
      <c r="B601" s="88">
        <v>2001</v>
      </c>
      <c r="C601" s="89" t="s">
        <v>2447</v>
      </c>
      <c r="D601" s="88" t="s">
        <v>160</v>
      </c>
      <c r="F601" s="70">
        <f t="shared" si="18"/>
        <v>2001</v>
      </c>
      <c r="G601" s="70" t="s">
        <v>159</v>
      </c>
      <c r="H601" s="70" t="str">
        <f t="shared" si="19"/>
        <v>CHI</v>
      </c>
    </row>
    <row r="602" spans="1:8" ht="15" x14ac:dyDescent="0.25">
      <c r="A602" s="88" t="s">
        <v>2390</v>
      </c>
      <c r="B602" s="88">
        <v>2002</v>
      </c>
      <c r="C602" s="89" t="s">
        <v>2446</v>
      </c>
      <c r="D602" s="88" t="s">
        <v>160</v>
      </c>
      <c r="F602" s="70">
        <f t="shared" si="18"/>
        <v>2002</v>
      </c>
      <c r="G602" s="70" t="s">
        <v>159</v>
      </c>
      <c r="H602" s="70" t="str">
        <f t="shared" si="19"/>
        <v>CHI</v>
      </c>
    </row>
    <row r="603" spans="1:8" ht="15" x14ac:dyDescent="0.25">
      <c r="A603" s="88" t="s">
        <v>2390</v>
      </c>
      <c r="B603" s="88">
        <v>2002</v>
      </c>
      <c r="C603" s="89" t="s">
        <v>2445</v>
      </c>
      <c r="D603" s="88" t="s">
        <v>160</v>
      </c>
      <c r="F603" s="70">
        <f t="shared" si="18"/>
        <v>2002</v>
      </c>
      <c r="G603" s="70" t="s">
        <v>159</v>
      </c>
      <c r="H603" s="70" t="str">
        <f t="shared" si="19"/>
        <v>CHI</v>
      </c>
    </row>
    <row r="604" spans="1:8" ht="15" x14ac:dyDescent="0.25">
      <c r="A604" s="88" t="s">
        <v>2390</v>
      </c>
      <c r="B604" s="88">
        <v>2003</v>
      </c>
      <c r="C604" s="89" t="s">
        <v>2444</v>
      </c>
      <c r="D604" s="88" t="s">
        <v>160</v>
      </c>
      <c r="F604" s="70">
        <f t="shared" si="18"/>
        <v>2003</v>
      </c>
      <c r="G604" s="70" t="s">
        <v>159</v>
      </c>
      <c r="H604" s="70" t="str">
        <f t="shared" si="19"/>
        <v>CHI</v>
      </c>
    </row>
    <row r="605" spans="1:8" ht="15" x14ac:dyDescent="0.25">
      <c r="A605" s="88" t="s">
        <v>2390</v>
      </c>
      <c r="B605" s="88">
        <v>2003</v>
      </c>
      <c r="C605" s="89" t="s">
        <v>2443</v>
      </c>
      <c r="D605" s="88" t="s">
        <v>160</v>
      </c>
      <c r="F605" s="70">
        <f t="shared" si="18"/>
        <v>2003</v>
      </c>
      <c r="G605" s="70" t="s">
        <v>159</v>
      </c>
      <c r="H605" s="70" t="str">
        <f t="shared" si="19"/>
        <v>CHI</v>
      </c>
    </row>
    <row r="606" spans="1:8" ht="15" x14ac:dyDescent="0.25">
      <c r="A606" s="88" t="s">
        <v>2390</v>
      </c>
      <c r="B606" s="88">
        <v>2004</v>
      </c>
      <c r="C606" s="89" t="s">
        <v>2442</v>
      </c>
      <c r="D606" s="88" t="s">
        <v>160</v>
      </c>
      <c r="F606" s="70">
        <f t="shared" si="18"/>
        <v>2004</v>
      </c>
      <c r="G606" s="70" t="s">
        <v>159</v>
      </c>
      <c r="H606" s="70" t="str">
        <f t="shared" si="19"/>
        <v>CHI</v>
      </c>
    </row>
    <row r="607" spans="1:8" ht="15" x14ac:dyDescent="0.25">
      <c r="A607" s="88" t="s">
        <v>2390</v>
      </c>
      <c r="B607" s="88">
        <v>2004</v>
      </c>
      <c r="C607" s="89" t="s">
        <v>2441</v>
      </c>
      <c r="D607" s="88" t="s">
        <v>160</v>
      </c>
      <c r="F607" s="70">
        <f t="shared" si="18"/>
        <v>2004</v>
      </c>
      <c r="G607" s="70" t="s">
        <v>159</v>
      </c>
      <c r="H607" s="70" t="str">
        <f t="shared" si="19"/>
        <v>CHI</v>
      </c>
    </row>
    <row r="608" spans="1:8" ht="15" x14ac:dyDescent="0.25">
      <c r="A608" s="88" t="s">
        <v>2390</v>
      </c>
      <c r="B608" s="88">
        <v>2004</v>
      </c>
      <c r="C608" s="89" t="s">
        <v>2440</v>
      </c>
      <c r="D608" s="88" t="s">
        <v>160</v>
      </c>
      <c r="F608" s="70">
        <f t="shared" si="18"/>
        <v>2004</v>
      </c>
      <c r="G608" s="70" t="s">
        <v>159</v>
      </c>
      <c r="H608" s="70" t="str">
        <f t="shared" si="19"/>
        <v>CHI</v>
      </c>
    </row>
    <row r="609" spans="1:8" ht="15" x14ac:dyDescent="0.25">
      <c r="A609" s="88" t="s">
        <v>2390</v>
      </c>
      <c r="B609" s="88">
        <v>2004</v>
      </c>
      <c r="C609" s="89" t="s">
        <v>2439</v>
      </c>
      <c r="D609" s="88" t="s">
        <v>160</v>
      </c>
      <c r="F609" s="70">
        <f t="shared" si="18"/>
        <v>2004</v>
      </c>
      <c r="G609" s="70" t="s">
        <v>159</v>
      </c>
      <c r="H609" s="70" t="str">
        <f t="shared" si="19"/>
        <v>CHI</v>
      </c>
    </row>
    <row r="610" spans="1:8" ht="15" x14ac:dyDescent="0.25">
      <c r="A610" s="88" t="s">
        <v>2390</v>
      </c>
      <c r="B610" s="88">
        <v>2005</v>
      </c>
      <c r="C610" s="89" t="s">
        <v>2438</v>
      </c>
      <c r="D610" s="88" t="s">
        <v>160</v>
      </c>
      <c r="F610" s="70">
        <f t="shared" si="18"/>
        <v>2005</v>
      </c>
      <c r="G610" s="70" t="s">
        <v>159</v>
      </c>
      <c r="H610" s="70" t="str">
        <f t="shared" si="19"/>
        <v>CHI</v>
      </c>
    </row>
    <row r="611" spans="1:8" ht="15" x14ac:dyDescent="0.25">
      <c r="A611" s="88" t="s">
        <v>2390</v>
      </c>
      <c r="B611" s="88">
        <v>2005</v>
      </c>
      <c r="C611" s="89" t="s">
        <v>2437</v>
      </c>
      <c r="D611" s="88" t="s">
        <v>160</v>
      </c>
      <c r="F611" s="70">
        <f t="shared" si="18"/>
        <v>2005</v>
      </c>
      <c r="G611" s="70" t="s">
        <v>159</v>
      </c>
      <c r="H611" s="70" t="str">
        <f t="shared" si="19"/>
        <v>CHI</v>
      </c>
    </row>
    <row r="612" spans="1:8" ht="15" x14ac:dyDescent="0.25">
      <c r="A612" s="88" t="s">
        <v>2390</v>
      </c>
      <c r="B612" s="88">
        <v>2005</v>
      </c>
      <c r="C612" s="89" t="s">
        <v>2436</v>
      </c>
      <c r="D612" s="88" t="s">
        <v>160</v>
      </c>
      <c r="F612" s="70">
        <f t="shared" si="18"/>
        <v>2005</v>
      </c>
      <c r="G612" s="70" t="s">
        <v>159</v>
      </c>
      <c r="H612" s="70" t="str">
        <f t="shared" si="19"/>
        <v>CHI</v>
      </c>
    </row>
    <row r="613" spans="1:8" ht="15" x14ac:dyDescent="0.25">
      <c r="A613" s="88" t="s">
        <v>2390</v>
      </c>
      <c r="B613" s="88">
        <v>2005</v>
      </c>
      <c r="C613" s="89" t="s">
        <v>2435</v>
      </c>
      <c r="D613" s="88" t="s">
        <v>160</v>
      </c>
      <c r="F613" s="70">
        <f t="shared" si="18"/>
        <v>2005</v>
      </c>
      <c r="G613" s="70" t="s">
        <v>159</v>
      </c>
      <c r="H613" s="70" t="str">
        <f t="shared" si="19"/>
        <v>CHI</v>
      </c>
    </row>
    <row r="614" spans="1:8" ht="15" x14ac:dyDescent="0.25">
      <c r="A614" s="88" t="s">
        <v>2390</v>
      </c>
      <c r="B614" s="88">
        <v>2006</v>
      </c>
      <c r="C614" s="89" t="s">
        <v>2434</v>
      </c>
      <c r="D614" s="88" t="s">
        <v>160</v>
      </c>
      <c r="F614" s="70">
        <f t="shared" si="18"/>
        <v>2006</v>
      </c>
      <c r="G614" s="70" t="s">
        <v>159</v>
      </c>
      <c r="H614" s="70" t="str">
        <f t="shared" si="19"/>
        <v>CHI</v>
      </c>
    </row>
    <row r="615" spans="1:8" ht="15" x14ac:dyDescent="0.25">
      <c r="A615" s="88" t="s">
        <v>2390</v>
      </c>
      <c r="B615" s="88">
        <v>2006</v>
      </c>
      <c r="C615" s="89" t="s">
        <v>2433</v>
      </c>
      <c r="D615" s="88" t="s">
        <v>160</v>
      </c>
      <c r="F615" s="70">
        <f t="shared" si="18"/>
        <v>2006</v>
      </c>
      <c r="G615" s="70" t="s">
        <v>159</v>
      </c>
      <c r="H615" s="70" t="str">
        <f t="shared" si="19"/>
        <v>CHI</v>
      </c>
    </row>
    <row r="616" spans="1:8" ht="15" x14ac:dyDescent="0.25">
      <c r="A616" s="88" t="s">
        <v>2390</v>
      </c>
      <c r="B616" s="88">
        <v>2006</v>
      </c>
      <c r="C616" s="89" t="s">
        <v>2432</v>
      </c>
      <c r="D616" s="88" t="s">
        <v>160</v>
      </c>
      <c r="F616" s="70">
        <f t="shared" si="18"/>
        <v>2006</v>
      </c>
      <c r="G616" s="70" t="s">
        <v>159</v>
      </c>
      <c r="H616" s="70" t="str">
        <f t="shared" si="19"/>
        <v>CHI</v>
      </c>
    </row>
    <row r="617" spans="1:8" ht="15" x14ac:dyDescent="0.25">
      <c r="A617" s="88" t="s">
        <v>2390</v>
      </c>
      <c r="B617" s="88">
        <v>2006</v>
      </c>
      <c r="C617" s="89" t="s">
        <v>2431</v>
      </c>
      <c r="D617" s="88" t="s">
        <v>160</v>
      </c>
      <c r="F617" s="70">
        <f t="shared" si="18"/>
        <v>2006</v>
      </c>
      <c r="G617" s="70" t="s">
        <v>159</v>
      </c>
      <c r="H617" s="70" t="str">
        <f t="shared" si="19"/>
        <v>CHI</v>
      </c>
    </row>
    <row r="618" spans="1:8" ht="15" x14ac:dyDescent="0.25">
      <c r="A618" s="88" t="s">
        <v>2390</v>
      </c>
      <c r="B618" s="88">
        <v>2007</v>
      </c>
      <c r="C618" s="89" t="s">
        <v>2430</v>
      </c>
      <c r="D618" s="88" t="s">
        <v>160</v>
      </c>
      <c r="F618" s="70">
        <f t="shared" si="18"/>
        <v>2007</v>
      </c>
      <c r="G618" s="70" t="s">
        <v>159</v>
      </c>
      <c r="H618" s="70" t="str">
        <f t="shared" si="19"/>
        <v>CHI</v>
      </c>
    </row>
    <row r="619" spans="1:8" ht="15" x14ac:dyDescent="0.25">
      <c r="A619" s="88" t="s">
        <v>2390</v>
      </c>
      <c r="B619" s="88">
        <v>2007</v>
      </c>
      <c r="C619" s="89" t="s">
        <v>2429</v>
      </c>
      <c r="D619" s="88" t="s">
        <v>160</v>
      </c>
      <c r="F619" s="70">
        <f t="shared" si="18"/>
        <v>2007</v>
      </c>
      <c r="G619" s="70" t="s">
        <v>159</v>
      </c>
      <c r="H619" s="70" t="str">
        <f t="shared" si="19"/>
        <v>CHI</v>
      </c>
    </row>
    <row r="620" spans="1:8" ht="15" x14ac:dyDescent="0.25">
      <c r="A620" s="88" t="s">
        <v>2390</v>
      </c>
      <c r="B620" s="88">
        <v>2008</v>
      </c>
      <c r="C620" s="89" t="s">
        <v>2428</v>
      </c>
      <c r="D620" s="88" t="s">
        <v>160</v>
      </c>
      <c r="F620" s="70">
        <f t="shared" si="18"/>
        <v>2008</v>
      </c>
      <c r="G620" s="70" t="s">
        <v>159</v>
      </c>
      <c r="H620" s="70" t="str">
        <f t="shared" si="19"/>
        <v>CHI</v>
      </c>
    </row>
    <row r="621" spans="1:8" ht="15" x14ac:dyDescent="0.25">
      <c r="A621" s="88" t="s">
        <v>2390</v>
      </c>
      <c r="B621" s="88">
        <v>2008</v>
      </c>
      <c r="C621" s="89" t="s">
        <v>2427</v>
      </c>
      <c r="D621" s="88" t="s">
        <v>160</v>
      </c>
      <c r="F621" s="70">
        <f t="shared" si="18"/>
        <v>2008</v>
      </c>
      <c r="G621" s="70" t="s">
        <v>159</v>
      </c>
      <c r="H621" s="70" t="str">
        <f t="shared" si="19"/>
        <v>CHI</v>
      </c>
    </row>
    <row r="622" spans="1:8" ht="15" x14ac:dyDescent="0.25">
      <c r="A622" s="88" t="s">
        <v>2390</v>
      </c>
      <c r="B622" s="88">
        <v>2009</v>
      </c>
      <c r="C622" s="89" t="s">
        <v>2426</v>
      </c>
      <c r="D622" s="88" t="s">
        <v>160</v>
      </c>
      <c r="F622" s="70">
        <f t="shared" si="18"/>
        <v>2009</v>
      </c>
      <c r="G622" s="70" t="s">
        <v>159</v>
      </c>
      <c r="H622" s="70" t="str">
        <f t="shared" si="19"/>
        <v>CHI</v>
      </c>
    </row>
    <row r="623" spans="1:8" ht="15" x14ac:dyDescent="0.25">
      <c r="A623" s="88" t="s">
        <v>2390</v>
      </c>
      <c r="B623" s="88">
        <v>2009</v>
      </c>
      <c r="C623" s="89" t="s">
        <v>2425</v>
      </c>
      <c r="D623" s="88" t="s">
        <v>160</v>
      </c>
      <c r="F623" s="70">
        <f t="shared" si="18"/>
        <v>2009</v>
      </c>
      <c r="G623" s="70" t="s">
        <v>159</v>
      </c>
      <c r="H623" s="70" t="str">
        <f t="shared" si="19"/>
        <v>CHI</v>
      </c>
    </row>
    <row r="624" spans="1:8" ht="15" x14ac:dyDescent="0.25">
      <c r="A624" s="88" t="s">
        <v>2390</v>
      </c>
      <c r="B624" s="88">
        <v>2010</v>
      </c>
      <c r="C624" s="89" t="s">
        <v>2424</v>
      </c>
      <c r="D624" s="88" t="s">
        <v>160</v>
      </c>
      <c r="F624" s="70">
        <f t="shared" si="18"/>
        <v>2010</v>
      </c>
      <c r="G624" s="70" t="s">
        <v>159</v>
      </c>
      <c r="H624" s="70" t="str">
        <f t="shared" si="19"/>
        <v>CHI</v>
      </c>
    </row>
    <row r="625" spans="1:8" ht="15" x14ac:dyDescent="0.25">
      <c r="A625" s="88" t="s">
        <v>2390</v>
      </c>
      <c r="B625" s="88">
        <v>2010</v>
      </c>
      <c r="C625" s="89" t="s">
        <v>2423</v>
      </c>
      <c r="D625" s="88" t="s">
        <v>160</v>
      </c>
      <c r="F625" s="70">
        <f t="shared" si="18"/>
        <v>2010</v>
      </c>
      <c r="G625" s="70" t="s">
        <v>159</v>
      </c>
      <c r="H625" s="70" t="str">
        <f t="shared" si="19"/>
        <v>CHI</v>
      </c>
    </row>
    <row r="626" spans="1:8" ht="15" x14ac:dyDescent="0.25">
      <c r="A626" s="88" t="s">
        <v>2390</v>
      </c>
      <c r="B626" s="88">
        <v>2010</v>
      </c>
      <c r="C626" s="89" t="s">
        <v>2422</v>
      </c>
      <c r="D626" s="88" t="s">
        <v>160</v>
      </c>
      <c r="F626" s="70">
        <f t="shared" si="18"/>
        <v>2010</v>
      </c>
      <c r="G626" s="70" t="s">
        <v>159</v>
      </c>
      <c r="H626" s="70" t="str">
        <f t="shared" si="19"/>
        <v>CHI</v>
      </c>
    </row>
    <row r="627" spans="1:8" ht="15" x14ac:dyDescent="0.25">
      <c r="A627" s="88" t="s">
        <v>2390</v>
      </c>
      <c r="B627" s="88">
        <v>2010</v>
      </c>
      <c r="C627" s="89" t="s">
        <v>2421</v>
      </c>
      <c r="D627" s="88" t="s">
        <v>160</v>
      </c>
      <c r="F627" s="70">
        <f t="shared" si="18"/>
        <v>2010</v>
      </c>
      <c r="G627" s="70" t="s">
        <v>159</v>
      </c>
      <c r="H627" s="70" t="str">
        <f t="shared" si="19"/>
        <v>CHI</v>
      </c>
    </row>
    <row r="628" spans="1:8" ht="15" x14ac:dyDescent="0.25">
      <c r="A628" s="88" t="s">
        <v>2390</v>
      </c>
      <c r="B628" s="88">
        <v>2011</v>
      </c>
      <c r="C628" s="89" t="s">
        <v>2420</v>
      </c>
      <c r="D628" s="88" t="s">
        <v>160</v>
      </c>
      <c r="F628" s="70">
        <f t="shared" si="18"/>
        <v>2011</v>
      </c>
      <c r="G628" s="70" t="s">
        <v>159</v>
      </c>
      <c r="H628" s="70" t="str">
        <f t="shared" si="19"/>
        <v>CHI</v>
      </c>
    </row>
    <row r="629" spans="1:8" ht="15" x14ac:dyDescent="0.25">
      <c r="A629" s="88" t="s">
        <v>2390</v>
      </c>
      <c r="B629" s="88">
        <v>2011</v>
      </c>
      <c r="C629" s="89" t="s">
        <v>2419</v>
      </c>
      <c r="D629" s="88" t="s">
        <v>160</v>
      </c>
      <c r="F629" s="70">
        <f t="shared" si="18"/>
        <v>2011</v>
      </c>
      <c r="G629" s="70" t="s">
        <v>159</v>
      </c>
      <c r="H629" s="70" t="str">
        <f t="shared" si="19"/>
        <v>CHI</v>
      </c>
    </row>
    <row r="630" spans="1:8" ht="15" x14ac:dyDescent="0.25">
      <c r="A630" s="88" t="s">
        <v>2390</v>
      </c>
      <c r="B630" s="88">
        <v>2011</v>
      </c>
      <c r="C630" s="89" t="s">
        <v>2418</v>
      </c>
      <c r="D630" s="88" t="s">
        <v>160</v>
      </c>
      <c r="F630" s="70">
        <f t="shared" si="18"/>
        <v>2011</v>
      </c>
      <c r="G630" s="70" t="s">
        <v>159</v>
      </c>
      <c r="H630" s="70" t="str">
        <f t="shared" si="19"/>
        <v>CHI</v>
      </c>
    </row>
    <row r="631" spans="1:8" ht="15" x14ac:dyDescent="0.25">
      <c r="A631" s="88" t="s">
        <v>2390</v>
      </c>
      <c r="B631" s="88">
        <v>2011</v>
      </c>
      <c r="C631" s="89" t="s">
        <v>2417</v>
      </c>
      <c r="D631" s="88" t="s">
        <v>160</v>
      </c>
      <c r="F631" s="70">
        <f t="shared" si="18"/>
        <v>2011</v>
      </c>
      <c r="G631" s="70" t="s">
        <v>159</v>
      </c>
      <c r="H631" s="70" t="str">
        <f t="shared" si="19"/>
        <v>CHI</v>
      </c>
    </row>
    <row r="632" spans="1:8" ht="15" x14ac:dyDescent="0.25">
      <c r="A632" s="88" t="s">
        <v>2390</v>
      </c>
      <c r="B632" s="88">
        <v>2012</v>
      </c>
      <c r="C632" s="89" t="s">
        <v>2416</v>
      </c>
      <c r="D632" s="88" t="s">
        <v>160</v>
      </c>
      <c r="F632" s="70">
        <f t="shared" si="18"/>
        <v>2012</v>
      </c>
      <c r="G632" s="70" t="s">
        <v>159</v>
      </c>
      <c r="H632" s="70" t="str">
        <f t="shared" si="19"/>
        <v>CHI</v>
      </c>
    </row>
    <row r="633" spans="1:8" ht="15" x14ac:dyDescent="0.25">
      <c r="A633" s="88" t="s">
        <v>2390</v>
      </c>
      <c r="B633" s="88">
        <v>2012</v>
      </c>
      <c r="C633" s="89" t="s">
        <v>2415</v>
      </c>
      <c r="D633" s="88" t="s">
        <v>160</v>
      </c>
      <c r="F633" s="70">
        <f t="shared" si="18"/>
        <v>2012</v>
      </c>
      <c r="G633" s="70" t="s">
        <v>159</v>
      </c>
      <c r="H633" s="70" t="str">
        <f t="shared" si="19"/>
        <v>CHI</v>
      </c>
    </row>
    <row r="634" spans="1:8" ht="15" x14ac:dyDescent="0.25">
      <c r="A634" s="88" t="s">
        <v>2390</v>
      </c>
      <c r="B634" s="88">
        <v>2012</v>
      </c>
      <c r="C634" s="89" t="s">
        <v>2414</v>
      </c>
      <c r="D634" s="88" t="s">
        <v>160</v>
      </c>
      <c r="F634" s="70">
        <f t="shared" si="18"/>
        <v>2012</v>
      </c>
      <c r="G634" s="70" t="s">
        <v>159</v>
      </c>
      <c r="H634" s="70" t="str">
        <f t="shared" si="19"/>
        <v>CHI</v>
      </c>
    </row>
    <row r="635" spans="1:8" ht="15" x14ac:dyDescent="0.25">
      <c r="A635" s="88" t="s">
        <v>2390</v>
      </c>
      <c r="B635" s="88">
        <v>2012</v>
      </c>
      <c r="C635" s="89" t="s">
        <v>2413</v>
      </c>
      <c r="D635" s="88" t="s">
        <v>160</v>
      </c>
      <c r="F635" s="70">
        <f t="shared" si="18"/>
        <v>2012</v>
      </c>
      <c r="G635" s="70" t="s">
        <v>159</v>
      </c>
      <c r="H635" s="70" t="str">
        <f t="shared" si="19"/>
        <v>CHI</v>
      </c>
    </row>
    <row r="636" spans="1:8" ht="15" x14ac:dyDescent="0.25">
      <c r="A636" s="68" t="s">
        <v>2390</v>
      </c>
      <c r="B636" s="68">
        <v>2013</v>
      </c>
      <c r="C636" s="86" t="s">
        <v>2412</v>
      </c>
      <c r="D636" s="69">
        <v>5000</v>
      </c>
      <c r="F636" s="70">
        <f t="shared" si="18"/>
        <v>2013</v>
      </c>
      <c r="G636" s="70" t="s">
        <v>159</v>
      </c>
      <c r="H636" s="70" t="str">
        <f t="shared" si="19"/>
        <v>CHI</v>
      </c>
    </row>
    <row r="637" spans="1:8" ht="15" x14ac:dyDescent="0.25">
      <c r="A637" s="68" t="s">
        <v>2390</v>
      </c>
      <c r="B637" s="68">
        <v>2013</v>
      </c>
      <c r="C637" s="86" t="s">
        <v>2411</v>
      </c>
      <c r="D637" s="69">
        <v>5000</v>
      </c>
      <c r="F637" s="70">
        <f t="shared" si="18"/>
        <v>2013</v>
      </c>
      <c r="G637" s="70" t="s">
        <v>159</v>
      </c>
      <c r="H637" s="70" t="str">
        <f t="shared" si="19"/>
        <v>CHI</v>
      </c>
    </row>
    <row r="638" spans="1:8" ht="15" x14ac:dyDescent="0.25">
      <c r="A638" s="68" t="s">
        <v>2390</v>
      </c>
      <c r="B638" s="68">
        <v>2013</v>
      </c>
      <c r="C638" s="86" t="s">
        <v>2410</v>
      </c>
      <c r="D638" s="69">
        <v>5000</v>
      </c>
      <c r="F638" s="70">
        <f t="shared" si="18"/>
        <v>2013</v>
      </c>
      <c r="G638" s="70" t="s">
        <v>159</v>
      </c>
      <c r="H638" s="70" t="str">
        <f t="shared" si="19"/>
        <v>CHI</v>
      </c>
    </row>
    <row r="639" spans="1:8" ht="15" x14ac:dyDescent="0.25">
      <c r="A639" s="68" t="s">
        <v>2390</v>
      </c>
      <c r="B639" s="68">
        <v>2013</v>
      </c>
      <c r="C639" s="86" t="s">
        <v>2409</v>
      </c>
      <c r="D639" s="69">
        <v>5000</v>
      </c>
      <c r="F639" s="70">
        <f t="shared" si="18"/>
        <v>2013</v>
      </c>
      <c r="G639" s="70" t="s">
        <v>159</v>
      </c>
      <c r="H639" s="70" t="str">
        <f t="shared" si="19"/>
        <v>CHI</v>
      </c>
    </row>
    <row r="640" spans="1:8" ht="15" x14ac:dyDescent="0.25">
      <c r="A640" s="68" t="s">
        <v>2390</v>
      </c>
      <c r="B640" s="68">
        <v>2014</v>
      </c>
      <c r="C640" s="86" t="s">
        <v>2408</v>
      </c>
      <c r="D640" s="69">
        <v>5000</v>
      </c>
      <c r="F640" s="70">
        <f t="shared" si="18"/>
        <v>2014</v>
      </c>
      <c r="G640" s="70" t="s">
        <v>159</v>
      </c>
      <c r="H640" s="70" t="str">
        <f t="shared" si="19"/>
        <v>CHI</v>
      </c>
    </row>
    <row r="641" spans="1:8" ht="15" x14ac:dyDescent="0.25">
      <c r="A641" s="68" t="s">
        <v>2390</v>
      </c>
      <c r="B641" s="68">
        <v>2014</v>
      </c>
      <c r="C641" s="86" t="s">
        <v>2407</v>
      </c>
      <c r="D641" s="69">
        <v>5000</v>
      </c>
      <c r="F641" s="70">
        <f t="shared" si="18"/>
        <v>2014</v>
      </c>
      <c r="G641" s="70" t="s">
        <v>159</v>
      </c>
      <c r="H641" s="70" t="str">
        <f t="shared" si="19"/>
        <v>CHI</v>
      </c>
    </row>
    <row r="642" spans="1:8" ht="15" x14ac:dyDescent="0.25">
      <c r="A642" s="68" t="s">
        <v>2390</v>
      </c>
      <c r="B642" s="68">
        <v>2014</v>
      </c>
      <c r="C642" s="86" t="s">
        <v>2406</v>
      </c>
      <c r="D642" s="69">
        <v>5000</v>
      </c>
      <c r="F642" s="70">
        <f t="shared" si="18"/>
        <v>2014</v>
      </c>
      <c r="G642" s="70" t="s">
        <v>159</v>
      </c>
      <c r="H642" s="70" t="str">
        <f t="shared" si="19"/>
        <v>CHI</v>
      </c>
    </row>
    <row r="643" spans="1:8" ht="15" x14ac:dyDescent="0.25">
      <c r="A643" s="68" t="s">
        <v>2390</v>
      </c>
      <c r="B643" s="68">
        <v>2014</v>
      </c>
      <c r="C643" s="86" t="s">
        <v>2405</v>
      </c>
      <c r="D643" s="69">
        <v>5000</v>
      </c>
      <c r="F643" s="70">
        <f t="shared" si="18"/>
        <v>2014</v>
      </c>
      <c r="G643" s="70" t="s">
        <v>159</v>
      </c>
      <c r="H643" s="70" t="str">
        <f t="shared" si="19"/>
        <v>CHI</v>
      </c>
    </row>
    <row r="644" spans="1:8" ht="15" x14ac:dyDescent="0.25">
      <c r="A644" s="68" t="s">
        <v>2390</v>
      </c>
      <c r="B644" s="68">
        <v>2015</v>
      </c>
      <c r="C644" s="86" t="s">
        <v>2404</v>
      </c>
      <c r="D644" s="69">
        <v>5000</v>
      </c>
      <c r="F644" s="70">
        <f t="shared" si="18"/>
        <v>2015</v>
      </c>
      <c r="G644" s="70" t="s">
        <v>159</v>
      </c>
      <c r="H644" s="70" t="str">
        <f t="shared" si="19"/>
        <v>CHI</v>
      </c>
    </row>
    <row r="645" spans="1:8" ht="15" x14ac:dyDescent="0.25">
      <c r="A645" s="68" t="s">
        <v>2390</v>
      </c>
      <c r="B645" s="68">
        <v>2015</v>
      </c>
      <c r="C645" s="86" t="s">
        <v>2403</v>
      </c>
      <c r="D645" s="69">
        <v>5000</v>
      </c>
      <c r="F645" s="70">
        <f t="shared" si="18"/>
        <v>2015</v>
      </c>
      <c r="G645" s="70" t="s">
        <v>159</v>
      </c>
      <c r="H645" s="70" t="str">
        <f t="shared" si="19"/>
        <v>CHI</v>
      </c>
    </row>
    <row r="646" spans="1:8" ht="15" x14ac:dyDescent="0.25">
      <c r="A646" s="68" t="s">
        <v>2390</v>
      </c>
      <c r="B646" s="68">
        <v>2015</v>
      </c>
      <c r="C646" s="86" t="s">
        <v>2402</v>
      </c>
      <c r="D646" s="69">
        <v>5000</v>
      </c>
      <c r="F646" s="70">
        <f t="shared" si="18"/>
        <v>2015</v>
      </c>
      <c r="G646" s="70" t="s">
        <v>159</v>
      </c>
      <c r="H646" s="70" t="str">
        <f t="shared" si="19"/>
        <v>CHI</v>
      </c>
    </row>
    <row r="647" spans="1:8" ht="15" x14ac:dyDescent="0.25">
      <c r="A647" s="68" t="s">
        <v>2390</v>
      </c>
      <c r="B647" s="68">
        <v>2015</v>
      </c>
      <c r="C647" s="86" t="s">
        <v>2401</v>
      </c>
      <c r="D647" s="69">
        <v>5000</v>
      </c>
      <c r="F647" s="70">
        <f t="shared" si="18"/>
        <v>2015</v>
      </c>
      <c r="G647" s="70" t="s">
        <v>159</v>
      </c>
      <c r="H647" s="70" t="str">
        <f t="shared" si="19"/>
        <v>CHI</v>
      </c>
    </row>
    <row r="648" spans="1:8" ht="15" x14ac:dyDescent="0.25">
      <c r="A648" s="68" t="s">
        <v>2390</v>
      </c>
      <c r="B648" s="68">
        <v>2016</v>
      </c>
      <c r="C648" s="76" t="s">
        <v>2400</v>
      </c>
      <c r="D648" s="69" t="s">
        <v>160</v>
      </c>
      <c r="F648" s="70">
        <f t="shared" ref="F648:F711" si="20">+B648</f>
        <v>2016</v>
      </c>
      <c r="G648" s="70" t="s">
        <v>159</v>
      </c>
      <c r="H648" s="70" t="str">
        <f t="shared" ref="H648:H711" si="21">A648</f>
        <v>CHI</v>
      </c>
    </row>
    <row r="649" spans="1:8" ht="15" x14ac:dyDescent="0.25">
      <c r="A649" s="68" t="s">
        <v>2390</v>
      </c>
      <c r="B649" s="68">
        <v>2016</v>
      </c>
      <c r="C649" s="76" t="s">
        <v>2399</v>
      </c>
      <c r="D649" s="69" t="s">
        <v>160</v>
      </c>
      <c r="F649" s="70">
        <f t="shared" si="20"/>
        <v>2016</v>
      </c>
      <c r="G649" s="70" t="s">
        <v>159</v>
      </c>
      <c r="H649" s="70" t="str">
        <f t="shared" si="21"/>
        <v>CHI</v>
      </c>
    </row>
    <row r="650" spans="1:8" ht="15" x14ac:dyDescent="0.25">
      <c r="A650" s="68" t="s">
        <v>2390</v>
      </c>
      <c r="B650" s="68">
        <v>2016</v>
      </c>
      <c r="C650" s="76" t="s">
        <v>2398</v>
      </c>
      <c r="D650" s="69" t="s">
        <v>160</v>
      </c>
      <c r="F650" s="70">
        <f t="shared" si="20"/>
        <v>2016</v>
      </c>
      <c r="G650" s="70" t="s">
        <v>159</v>
      </c>
      <c r="H650" s="70" t="str">
        <f t="shared" si="21"/>
        <v>CHI</v>
      </c>
    </row>
    <row r="651" spans="1:8" ht="15" x14ac:dyDescent="0.25">
      <c r="A651" s="68" t="s">
        <v>2390</v>
      </c>
      <c r="B651" s="68">
        <v>2016</v>
      </c>
      <c r="C651" s="76" t="s">
        <v>2397</v>
      </c>
      <c r="D651" s="69" t="s">
        <v>160</v>
      </c>
      <c r="F651" s="70">
        <f t="shared" si="20"/>
        <v>2016</v>
      </c>
      <c r="G651" s="70" t="s">
        <v>159</v>
      </c>
      <c r="H651" s="70" t="str">
        <f t="shared" si="21"/>
        <v>CHI</v>
      </c>
    </row>
    <row r="652" spans="1:8" ht="15" x14ac:dyDescent="0.25">
      <c r="A652" s="85" t="s">
        <v>2390</v>
      </c>
      <c r="B652" s="85">
        <v>2017</v>
      </c>
      <c r="C652" s="92" t="s">
        <v>2396</v>
      </c>
      <c r="D652" s="83" t="s">
        <v>160</v>
      </c>
      <c r="F652" s="70">
        <f t="shared" si="20"/>
        <v>2017</v>
      </c>
      <c r="G652" s="70" t="s">
        <v>159</v>
      </c>
      <c r="H652" s="70" t="str">
        <f t="shared" si="21"/>
        <v>CHI</v>
      </c>
    </row>
    <row r="653" spans="1:8" ht="15" x14ac:dyDescent="0.25">
      <c r="A653" s="85" t="s">
        <v>2390</v>
      </c>
      <c r="B653" s="85">
        <v>2017</v>
      </c>
      <c r="C653" s="92" t="s">
        <v>2395</v>
      </c>
      <c r="D653" s="83" t="s">
        <v>160</v>
      </c>
      <c r="F653" s="70">
        <f t="shared" si="20"/>
        <v>2017</v>
      </c>
      <c r="G653" s="70" t="s">
        <v>159</v>
      </c>
      <c r="H653" s="70" t="str">
        <f t="shared" si="21"/>
        <v>CHI</v>
      </c>
    </row>
    <row r="654" spans="1:8" ht="15" x14ac:dyDescent="0.25">
      <c r="A654" s="85" t="s">
        <v>2390</v>
      </c>
      <c r="B654" s="85">
        <v>2017</v>
      </c>
      <c r="C654" s="92" t="s">
        <v>2394</v>
      </c>
      <c r="D654" s="83" t="s">
        <v>160</v>
      </c>
      <c r="F654" s="70">
        <f t="shared" si="20"/>
        <v>2017</v>
      </c>
      <c r="G654" s="70" t="s">
        <v>159</v>
      </c>
      <c r="H654" s="70" t="str">
        <f t="shared" si="21"/>
        <v>CHI</v>
      </c>
    </row>
    <row r="655" spans="1:8" ht="15" x14ac:dyDescent="0.25">
      <c r="A655" s="85" t="s">
        <v>2390</v>
      </c>
      <c r="B655" s="85">
        <v>2017</v>
      </c>
      <c r="C655" s="92" t="s">
        <v>2393</v>
      </c>
      <c r="D655" s="83" t="s">
        <v>160</v>
      </c>
      <c r="F655" s="70">
        <f t="shared" si="20"/>
        <v>2017</v>
      </c>
      <c r="G655" s="70" t="s">
        <v>159</v>
      </c>
      <c r="H655" s="70" t="str">
        <f t="shared" si="21"/>
        <v>CHI</v>
      </c>
    </row>
    <row r="656" spans="1:8" ht="15" x14ac:dyDescent="0.25">
      <c r="A656" s="75" t="s">
        <v>2390</v>
      </c>
      <c r="B656" s="75">
        <v>2018</v>
      </c>
      <c r="C656" s="90" t="s">
        <v>2392</v>
      </c>
      <c r="D656" s="82" t="s">
        <v>160</v>
      </c>
      <c r="F656" s="70">
        <f t="shared" si="20"/>
        <v>2018</v>
      </c>
      <c r="G656" s="70" t="s">
        <v>159</v>
      </c>
      <c r="H656" s="70" t="str">
        <f t="shared" si="21"/>
        <v>CHI</v>
      </c>
    </row>
    <row r="657" spans="1:8" ht="15" x14ac:dyDescent="0.25">
      <c r="A657" s="75" t="s">
        <v>2390</v>
      </c>
      <c r="B657" s="75">
        <v>2018</v>
      </c>
      <c r="C657" s="90" t="s">
        <v>2391</v>
      </c>
      <c r="D657" s="82" t="s">
        <v>160</v>
      </c>
      <c r="F657" s="70">
        <f t="shared" si="20"/>
        <v>2018</v>
      </c>
      <c r="G657" s="70" t="s">
        <v>159</v>
      </c>
      <c r="H657" s="70" t="str">
        <f t="shared" si="21"/>
        <v>CHI</v>
      </c>
    </row>
    <row r="658" spans="1:8" ht="15" x14ac:dyDescent="0.25">
      <c r="A658" s="75" t="s">
        <v>2390</v>
      </c>
      <c r="B658" s="75">
        <v>2018</v>
      </c>
      <c r="C658" s="90" t="s">
        <v>2389</v>
      </c>
      <c r="D658" s="82" t="s">
        <v>160</v>
      </c>
      <c r="F658" s="70">
        <f t="shared" si="20"/>
        <v>2018</v>
      </c>
      <c r="G658" s="70" t="s">
        <v>159</v>
      </c>
      <c r="H658" s="70" t="str">
        <f t="shared" si="21"/>
        <v>CHI</v>
      </c>
    </row>
    <row r="659" spans="1:8" ht="15" x14ac:dyDescent="0.25">
      <c r="A659" s="88" t="s">
        <v>2355</v>
      </c>
      <c r="B659" s="88">
        <v>1998</v>
      </c>
      <c r="C659" s="89" t="s">
        <v>2388</v>
      </c>
      <c r="D659" s="88" t="s">
        <v>2353</v>
      </c>
      <c r="F659" s="70">
        <f t="shared" si="20"/>
        <v>1998</v>
      </c>
      <c r="G659" s="70" t="s">
        <v>159</v>
      </c>
      <c r="H659" s="70" t="str">
        <f t="shared" si="21"/>
        <v>CHU</v>
      </c>
    </row>
    <row r="660" spans="1:8" ht="15" x14ac:dyDescent="0.25">
      <c r="A660" s="88" t="s">
        <v>2355</v>
      </c>
      <c r="B660" s="88">
        <v>1998</v>
      </c>
      <c r="C660" s="89" t="s">
        <v>2387</v>
      </c>
      <c r="D660" s="88" t="s">
        <v>2353</v>
      </c>
      <c r="F660" s="70">
        <f t="shared" si="20"/>
        <v>1998</v>
      </c>
      <c r="G660" s="70" t="s">
        <v>159</v>
      </c>
      <c r="H660" s="70" t="str">
        <f t="shared" si="21"/>
        <v>CHU</v>
      </c>
    </row>
    <row r="661" spans="1:8" ht="15" x14ac:dyDescent="0.25">
      <c r="A661" s="88" t="s">
        <v>2355</v>
      </c>
      <c r="B661" s="88">
        <v>1999</v>
      </c>
      <c r="C661" s="89" t="s">
        <v>2386</v>
      </c>
      <c r="D661" s="88" t="s">
        <v>2353</v>
      </c>
      <c r="F661" s="70">
        <f t="shared" si="20"/>
        <v>1999</v>
      </c>
      <c r="G661" s="70" t="s">
        <v>159</v>
      </c>
      <c r="H661" s="70" t="str">
        <f t="shared" si="21"/>
        <v>CHU</v>
      </c>
    </row>
    <row r="662" spans="1:8" ht="15" x14ac:dyDescent="0.25">
      <c r="A662" s="88" t="s">
        <v>2355</v>
      </c>
      <c r="B662" s="88">
        <v>1999</v>
      </c>
      <c r="C662" s="89" t="s">
        <v>2385</v>
      </c>
      <c r="D662" s="88" t="s">
        <v>2353</v>
      </c>
      <c r="F662" s="70">
        <f t="shared" si="20"/>
        <v>1999</v>
      </c>
      <c r="G662" s="70" t="s">
        <v>159</v>
      </c>
      <c r="H662" s="70" t="str">
        <f t="shared" si="21"/>
        <v>CHU</v>
      </c>
    </row>
    <row r="663" spans="1:8" ht="15" x14ac:dyDescent="0.25">
      <c r="A663" s="88" t="s">
        <v>2355</v>
      </c>
      <c r="B663" s="88">
        <v>1999</v>
      </c>
      <c r="C663" s="89" t="s">
        <v>2384</v>
      </c>
      <c r="D663" s="88" t="s">
        <v>2353</v>
      </c>
      <c r="F663" s="70">
        <f t="shared" si="20"/>
        <v>1999</v>
      </c>
      <c r="G663" s="70" t="s">
        <v>159</v>
      </c>
      <c r="H663" s="70" t="str">
        <f t="shared" si="21"/>
        <v>CHU</v>
      </c>
    </row>
    <row r="664" spans="1:8" ht="15" x14ac:dyDescent="0.25">
      <c r="A664" s="88" t="s">
        <v>2355</v>
      </c>
      <c r="B664" s="88">
        <v>1999</v>
      </c>
      <c r="C664" s="89" t="s">
        <v>2383</v>
      </c>
      <c r="D664" s="88" t="s">
        <v>2353</v>
      </c>
      <c r="F664" s="70">
        <f t="shared" si="20"/>
        <v>1999</v>
      </c>
      <c r="G664" s="70" t="s">
        <v>159</v>
      </c>
      <c r="H664" s="70" t="str">
        <f t="shared" si="21"/>
        <v>CHU</v>
      </c>
    </row>
    <row r="665" spans="1:8" ht="15" x14ac:dyDescent="0.25">
      <c r="A665" s="88" t="s">
        <v>2355</v>
      </c>
      <c r="B665" s="88">
        <v>2000</v>
      </c>
      <c r="C665" s="89" t="s">
        <v>2382</v>
      </c>
      <c r="D665" s="88" t="s">
        <v>2353</v>
      </c>
      <c r="F665" s="70">
        <f t="shared" si="20"/>
        <v>2000</v>
      </c>
      <c r="G665" s="70" t="s">
        <v>159</v>
      </c>
      <c r="H665" s="70" t="str">
        <f t="shared" si="21"/>
        <v>CHU</v>
      </c>
    </row>
    <row r="666" spans="1:8" ht="15" x14ac:dyDescent="0.25">
      <c r="A666" s="88" t="s">
        <v>2355</v>
      </c>
      <c r="B666" s="88">
        <v>2000</v>
      </c>
      <c r="C666" s="89" t="s">
        <v>2381</v>
      </c>
      <c r="D666" s="88" t="s">
        <v>2353</v>
      </c>
      <c r="F666" s="70">
        <f t="shared" si="20"/>
        <v>2000</v>
      </c>
      <c r="G666" s="70" t="s">
        <v>159</v>
      </c>
      <c r="H666" s="70" t="str">
        <f t="shared" si="21"/>
        <v>CHU</v>
      </c>
    </row>
    <row r="667" spans="1:8" ht="15" x14ac:dyDescent="0.25">
      <c r="A667" s="88" t="s">
        <v>2355</v>
      </c>
      <c r="B667" s="88">
        <v>2000</v>
      </c>
      <c r="C667" s="89" t="s">
        <v>2380</v>
      </c>
      <c r="D667" s="88" t="s">
        <v>2353</v>
      </c>
      <c r="F667" s="70">
        <f t="shared" si="20"/>
        <v>2000</v>
      </c>
      <c r="G667" s="70" t="s">
        <v>159</v>
      </c>
      <c r="H667" s="70" t="str">
        <f t="shared" si="21"/>
        <v>CHU</v>
      </c>
    </row>
    <row r="668" spans="1:8" ht="15" x14ac:dyDescent="0.25">
      <c r="A668" s="88" t="s">
        <v>2355</v>
      </c>
      <c r="B668" s="88">
        <v>2000</v>
      </c>
      <c r="C668" s="89" t="s">
        <v>2379</v>
      </c>
      <c r="D668" s="88" t="s">
        <v>2353</v>
      </c>
      <c r="F668" s="70">
        <f t="shared" si="20"/>
        <v>2000</v>
      </c>
      <c r="G668" s="70" t="s">
        <v>159</v>
      </c>
      <c r="H668" s="70" t="str">
        <f t="shared" si="21"/>
        <v>CHU</v>
      </c>
    </row>
    <row r="669" spans="1:8" ht="15" x14ac:dyDescent="0.25">
      <c r="A669" s="88" t="s">
        <v>2355</v>
      </c>
      <c r="B669" s="88">
        <v>2001</v>
      </c>
      <c r="C669" s="89" t="s">
        <v>2378</v>
      </c>
      <c r="D669" s="88" t="s">
        <v>2353</v>
      </c>
      <c r="F669" s="70">
        <f t="shared" si="20"/>
        <v>2001</v>
      </c>
      <c r="G669" s="70" t="s">
        <v>159</v>
      </c>
      <c r="H669" s="70" t="str">
        <f t="shared" si="21"/>
        <v>CHU</v>
      </c>
    </row>
    <row r="670" spans="1:8" ht="15" x14ac:dyDescent="0.25">
      <c r="A670" s="88" t="s">
        <v>2355</v>
      </c>
      <c r="B670" s="88">
        <v>2001</v>
      </c>
      <c r="C670" s="89" t="s">
        <v>2377</v>
      </c>
      <c r="D670" s="88" t="s">
        <v>2353</v>
      </c>
      <c r="F670" s="70">
        <f t="shared" si="20"/>
        <v>2001</v>
      </c>
      <c r="G670" s="70" t="s">
        <v>159</v>
      </c>
      <c r="H670" s="70" t="str">
        <f t="shared" si="21"/>
        <v>CHU</v>
      </c>
    </row>
    <row r="671" spans="1:8" ht="15" x14ac:dyDescent="0.25">
      <c r="A671" s="88" t="s">
        <v>2355</v>
      </c>
      <c r="B671" s="88">
        <v>2002</v>
      </c>
      <c r="C671" s="89" t="s">
        <v>2376</v>
      </c>
      <c r="D671" s="88" t="s">
        <v>2353</v>
      </c>
      <c r="F671" s="70">
        <f t="shared" si="20"/>
        <v>2002</v>
      </c>
      <c r="G671" s="70" t="s">
        <v>159</v>
      </c>
      <c r="H671" s="70" t="str">
        <f t="shared" si="21"/>
        <v>CHU</v>
      </c>
    </row>
    <row r="672" spans="1:8" ht="15" x14ac:dyDescent="0.25">
      <c r="A672" s="88" t="s">
        <v>2355</v>
      </c>
      <c r="B672" s="88">
        <v>2002</v>
      </c>
      <c r="C672" s="89" t="s">
        <v>2375</v>
      </c>
      <c r="D672" s="88" t="s">
        <v>2353</v>
      </c>
      <c r="F672" s="70">
        <f t="shared" si="20"/>
        <v>2002</v>
      </c>
      <c r="G672" s="70" t="s">
        <v>159</v>
      </c>
      <c r="H672" s="70" t="str">
        <f t="shared" si="21"/>
        <v>CHU</v>
      </c>
    </row>
    <row r="673" spans="1:8" ht="15" x14ac:dyDescent="0.25">
      <c r="A673" s="88" t="s">
        <v>2355</v>
      </c>
      <c r="B673" s="88">
        <v>2003</v>
      </c>
      <c r="C673" s="89" t="s">
        <v>2374</v>
      </c>
      <c r="D673" s="88" t="s">
        <v>2353</v>
      </c>
      <c r="F673" s="70">
        <f t="shared" si="20"/>
        <v>2003</v>
      </c>
      <c r="G673" s="70" t="s">
        <v>159</v>
      </c>
      <c r="H673" s="70" t="str">
        <f t="shared" si="21"/>
        <v>CHU</v>
      </c>
    </row>
    <row r="674" spans="1:8" ht="15" x14ac:dyDescent="0.25">
      <c r="A674" s="88" t="s">
        <v>2355</v>
      </c>
      <c r="B674" s="88">
        <v>2004</v>
      </c>
      <c r="C674" s="89" t="s">
        <v>2373</v>
      </c>
      <c r="D674" s="88" t="s">
        <v>2353</v>
      </c>
      <c r="F674" s="70">
        <f t="shared" si="20"/>
        <v>2004</v>
      </c>
      <c r="G674" s="70" t="s">
        <v>159</v>
      </c>
      <c r="H674" s="70" t="str">
        <f t="shared" si="21"/>
        <v>CHU</v>
      </c>
    </row>
    <row r="675" spans="1:8" ht="15" x14ac:dyDescent="0.25">
      <c r="A675" s="88" t="s">
        <v>2355</v>
      </c>
      <c r="B675" s="88">
        <v>2004</v>
      </c>
      <c r="C675" s="89" t="s">
        <v>2372</v>
      </c>
      <c r="D675" s="88" t="s">
        <v>2353</v>
      </c>
      <c r="F675" s="70">
        <f t="shared" si="20"/>
        <v>2004</v>
      </c>
      <c r="G675" s="70" t="s">
        <v>159</v>
      </c>
      <c r="H675" s="70" t="str">
        <f t="shared" si="21"/>
        <v>CHU</v>
      </c>
    </row>
    <row r="676" spans="1:8" ht="15" x14ac:dyDescent="0.25">
      <c r="A676" s="88" t="s">
        <v>2355</v>
      </c>
      <c r="B676" s="88">
        <v>2004</v>
      </c>
      <c r="C676" s="89" t="s">
        <v>2371</v>
      </c>
      <c r="D676" s="88" t="s">
        <v>2353</v>
      </c>
      <c r="F676" s="70">
        <f t="shared" si="20"/>
        <v>2004</v>
      </c>
      <c r="G676" s="70" t="s">
        <v>159</v>
      </c>
      <c r="H676" s="70" t="str">
        <f t="shared" si="21"/>
        <v>CHU</v>
      </c>
    </row>
    <row r="677" spans="1:8" ht="15" x14ac:dyDescent="0.25">
      <c r="A677" s="88" t="s">
        <v>2355</v>
      </c>
      <c r="B677" s="88">
        <v>2004</v>
      </c>
      <c r="C677" s="89" t="s">
        <v>2370</v>
      </c>
      <c r="D677" s="88" t="s">
        <v>2353</v>
      </c>
      <c r="F677" s="70">
        <f t="shared" si="20"/>
        <v>2004</v>
      </c>
      <c r="G677" s="70" t="s">
        <v>159</v>
      </c>
      <c r="H677" s="70" t="str">
        <f t="shared" si="21"/>
        <v>CHU</v>
      </c>
    </row>
    <row r="678" spans="1:8" ht="15" x14ac:dyDescent="0.25">
      <c r="A678" s="88" t="s">
        <v>2355</v>
      </c>
      <c r="B678" s="88">
        <v>2005</v>
      </c>
      <c r="C678" s="89" t="s">
        <v>2369</v>
      </c>
      <c r="D678" s="88" t="s">
        <v>2353</v>
      </c>
      <c r="F678" s="70">
        <f t="shared" si="20"/>
        <v>2005</v>
      </c>
      <c r="G678" s="70" t="s">
        <v>159</v>
      </c>
      <c r="H678" s="70" t="str">
        <f t="shared" si="21"/>
        <v>CHU</v>
      </c>
    </row>
    <row r="679" spans="1:8" ht="15" x14ac:dyDescent="0.25">
      <c r="A679" s="88" t="s">
        <v>2355</v>
      </c>
      <c r="B679" s="88">
        <v>2005</v>
      </c>
      <c r="C679" s="89" t="s">
        <v>2368</v>
      </c>
      <c r="D679" s="88" t="s">
        <v>2353</v>
      </c>
      <c r="F679" s="70">
        <f t="shared" si="20"/>
        <v>2005</v>
      </c>
      <c r="G679" s="70" t="s">
        <v>159</v>
      </c>
      <c r="H679" s="70" t="str">
        <f t="shared" si="21"/>
        <v>CHU</v>
      </c>
    </row>
    <row r="680" spans="1:8" ht="15" x14ac:dyDescent="0.25">
      <c r="A680" s="88" t="s">
        <v>2355</v>
      </c>
      <c r="B680" s="88">
        <v>2005</v>
      </c>
      <c r="C680" s="89" t="s">
        <v>2367</v>
      </c>
      <c r="D680" s="88" t="s">
        <v>2353</v>
      </c>
      <c r="F680" s="70">
        <f t="shared" si="20"/>
        <v>2005</v>
      </c>
      <c r="G680" s="70" t="s">
        <v>159</v>
      </c>
      <c r="H680" s="70" t="str">
        <f t="shared" si="21"/>
        <v>CHU</v>
      </c>
    </row>
    <row r="681" spans="1:8" ht="15" x14ac:dyDescent="0.25">
      <c r="A681" s="88" t="s">
        <v>2355</v>
      </c>
      <c r="B681" s="88">
        <v>2005</v>
      </c>
      <c r="C681" s="89" t="s">
        <v>2366</v>
      </c>
      <c r="D681" s="88" t="s">
        <v>2353</v>
      </c>
      <c r="F681" s="70">
        <f t="shared" si="20"/>
        <v>2005</v>
      </c>
      <c r="G681" s="70" t="s">
        <v>159</v>
      </c>
      <c r="H681" s="70" t="str">
        <f t="shared" si="21"/>
        <v>CHU</v>
      </c>
    </row>
    <row r="682" spans="1:8" ht="15" x14ac:dyDescent="0.25">
      <c r="A682" s="88" t="s">
        <v>2355</v>
      </c>
      <c r="B682" s="88">
        <v>2006</v>
      </c>
      <c r="C682" s="89" t="s">
        <v>2365</v>
      </c>
      <c r="D682" s="88" t="s">
        <v>2353</v>
      </c>
      <c r="F682" s="70">
        <f t="shared" si="20"/>
        <v>2006</v>
      </c>
      <c r="G682" s="70" t="s">
        <v>159</v>
      </c>
      <c r="H682" s="70" t="str">
        <f t="shared" si="21"/>
        <v>CHU</v>
      </c>
    </row>
    <row r="683" spans="1:8" ht="15" x14ac:dyDescent="0.25">
      <c r="A683" s="88" t="s">
        <v>2355</v>
      </c>
      <c r="B683" s="88">
        <v>2006</v>
      </c>
      <c r="C683" s="89" t="s">
        <v>2364</v>
      </c>
      <c r="D683" s="88" t="s">
        <v>2353</v>
      </c>
      <c r="F683" s="70">
        <f t="shared" si="20"/>
        <v>2006</v>
      </c>
      <c r="G683" s="70" t="s">
        <v>159</v>
      </c>
      <c r="H683" s="70" t="str">
        <f t="shared" si="21"/>
        <v>CHU</v>
      </c>
    </row>
    <row r="684" spans="1:8" ht="15" x14ac:dyDescent="0.25">
      <c r="A684" s="88" t="s">
        <v>2355</v>
      </c>
      <c r="B684" s="88">
        <v>2006</v>
      </c>
      <c r="C684" s="89" t="s">
        <v>2363</v>
      </c>
      <c r="D684" s="88" t="s">
        <v>2353</v>
      </c>
      <c r="F684" s="70">
        <f t="shared" si="20"/>
        <v>2006</v>
      </c>
      <c r="G684" s="70" t="s">
        <v>159</v>
      </c>
      <c r="H684" s="70" t="str">
        <f t="shared" si="21"/>
        <v>CHU</v>
      </c>
    </row>
    <row r="685" spans="1:8" ht="15" x14ac:dyDescent="0.25">
      <c r="A685" s="88" t="s">
        <v>2355</v>
      </c>
      <c r="B685" s="88">
        <v>2006</v>
      </c>
      <c r="C685" s="89" t="s">
        <v>2362</v>
      </c>
      <c r="D685" s="88" t="s">
        <v>2353</v>
      </c>
      <c r="F685" s="70">
        <f t="shared" si="20"/>
        <v>2006</v>
      </c>
      <c r="G685" s="70" t="s">
        <v>159</v>
      </c>
      <c r="H685" s="70" t="str">
        <f t="shared" si="21"/>
        <v>CHU</v>
      </c>
    </row>
    <row r="686" spans="1:8" ht="15" x14ac:dyDescent="0.25">
      <c r="A686" s="88" t="s">
        <v>2355</v>
      </c>
      <c r="B686" s="88">
        <v>2007</v>
      </c>
      <c r="C686" s="89" t="s">
        <v>2361</v>
      </c>
      <c r="D686" s="88" t="s">
        <v>2353</v>
      </c>
      <c r="F686" s="70">
        <f t="shared" si="20"/>
        <v>2007</v>
      </c>
      <c r="G686" s="70" t="s">
        <v>159</v>
      </c>
      <c r="H686" s="70" t="str">
        <f t="shared" si="21"/>
        <v>CHU</v>
      </c>
    </row>
    <row r="687" spans="1:8" ht="15" x14ac:dyDescent="0.25">
      <c r="A687" s="88" t="s">
        <v>2355</v>
      </c>
      <c r="B687" s="88">
        <v>2007</v>
      </c>
      <c r="C687" s="89" t="s">
        <v>2360</v>
      </c>
      <c r="D687" s="88" t="s">
        <v>2353</v>
      </c>
      <c r="F687" s="70">
        <f t="shared" si="20"/>
        <v>2007</v>
      </c>
      <c r="G687" s="70" t="s">
        <v>159</v>
      </c>
      <c r="H687" s="70" t="str">
        <f t="shared" si="21"/>
        <v>CHU</v>
      </c>
    </row>
    <row r="688" spans="1:8" ht="15" x14ac:dyDescent="0.25">
      <c r="A688" s="88" t="s">
        <v>2355</v>
      </c>
      <c r="B688" s="88">
        <v>2008</v>
      </c>
      <c r="C688" s="89" t="s">
        <v>2359</v>
      </c>
      <c r="D688" s="88" t="s">
        <v>2353</v>
      </c>
      <c r="F688" s="70">
        <f t="shared" si="20"/>
        <v>2008</v>
      </c>
      <c r="G688" s="70" t="s">
        <v>159</v>
      </c>
      <c r="H688" s="70" t="str">
        <f t="shared" si="21"/>
        <v>CHU</v>
      </c>
    </row>
    <row r="689" spans="1:8" ht="15" x14ac:dyDescent="0.25">
      <c r="A689" s="88" t="s">
        <v>2355</v>
      </c>
      <c r="B689" s="88">
        <v>2008</v>
      </c>
      <c r="C689" s="89" t="s">
        <v>2358</v>
      </c>
      <c r="D689" s="88" t="s">
        <v>2353</v>
      </c>
      <c r="F689" s="70">
        <f t="shared" si="20"/>
        <v>2008</v>
      </c>
      <c r="G689" s="70" t="s">
        <v>159</v>
      </c>
      <c r="H689" s="70" t="str">
        <f t="shared" si="21"/>
        <v>CHU</v>
      </c>
    </row>
    <row r="690" spans="1:8" ht="15" x14ac:dyDescent="0.25">
      <c r="A690" s="88" t="s">
        <v>2355</v>
      </c>
      <c r="B690" s="88">
        <v>2009</v>
      </c>
      <c r="C690" s="89" t="s">
        <v>2357</v>
      </c>
      <c r="D690" s="88" t="s">
        <v>2353</v>
      </c>
      <c r="F690" s="70">
        <f t="shared" si="20"/>
        <v>2009</v>
      </c>
      <c r="G690" s="70" t="s">
        <v>159</v>
      </c>
      <c r="H690" s="70" t="str">
        <f t="shared" si="21"/>
        <v>CHU</v>
      </c>
    </row>
    <row r="691" spans="1:8" ht="15" x14ac:dyDescent="0.25">
      <c r="A691" s="88" t="s">
        <v>2355</v>
      </c>
      <c r="B691" s="88">
        <v>2010</v>
      </c>
      <c r="C691" s="89" t="s">
        <v>2356</v>
      </c>
      <c r="D691" s="88" t="s">
        <v>2353</v>
      </c>
      <c r="F691" s="70">
        <f t="shared" si="20"/>
        <v>2010</v>
      </c>
      <c r="G691" s="70" t="s">
        <v>159</v>
      </c>
      <c r="H691" s="70" t="str">
        <f t="shared" si="21"/>
        <v>CHU</v>
      </c>
    </row>
    <row r="692" spans="1:8" ht="15" x14ac:dyDescent="0.25">
      <c r="A692" s="88" t="s">
        <v>2355</v>
      </c>
      <c r="B692" s="88">
        <v>2011</v>
      </c>
      <c r="C692" s="89" t="s">
        <v>2354</v>
      </c>
      <c r="D692" s="88" t="s">
        <v>2353</v>
      </c>
      <c r="F692" s="70">
        <f t="shared" si="20"/>
        <v>2011</v>
      </c>
      <c r="G692" s="70" t="s">
        <v>159</v>
      </c>
      <c r="H692" s="70" t="str">
        <f t="shared" si="21"/>
        <v>CHU</v>
      </c>
    </row>
    <row r="693" spans="1:8" ht="15" x14ac:dyDescent="0.25">
      <c r="A693" s="88" t="s">
        <v>168</v>
      </c>
      <c r="B693" s="88">
        <v>1977</v>
      </c>
      <c r="C693" s="89" t="s">
        <v>2352</v>
      </c>
      <c r="D693" s="88" t="s">
        <v>160</v>
      </c>
      <c r="F693" s="70">
        <f t="shared" si="20"/>
        <v>1977</v>
      </c>
      <c r="G693" s="70" t="s">
        <v>159</v>
      </c>
      <c r="H693" s="70" t="str">
        <f t="shared" si="21"/>
        <v>CKO</v>
      </c>
    </row>
    <row r="694" spans="1:8" ht="15" x14ac:dyDescent="0.25">
      <c r="A694" s="88" t="s">
        <v>168</v>
      </c>
      <c r="B694" s="88">
        <v>1977</v>
      </c>
      <c r="C694" s="89" t="s">
        <v>2351</v>
      </c>
      <c r="D694" s="88" t="s">
        <v>160</v>
      </c>
      <c r="F694" s="70">
        <f t="shared" si="20"/>
        <v>1977</v>
      </c>
      <c r="G694" s="70" t="s">
        <v>159</v>
      </c>
      <c r="H694" s="70" t="str">
        <f t="shared" si="21"/>
        <v>CKO</v>
      </c>
    </row>
    <row r="695" spans="1:8" ht="15" x14ac:dyDescent="0.25">
      <c r="A695" s="88" t="s">
        <v>168</v>
      </c>
      <c r="B695" s="88">
        <v>1978</v>
      </c>
      <c r="C695" s="89" t="s">
        <v>2350</v>
      </c>
      <c r="D695" s="88" t="s">
        <v>160</v>
      </c>
      <c r="F695" s="70">
        <f t="shared" si="20"/>
        <v>1978</v>
      </c>
      <c r="G695" s="70" t="s">
        <v>159</v>
      </c>
      <c r="H695" s="70" t="str">
        <f t="shared" si="21"/>
        <v>CKO</v>
      </c>
    </row>
    <row r="696" spans="1:8" ht="15" x14ac:dyDescent="0.25">
      <c r="A696" s="88" t="s">
        <v>168</v>
      </c>
      <c r="B696" s="88">
        <v>1978</v>
      </c>
      <c r="C696" s="89" t="s">
        <v>2349</v>
      </c>
      <c r="D696" s="88" t="s">
        <v>160</v>
      </c>
      <c r="F696" s="70">
        <f t="shared" si="20"/>
        <v>1978</v>
      </c>
      <c r="G696" s="70" t="s">
        <v>159</v>
      </c>
      <c r="H696" s="70" t="str">
        <f t="shared" si="21"/>
        <v>CKO</v>
      </c>
    </row>
    <row r="697" spans="1:8" ht="15" x14ac:dyDescent="0.25">
      <c r="A697" s="88" t="s">
        <v>2064</v>
      </c>
      <c r="B697" s="88">
        <v>1979</v>
      </c>
      <c r="C697" s="89" t="s">
        <v>2348</v>
      </c>
      <c r="D697" s="88" t="s">
        <v>160</v>
      </c>
      <c r="F697" s="70">
        <f t="shared" si="20"/>
        <v>1979</v>
      </c>
      <c r="G697" s="70" t="s">
        <v>159</v>
      </c>
      <c r="H697" s="70" t="str">
        <f t="shared" si="21"/>
        <v>COW</v>
      </c>
    </row>
    <row r="698" spans="1:8" ht="15" x14ac:dyDescent="0.25">
      <c r="A698" s="88" t="s">
        <v>2064</v>
      </c>
      <c r="B698" s="88">
        <v>1979</v>
      </c>
      <c r="C698" s="89" t="s">
        <v>2347</v>
      </c>
      <c r="D698" s="88" t="s">
        <v>160</v>
      </c>
      <c r="F698" s="70">
        <f t="shared" si="20"/>
        <v>1979</v>
      </c>
      <c r="G698" s="70" t="s">
        <v>159</v>
      </c>
      <c r="H698" s="70" t="str">
        <f t="shared" si="21"/>
        <v>COW</v>
      </c>
    </row>
    <row r="699" spans="1:8" ht="15" x14ac:dyDescent="0.25">
      <c r="A699" s="88" t="s">
        <v>2064</v>
      </c>
      <c r="B699" s="88">
        <v>1980</v>
      </c>
      <c r="C699" s="89" t="s">
        <v>2346</v>
      </c>
      <c r="D699" s="88" t="s">
        <v>160</v>
      </c>
      <c r="F699" s="70">
        <f t="shared" si="20"/>
        <v>1980</v>
      </c>
      <c r="G699" s="70" t="s">
        <v>159</v>
      </c>
      <c r="H699" s="70" t="str">
        <f t="shared" si="21"/>
        <v>COW</v>
      </c>
    </row>
    <row r="700" spans="1:8" ht="15" x14ac:dyDescent="0.25">
      <c r="A700" s="88" t="s">
        <v>2064</v>
      </c>
      <c r="B700" s="88">
        <v>1981</v>
      </c>
      <c r="C700" s="89" t="s">
        <v>2345</v>
      </c>
      <c r="D700" s="88" t="s">
        <v>160</v>
      </c>
      <c r="F700" s="70">
        <f t="shared" si="20"/>
        <v>1981</v>
      </c>
      <c r="G700" s="70" t="s">
        <v>159</v>
      </c>
      <c r="H700" s="70" t="str">
        <f t="shared" si="21"/>
        <v>COW</v>
      </c>
    </row>
    <row r="701" spans="1:8" ht="15" x14ac:dyDescent="0.25">
      <c r="A701" s="88" t="s">
        <v>2064</v>
      </c>
      <c r="B701" s="88">
        <v>1982</v>
      </c>
      <c r="C701" s="89" t="s">
        <v>2344</v>
      </c>
      <c r="D701" s="88" t="s">
        <v>160</v>
      </c>
      <c r="F701" s="70">
        <f t="shared" si="20"/>
        <v>1982</v>
      </c>
      <c r="G701" s="70" t="s">
        <v>159</v>
      </c>
      <c r="H701" s="70" t="str">
        <f t="shared" si="21"/>
        <v>COW</v>
      </c>
    </row>
    <row r="702" spans="1:8" ht="15" x14ac:dyDescent="0.25">
      <c r="A702" s="88" t="s">
        <v>2064</v>
      </c>
      <c r="B702" s="88">
        <v>1983</v>
      </c>
      <c r="C702" s="89" t="s">
        <v>2343</v>
      </c>
      <c r="D702" s="88" t="s">
        <v>160</v>
      </c>
      <c r="F702" s="70">
        <f t="shared" si="20"/>
        <v>1983</v>
      </c>
      <c r="G702" s="70" t="s">
        <v>159</v>
      </c>
      <c r="H702" s="70" t="str">
        <f t="shared" si="21"/>
        <v>COW</v>
      </c>
    </row>
    <row r="703" spans="1:8" ht="15" x14ac:dyDescent="0.25">
      <c r="A703" s="88" t="s">
        <v>2064</v>
      </c>
      <c r="B703" s="88">
        <v>1985</v>
      </c>
      <c r="C703" s="89" t="s">
        <v>2342</v>
      </c>
      <c r="D703" s="88" t="s">
        <v>160</v>
      </c>
      <c r="F703" s="70">
        <f t="shared" si="20"/>
        <v>1985</v>
      </c>
      <c r="G703" s="70" t="s">
        <v>159</v>
      </c>
      <c r="H703" s="70" t="str">
        <f t="shared" si="21"/>
        <v>COW</v>
      </c>
    </row>
    <row r="704" spans="1:8" ht="15" x14ac:dyDescent="0.25">
      <c r="A704" s="88" t="s">
        <v>2064</v>
      </c>
      <c r="B704" s="88">
        <v>1985</v>
      </c>
      <c r="C704" s="89" t="s">
        <v>2341</v>
      </c>
      <c r="D704" s="88" t="s">
        <v>160</v>
      </c>
      <c r="F704" s="70">
        <f t="shared" si="20"/>
        <v>1985</v>
      </c>
      <c r="G704" s="70" t="s">
        <v>159</v>
      </c>
      <c r="H704" s="70" t="str">
        <f t="shared" si="21"/>
        <v>COW</v>
      </c>
    </row>
    <row r="705" spans="1:8" ht="15" x14ac:dyDescent="0.25">
      <c r="A705" s="88" t="s">
        <v>2064</v>
      </c>
      <c r="B705" s="88">
        <v>1985</v>
      </c>
      <c r="C705" s="89" t="s">
        <v>2340</v>
      </c>
      <c r="D705" s="88" t="s">
        <v>160</v>
      </c>
      <c r="F705" s="70">
        <f t="shared" si="20"/>
        <v>1985</v>
      </c>
      <c r="G705" s="70" t="s">
        <v>159</v>
      </c>
      <c r="H705" s="70" t="str">
        <f t="shared" si="21"/>
        <v>COW</v>
      </c>
    </row>
    <row r="706" spans="1:8" ht="15" x14ac:dyDescent="0.25">
      <c r="A706" s="88" t="s">
        <v>2064</v>
      </c>
      <c r="B706" s="88">
        <v>1987</v>
      </c>
      <c r="C706" s="89" t="s">
        <v>2339</v>
      </c>
      <c r="D706" s="88" t="s">
        <v>160</v>
      </c>
      <c r="F706" s="70">
        <f t="shared" si="20"/>
        <v>1987</v>
      </c>
      <c r="G706" s="70" t="s">
        <v>159</v>
      </c>
      <c r="H706" s="70" t="str">
        <f t="shared" si="21"/>
        <v>COW</v>
      </c>
    </row>
    <row r="707" spans="1:8" ht="15" x14ac:dyDescent="0.25">
      <c r="A707" s="88" t="s">
        <v>2064</v>
      </c>
      <c r="B707" s="88">
        <v>1987</v>
      </c>
      <c r="C707" s="89" t="s">
        <v>2338</v>
      </c>
      <c r="D707" s="88" t="s">
        <v>160</v>
      </c>
      <c r="F707" s="70">
        <f t="shared" si="20"/>
        <v>1987</v>
      </c>
      <c r="G707" s="70" t="s">
        <v>159</v>
      </c>
      <c r="H707" s="70" t="str">
        <f t="shared" si="21"/>
        <v>COW</v>
      </c>
    </row>
    <row r="708" spans="1:8" ht="15" x14ac:dyDescent="0.25">
      <c r="A708" s="88" t="s">
        <v>2064</v>
      </c>
      <c r="B708" s="88">
        <v>1987</v>
      </c>
      <c r="C708" s="89" t="s">
        <v>2337</v>
      </c>
      <c r="D708" s="88" t="s">
        <v>160</v>
      </c>
      <c r="F708" s="70">
        <f t="shared" si="20"/>
        <v>1987</v>
      </c>
      <c r="G708" s="70" t="s">
        <v>159</v>
      </c>
      <c r="H708" s="70" t="str">
        <f t="shared" si="21"/>
        <v>COW</v>
      </c>
    </row>
    <row r="709" spans="1:8" ht="15" x14ac:dyDescent="0.25">
      <c r="A709" s="88" t="s">
        <v>2064</v>
      </c>
      <c r="B709" s="88">
        <v>1987</v>
      </c>
      <c r="C709" s="89" t="s">
        <v>2336</v>
      </c>
      <c r="D709" s="88" t="s">
        <v>160</v>
      </c>
      <c r="F709" s="70">
        <f t="shared" si="20"/>
        <v>1987</v>
      </c>
      <c r="G709" s="70" t="s">
        <v>159</v>
      </c>
      <c r="H709" s="70" t="str">
        <f t="shared" si="21"/>
        <v>COW</v>
      </c>
    </row>
    <row r="710" spans="1:8" ht="15" x14ac:dyDescent="0.25">
      <c r="A710" s="88" t="s">
        <v>2064</v>
      </c>
      <c r="B710" s="88">
        <v>1987</v>
      </c>
      <c r="C710" s="89" t="s">
        <v>2335</v>
      </c>
      <c r="D710" s="88" t="s">
        <v>160</v>
      </c>
      <c r="F710" s="70">
        <f t="shared" si="20"/>
        <v>1987</v>
      </c>
      <c r="G710" s="70" t="s">
        <v>159</v>
      </c>
      <c r="H710" s="70" t="str">
        <f t="shared" si="21"/>
        <v>COW</v>
      </c>
    </row>
    <row r="711" spans="1:8" ht="15" x14ac:dyDescent="0.25">
      <c r="A711" s="88" t="s">
        <v>2064</v>
      </c>
      <c r="B711" s="88">
        <v>1987</v>
      </c>
      <c r="C711" s="89" t="s">
        <v>2334</v>
      </c>
      <c r="D711" s="88" t="s">
        <v>160</v>
      </c>
      <c r="F711" s="70">
        <f t="shared" si="20"/>
        <v>1987</v>
      </c>
      <c r="G711" s="70" t="s">
        <v>159</v>
      </c>
      <c r="H711" s="70" t="str">
        <f t="shared" si="21"/>
        <v>COW</v>
      </c>
    </row>
    <row r="712" spans="1:8" ht="15" x14ac:dyDescent="0.25">
      <c r="A712" s="88" t="s">
        <v>2064</v>
      </c>
      <c r="B712" s="88">
        <v>1988</v>
      </c>
      <c r="C712" s="89" t="s">
        <v>2333</v>
      </c>
      <c r="D712" s="88" t="s">
        <v>160</v>
      </c>
      <c r="F712" s="70">
        <f t="shared" ref="F712:F775" si="22">+B712</f>
        <v>1988</v>
      </c>
      <c r="G712" s="70" t="s">
        <v>159</v>
      </c>
      <c r="H712" s="70" t="str">
        <f t="shared" ref="H712:H775" si="23">A712</f>
        <v>COW</v>
      </c>
    </row>
    <row r="713" spans="1:8" ht="15" x14ac:dyDescent="0.25">
      <c r="A713" s="88" t="s">
        <v>2064</v>
      </c>
      <c r="B713" s="88">
        <v>1988</v>
      </c>
      <c r="C713" s="89" t="s">
        <v>2332</v>
      </c>
      <c r="D713" s="88" t="s">
        <v>160</v>
      </c>
      <c r="F713" s="70">
        <f t="shared" si="22"/>
        <v>1988</v>
      </c>
      <c r="G713" s="70" t="s">
        <v>159</v>
      </c>
      <c r="H713" s="70" t="str">
        <f t="shared" si="23"/>
        <v>COW</v>
      </c>
    </row>
    <row r="714" spans="1:8" ht="15" x14ac:dyDescent="0.25">
      <c r="A714" s="88" t="s">
        <v>2064</v>
      </c>
      <c r="B714" s="88">
        <v>1988</v>
      </c>
      <c r="C714" s="89" t="s">
        <v>2331</v>
      </c>
      <c r="D714" s="88" t="s">
        <v>160</v>
      </c>
      <c r="F714" s="70">
        <f t="shared" si="22"/>
        <v>1988</v>
      </c>
      <c r="G714" s="70" t="s">
        <v>159</v>
      </c>
      <c r="H714" s="70" t="str">
        <f t="shared" si="23"/>
        <v>COW</v>
      </c>
    </row>
    <row r="715" spans="1:8" ht="15" x14ac:dyDescent="0.25">
      <c r="A715" s="88" t="s">
        <v>2064</v>
      </c>
      <c r="B715" s="88">
        <v>1988</v>
      </c>
      <c r="C715" s="89" t="s">
        <v>2330</v>
      </c>
      <c r="D715" s="88" t="s">
        <v>160</v>
      </c>
      <c r="F715" s="70">
        <f t="shared" si="22"/>
        <v>1988</v>
      </c>
      <c r="G715" s="70" t="s">
        <v>159</v>
      </c>
      <c r="H715" s="70" t="str">
        <f t="shared" si="23"/>
        <v>COW</v>
      </c>
    </row>
    <row r="716" spans="1:8" ht="15" x14ac:dyDescent="0.25">
      <c r="A716" s="88" t="s">
        <v>2064</v>
      </c>
      <c r="B716" s="88">
        <v>1988</v>
      </c>
      <c r="C716" s="89" t="s">
        <v>2329</v>
      </c>
      <c r="D716" s="88" t="s">
        <v>160</v>
      </c>
      <c r="F716" s="70">
        <f t="shared" si="22"/>
        <v>1988</v>
      </c>
      <c r="G716" s="70" t="s">
        <v>159</v>
      </c>
      <c r="H716" s="70" t="str">
        <f t="shared" si="23"/>
        <v>COW</v>
      </c>
    </row>
    <row r="717" spans="1:8" ht="15" x14ac:dyDescent="0.25">
      <c r="A717" s="88" t="s">
        <v>2064</v>
      </c>
      <c r="B717" s="88">
        <v>1988</v>
      </c>
      <c r="C717" s="89" t="s">
        <v>2328</v>
      </c>
      <c r="D717" s="88" t="s">
        <v>160</v>
      </c>
      <c r="F717" s="70">
        <f t="shared" si="22"/>
        <v>1988</v>
      </c>
      <c r="G717" s="70" t="s">
        <v>159</v>
      </c>
      <c r="H717" s="70" t="str">
        <f t="shared" si="23"/>
        <v>COW</v>
      </c>
    </row>
    <row r="718" spans="1:8" ht="15" x14ac:dyDescent="0.25">
      <c r="A718" s="88" t="s">
        <v>2064</v>
      </c>
      <c r="B718" s="88">
        <v>1988</v>
      </c>
      <c r="C718" s="89" t="s">
        <v>2327</v>
      </c>
      <c r="D718" s="88" t="s">
        <v>160</v>
      </c>
      <c r="F718" s="70">
        <f t="shared" si="22"/>
        <v>1988</v>
      </c>
      <c r="G718" s="70" t="s">
        <v>159</v>
      </c>
      <c r="H718" s="70" t="str">
        <f t="shared" si="23"/>
        <v>COW</v>
      </c>
    </row>
    <row r="719" spans="1:8" ht="15" x14ac:dyDescent="0.25">
      <c r="A719" s="88" t="s">
        <v>2064</v>
      </c>
      <c r="B719" s="88">
        <v>1988</v>
      </c>
      <c r="C719" s="89" t="s">
        <v>2326</v>
      </c>
      <c r="D719" s="88" t="s">
        <v>160</v>
      </c>
      <c r="F719" s="70">
        <f t="shared" si="22"/>
        <v>1988</v>
      </c>
      <c r="G719" s="70" t="s">
        <v>159</v>
      </c>
      <c r="H719" s="70" t="str">
        <f t="shared" si="23"/>
        <v>COW</v>
      </c>
    </row>
    <row r="720" spans="1:8" ht="15" x14ac:dyDescent="0.25">
      <c r="A720" s="88" t="s">
        <v>2064</v>
      </c>
      <c r="B720" s="88">
        <v>1989</v>
      </c>
      <c r="C720" s="89" t="s">
        <v>2325</v>
      </c>
      <c r="D720" s="88" t="s">
        <v>160</v>
      </c>
      <c r="F720" s="70">
        <f t="shared" si="22"/>
        <v>1989</v>
      </c>
      <c r="G720" s="70" t="s">
        <v>159</v>
      </c>
      <c r="H720" s="70" t="str">
        <f t="shared" si="23"/>
        <v>COW</v>
      </c>
    </row>
    <row r="721" spans="1:8" ht="15" x14ac:dyDescent="0.25">
      <c r="A721" s="88" t="s">
        <v>2064</v>
      </c>
      <c r="B721" s="88">
        <v>1989</v>
      </c>
      <c r="C721" s="89" t="s">
        <v>2324</v>
      </c>
      <c r="D721" s="88" t="s">
        <v>160</v>
      </c>
      <c r="F721" s="70">
        <f t="shared" si="22"/>
        <v>1989</v>
      </c>
      <c r="G721" s="70" t="s">
        <v>159</v>
      </c>
      <c r="H721" s="70" t="str">
        <f t="shared" si="23"/>
        <v>COW</v>
      </c>
    </row>
    <row r="722" spans="1:8" ht="15" x14ac:dyDescent="0.25">
      <c r="A722" s="88" t="s">
        <v>2064</v>
      </c>
      <c r="B722" s="88">
        <v>1989</v>
      </c>
      <c r="C722" s="89" t="s">
        <v>2323</v>
      </c>
      <c r="D722" s="88" t="s">
        <v>160</v>
      </c>
      <c r="F722" s="70">
        <f t="shared" si="22"/>
        <v>1989</v>
      </c>
      <c r="G722" s="70" t="s">
        <v>159</v>
      </c>
      <c r="H722" s="70" t="str">
        <f t="shared" si="23"/>
        <v>COW</v>
      </c>
    </row>
    <row r="723" spans="1:8" ht="15" x14ac:dyDescent="0.25">
      <c r="A723" s="88" t="s">
        <v>2064</v>
      </c>
      <c r="B723" s="88">
        <v>1989</v>
      </c>
      <c r="C723" s="89" t="s">
        <v>2322</v>
      </c>
      <c r="D723" s="88" t="s">
        <v>160</v>
      </c>
      <c r="F723" s="70">
        <f t="shared" si="22"/>
        <v>1989</v>
      </c>
      <c r="G723" s="70" t="s">
        <v>159</v>
      </c>
      <c r="H723" s="70" t="str">
        <f t="shared" si="23"/>
        <v>COW</v>
      </c>
    </row>
    <row r="724" spans="1:8" ht="15" x14ac:dyDescent="0.25">
      <c r="A724" s="88" t="s">
        <v>2064</v>
      </c>
      <c r="B724" s="88">
        <v>1989</v>
      </c>
      <c r="C724" s="89" t="s">
        <v>2321</v>
      </c>
      <c r="D724" s="88" t="s">
        <v>160</v>
      </c>
      <c r="F724" s="70">
        <f t="shared" si="22"/>
        <v>1989</v>
      </c>
      <c r="G724" s="70" t="s">
        <v>159</v>
      </c>
      <c r="H724" s="70" t="str">
        <f t="shared" si="23"/>
        <v>COW</v>
      </c>
    </row>
    <row r="725" spans="1:8" ht="15" x14ac:dyDescent="0.25">
      <c r="A725" s="88" t="s">
        <v>2064</v>
      </c>
      <c r="B725" s="88">
        <v>1989</v>
      </c>
      <c r="C725" s="89" t="s">
        <v>2320</v>
      </c>
      <c r="D725" s="88" t="s">
        <v>160</v>
      </c>
      <c r="F725" s="70">
        <f t="shared" si="22"/>
        <v>1989</v>
      </c>
      <c r="G725" s="70" t="s">
        <v>159</v>
      </c>
      <c r="H725" s="70" t="str">
        <f t="shared" si="23"/>
        <v>COW</v>
      </c>
    </row>
    <row r="726" spans="1:8" ht="15" x14ac:dyDescent="0.25">
      <c r="A726" s="88" t="s">
        <v>2064</v>
      </c>
      <c r="B726" s="88">
        <v>1989</v>
      </c>
      <c r="C726" s="89" t="s">
        <v>2319</v>
      </c>
      <c r="D726" s="88" t="s">
        <v>160</v>
      </c>
      <c r="F726" s="70">
        <f t="shared" si="22"/>
        <v>1989</v>
      </c>
      <c r="G726" s="70" t="s">
        <v>159</v>
      </c>
      <c r="H726" s="70" t="str">
        <f t="shared" si="23"/>
        <v>COW</v>
      </c>
    </row>
    <row r="727" spans="1:8" ht="15" x14ac:dyDescent="0.25">
      <c r="A727" s="88" t="s">
        <v>2064</v>
      </c>
      <c r="B727" s="88">
        <v>1989</v>
      </c>
      <c r="C727" s="89" t="s">
        <v>2318</v>
      </c>
      <c r="D727" s="88" t="s">
        <v>160</v>
      </c>
      <c r="F727" s="70">
        <f t="shared" si="22"/>
        <v>1989</v>
      </c>
      <c r="G727" s="70" t="s">
        <v>159</v>
      </c>
      <c r="H727" s="70" t="str">
        <f t="shared" si="23"/>
        <v>COW</v>
      </c>
    </row>
    <row r="728" spans="1:8" ht="15" x14ac:dyDescent="0.25">
      <c r="A728" s="88" t="s">
        <v>2064</v>
      </c>
      <c r="B728" s="88">
        <v>1990</v>
      </c>
      <c r="C728" s="89" t="s">
        <v>2317</v>
      </c>
      <c r="D728" s="88" t="s">
        <v>160</v>
      </c>
      <c r="F728" s="70">
        <f t="shared" si="22"/>
        <v>1990</v>
      </c>
      <c r="G728" s="70" t="s">
        <v>159</v>
      </c>
      <c r="H728" s="70" t="str">
        <f t="shared" si="23"/>
        <v>COW</v>
      </c>
    </row>
    <row r="729" spans="1:8" ht="15" x14ac:dyDescent="0.25">
      <c r="A729" s="88" t="s">
        <v>2064</v>
      </c>
      <c r="B729" s="88">
        <v>1990</v>
      </c>
      <c r="C729" s="89" t="s">
        <v>2316</v>
      </c>
      <c r="D729" s="88" t="s">
        <v>160</v>
      </c>
      <c r="F729" s="70">
        <f t="shared" si="22"/>
        <v>1990</v>
      </c>
      <c r="G729" s="70" t="s">
        <v>159</v>
      </c>
      <c r="H729" s="70" t="str">
        <f t="shared" si="23"/>
        <v>COW</v>
      </c>
    </row>
    <row r="730" spans="1:8" ht="15" x14ac:dyDescent="0.25">
      <c r="A730" s="88" t="s">
        <v>2064</v>
      </c>
      <c r="B730" s="88">
        <v>1990</v>
      </c>
      <c r="C730" s="89" t="s">
        <v>2315</v>
      </c>
      <c r="D730" s="88" t="s">
        <v>160</v>
      </c>
      <c r="F730" s="70">
        <f t="shared" si="22"/>
        <v>1990</v>
      </c>
      <c r="G730" s="70" t="s">
        <v>159</v>
      </c>
      <c r="H730" s="70" t="str">
        <f t="shared" si="23"/>
        <v>COW</v>
      </c>
    </row>
    <row r="731" spans="1:8" ht="15" x14ac:dyDescent="0.25">
      <c r="A731" s="88" t="s">
        <v>2064</v>
      </c>
      <c r="B731" s="88">
        <v>1990</v>
      </c>
      <c r="C731" s="89" t="s">
        <v>2314</v>
      </c>
      <c r="D731" s="88" t="s">
        <v>160</v>
      </c>
      <c r="F731" s="70">
        <f t="shared" si="22"/>
        <v>1990</v>
      </c>
      <c r="G731" s="70" t="s">
        <v>159</v>
      </c>
      <c r="H731" s="70" t="str">
        <f t="shared" si="23"/>
        <v>COW</v>
      </c>
    </row>
    <row r="732" spans="1:8" ht="15" x14ac:dyDescent="0.25">
      <c r="A732" s="88" t="s">
        <v>2064</v>
      </c>
      <c r="B732" s="88">
        <v>1990</v>
      </c>
      <c r="C732" s="89" t="s">
        <v>2313</v>
      </c>
      <c r="D732" s="88" t="s">
        <v>160</v>
      </c>
      <c r="F732" s="70">
        <f t="shared" si="22"/>
        <v>1990</v>
      </c>
      <c r="G732" s="70" t="s">
        <v>159</v>
      </c>
      <c r="H732" s="70" t="str">
        <f t="shared" si="23"/>
        <v>COW</v>
      </c>
    </row>
    <row r="733" spans="1:8" ht="15" x14ac:dyDescent="0.25">
      <c r="A733" s="88" t="s">
        <v>2064</v>
      </c>
      <c r="B733" s="88">
        <v>1990</v>
      </c>
      <c r="C733" s="89" t="s">
        <v>2312</v>
      </c>
      <c r="D733" s="88" t="s">
        <v>160</v>
      </c>
      <c r="F733" s="70">
        <f t="shared" si="22"/>
        <v>1990</v>
      </c>
      <c r="G733" s="70" t="s">
        <v>159</v>
      </c>
      <c r="H733" s="70" t="str">
        <f t="shared" si="23"/>
        <v>COW</v>
      </c>
    </row>
    <row r="734" spans="1:8" ht="15" x14ac:dyDescent="0.25">
      <c r="A734" s="88" t="s">
        <v>2064</v>
      </c>
      <c r="B734" s="88">
        <v>1991</v>
      </c>
      <c r="C734" s="89" t="s">
        <v>2311</v>
      </c>
      <c r="D734" s="88" t="s">
        <v>160</v>
      </c>
      <c r="F734" s="70">
        <f t="shared" si="22"/>
        <v>1991</v>
      </c>
      <c r="G734" s="70" t="s">
        <v>159</v>
      </c>
      <c r="H734" s="70" t="str">
        <f t="shared" si="23"/>
        <v>COW</v>
      </c>
    </row>
    <row r="735" spans="1:8" ht="15" x14ac:dyDescent="0.25">
      <c r="A735" s="88" t="s">
        <v>2064</v>
      </c>
      <c r="B735" s="88">
        <v>1991</v>
      </c>
      <c r="C735" s="89" t="s">
        <v>2310</v>
      </c>
      <c r="D735" s="88" t="s">
        <v>160</v>
      </c>
      <c r="F735" s="70">
        <f t="shared" si="22"/>
        <v>1991</v>
      </c>
      <c r="G735" s="70" t="s">
        <v>159</v>
      </c>
      <c r="H735" s="70" t="str">
        <f t="shared" si="23"/>
        <v>COW</v>
      </c>
    </row>
    <row r="736" spans="1:8" ht="15" x14ac:dyDescent="0.25">
      <c r="A736" s="88" t="s">
        <v>2064</v>
      </c>
      <c r="B736" s="88">
        <v>1991</v>
      </c>
      <c r="C736" s="89" t="s">
        <v>2309</v>
      </c>
      <c r="D736" s="88" t="s">
        <v>160</v>
      </c>
      <c r="F736" s="70">
        <f t="shared" si="22"/>
        <v>1991</v>
      </c>
      <c r="G736" s="70" t="s">
        <v>159</v>
      </c>
      <c r="H736" s="70" t="str">
        <f t="shared" si="23"/>
        <v>COW</v>
      </c>
    </row>
    <row r="737" spans="1:8" ht="15" x14ac:dyDescent="0.25">
      <c r="A737" s="88" t="s">
        <v>2064</v>
      </c>
      <c r="B737" s="88">
        <v>1991</v>
      </c>
      <c r="C737" s="89" t="s">
        <v>2308</v>
      </c>
      <c r="D737" s="88" t="s">
        <v>160</v>
      </c>
      <c r="F737" s="70">
        <f t="shared" si="22"/>
        <v>1991</v>
      </c>
      <c r="G737" s="70" t="s">
        <v>159</v>
      </c>
      <c r="H737" s="70" t="str">
        <f t="shared" si="23"/>
        <v>COW</v>
      </c>
    </row>
    <row r="738" spans="1:8" ht="15" x14ac:dyDescent="0.25">
      <c r="A738" s="88" t="s">
        <v>2064</v>
      </c>
      <c r="B738" s="88">
        <v>1992</v>
      </c>
      <c r="C738" s="89" t="s">
        <v>2307</v>
      </c>
      <c r="D738" s="88" t="s">
        <v>160</v>
      </c>
      <c r="F738" s="70">
        <f t="shared" si="22"/>
        <v>1992</v>
      </c>
      <c r="G738" s="70" t="s">
        <v>159</v>
      </c>
      <c r="H738" s="70" t="str">
        <f t="shared" si="23"/>
        <v>COW</v>
      </c>
    </row>
    <row r="739" spans="1:8" ht="15" x14ac:dyDescent="0.25">
      <c r="A739" s="88" t="s">
        <v>2064</v>
      </c>
      <c r="B739" s="88">
        <v>1992</v>
      </c>
      <c r="C739" s="89" t="s">
        <v>2306</v>
      </c>
      <c r="D739" s="88" t="s">
        <v>160</v>
      </c>
      <c r="F739" s="70">
        <f t="shared" si="22"/>
        <v>1992</v>
      </c>
      <c r="G739" s="70" t="s">
        <v>159</v>
      </c>
      <c r="H739" s="70" t="str">
        <f t="shared" si="23"/>
        <v>COW</v>
      </c>
    </row>
    <row r="740" spans="1:8" ht="15" x14ac:dyDescent="0.25">
      <c r="A740" s="88" t="s">
        <v>2064</v>
      </c>
      <c r="B740" s="88">
        <v>1992</v>
      </c>
      <c r="C740" s="89" t="s">
        <v>2305</v>
      </c>
      <c r="D740" s="88" t="s">
        <v>160</v>
      </c>
      <c r="F740" s="70">
        <f t="shared" si="22"/>
        <v>1992</v>
      </c>
      <c r="G740" s="70" t="s">
        <v>159</v>
      </c>
      <c r="H740" s="70" t="str">
        <f t="shared" si="23"/>
        <v>COW</v>
      </c>
    </row>
    <row r="741" spans="1:8" ht="15" x14ac:dyDescent="0.25">
      <c r="A741" s="88" t="s">
        <v>2064</v>
      </c>
      <c r="B741" s="88">
        <v>1992</v>
      </c>
      <c r="C741" s="89" t="s">
        <v>2304</v>
      </c>
      <c r="D741" s="88" t="s">
        <v>160</v>
      </c>
      <c r="F741" s="70">
        <f t="shared" si="22"/>
        <v>1992</v>
      </c>
      <c r="G741" s="70" t="s">
        <v>159</v>
      </c>
      <c r="H741" s="70" t="str">
        <f t="shared" si="23"/>
        <v>COW</v>
      </c>
    </row>
    <row r="742" spans="1:8" ht="15" x14ac:dyDescent="0.25">
      <c r="A742" s="88" t="s">
        <v>2064</v>
      </c>
      <c r="B742" s="88">
        <v>1993</v>
      </c>
      <c r="C742" s="89" t="s">
        <v>2303</v>
      </c>
      <c r="D742" s="88" t="s">
        <v>160</v>
      </c>
      <c r="F742" s="70">
        <f t="shared" si="22"/>
        <v>1993</v>
      </c>
      <c r="G742" s="70" t="s">
        <v>159</v>
      </c>
      <c r="H742" s="70" t="str">
        <f t="shared" si="23"/>
        <v>COW</v>
      </c>
    </row>
    <row r="743" spans="1:8" ht="15" x14ac:dyDescent="0.25">
      <c r="A743" s="88" t="s">
        <v>2064</v>
      </c>
      <c r="B743" s="88">
        <v>1993</v>
      </c>
      <c r="C743" s="89" t="s">
        <v>2302</v>
      </c>
      <c r="D743" s="88" t="s">
        <v>160</v>
      </c>
      <c r="F743" s="70">
        <f t="shared" si="22"/>
        <v>1993</v>
      </c>
      <c r="G743" s="70" t="s">
        <v>159</v>
      </c>
      <c r="H743" s="70" t="str">
        <f t="shared" si="23"/>
        <v>COW</v>
      </c>
    </row>
    <row r="744" spans="1:8" ht="15" x14ac:dyDescent="0.25">
      <c r="A744" s="88" t="s">
        <v>2064</v>
      </c>
      <c r="B744" s="88">
        <v>1993</v>
      </c>
      <c r="C744" s="89" t="s">
        <v>2301</v>
      </c>
      <c r="D744" s="88" t="s">
        <v>160</v>
      </c>
      <c r="F744" s="70">
        <f t="shared" si="22"/>
        <v>1993</v>
      </c>
      <c r="G744" s="70" t="s">
        <v>159</v>
      </c>
      <c r="H744" s="70" t="str">
        <f t="shared" si="23"/>
        <v>COW</v>
      </c>
    </row>
    <row r="745" spans="1:8" ht="15" x14ac:dyDescent="0.25">
      <c r="A745" s="88" t="s">
        <v>2064</v>
      </c>
      <c r="B745" s="88">
        <v>1994</v>
      </c>
      <c r="C745" s="89" t="s">
        <v>2300</v>
      </c>
      <c r="D745" s="88" t="s">
        <v>160</v>
      </c>
      <c r="F745" s="70">
        <f t="shared" si="22"/>
        <v>1994</v>
      </c>
      <c r="G745" s="70" t="s">
        <v>159</v>
      </c>
      <c r="H745" s="70" t="str">
        <f t="shared" si="23"/>
        <v>COW</v>
      </c>
    </row>
    <row r="746" spans="1:8" ht="15" x14ac:dyDescent="0.25">
      <c r="A746" s="88" t="s">
        <v>2064</v>
      </c>
      <c r="B746" s="88">
        <v>1994</v>
      </c>
      <c r="C746" s="89" t="s">
        <v>2299</v>
      </c>
      <c r="D746" s="88" t="s">
        <v>160</v>
      </c>
      <c r="F746" s="70">
        <f t="shared" si="22"/>
        <v>1994</v>
      </c>
      <c r="G746" s="70" t="s">
        <v>159</v>
      </c>
      <c r="H746" s="70" t="str">
        <f t="shared" si="23"/>
        <v>COW</v>
      </c>
    </row>
    <row r="747" spans="1:8" ht="15" x14ac:dyDescent="0.25">
      <c r="A747" s="88" t="s">
        <v>2064</v>
      </c>
      <c r="B747" s="88">
        <v>1994</v>
      </c>
      <c r="C747" s="89" t="s">
        <v>2298</v>
      </c>
      <c r="D747" s="88" t="s">
        <v>160</v>
      </c>
      <c r="F747" s="70">
        <f t="shared" si="22"/>
        <v>1994</v>
      </c>
      <c r="G747" s="70" t="s">
        <v>159</v>
      </c>
      <c r="H747" s="70" t="str">
        <f t="shared" si="23"/>
        <v>COW</v>
      </c>
    </row>
    <row r="748" spans="1:8" ht="15" x14ac:dyDescent="0.25">
      <c r="A748" s="88" t="s">
        <v>2064</v>
      </c>
      <c r="B748" s="88">
        <v>1995</v>
      </c>
      <c r="C748" s="89" t="s">
        <v>2297</v>
      </c>
      <c r="D748" s="88" t="s">
        <v>160</v>
      </c>
      <c r="F748" s="70">
        <f t="shared" si="22"/>
        <v>1995</v>
      </c>
      <c r="G748" s="70" t="s">
        <v>159</v>
      </c>
      <c r="H748" s="70" t="str">
        <f t="shared" si="23"/>
        <v>COW</v>
      </c>
    </row>
    <row r="749" spans="1:8" ht="15" x14ac:dyDescent="0.25">
      <c r="A749" s="88" t="s">
        <v>2064</v>
      </c>
      <c r="B749" s="88">
        <v>1995</v>
      </c>
      <c r="C749" s="89" t="s">
        <v>2296</v>
      </c>
      <c r="D749" s="88" t="s">
        <v>160</v>
      </c>
      <c r="F749" s="70">
        <f t="shared" si="22"/>
        <v>1995</v>
      </c>
      <c r="G749" s="70" t="s">
        <v>159</v>
      </c>
      <c r="H749" s="70" t="str">
        <f t="shared" si="23"/>
        <v>COW</v>
      </c>
    </row>
    <row r="750" spans="1:8" ht="15" x14ac:dyDescent="0.25">
      <c r="A750" s="88" t="s">
        <v>2064</v>
      </c>
      <c r="B750" s="88">
        <v>1995</v>
      </c>
      <c r="C750" s="89" t="s">
        <v>2295</v>
      </c>
      <c r="D750" s="88" t="s">
        <v>160</v>
      </c>
      <c r="F750" s="70">
        <f t="shared" si="22"/>
        <v>1995</v>
      </c>
      <c r="G750" s="70" t="s">
        <v>159</v>
      </c>
      <c r="H750" s="70" t="str">
        <f t="shared" si="23"/>
        <v>COW</v>
      </c>
    </row>
    <row r="751" spans="1:8" ht="15" x14ac:dyDescent="0.25">
      <c r="A751" s="88" t="s">
        <v>2064</v>
      </c>
      <c r="B751" s="88">
        <v>1995</v>
      </c>
      <c r="C751" s="89" t="s">
        <v>2294</v>
      </c>
      <c r="D751" s="88" t="s">
        <v>160</v>
      </c>
      <c r="F751" s="70">
        <f t="shared" si="22"/>
        <v>1995</v>
      </c>
      <c r="G751" s="70" t="s">
        <v>159</v>
      </c>
      <c r="H751" s="70" t="str">
        <f t="shared" si="23"/>
        <v>COW</v>
      </c>
    </row>
    <row r="752" spans="1:8" ht="15" x14ac:dyDescent="0.25">
      <c r="A752" s="88" t="s">
        <v>2064</v>
      </c>
      <c r="B752" s="88">
        <v>1995</v>
      </c>
      <c r="C752" s="89" t="s">
        <v>2293</v>
      </c>
      <c r="D752" s="88" t="s">
        <v>160</v>
      </c>
      <c r="F752" s="70">
        <f t="shared" si="22"/>
        <v>1995</v>
      </c>
      <c r="G752" s="70" t="s">
        <v>159</v>
      </c>
      <c r="H752" s="70" t="str">
        <f t="shared" si="23"/>
        <v>COW</v>
      </c>
    </row>
    <row r="753" spans="1:8" ht="15" x14ac:dyDescent="0.25">
      <c r="A753" s="88" t="s">
        <v>2064</v>
      </c>
      <c r="B753" s="88">
        <v>1995</v>
      </c>
      <c r="C753" s="89" t="s">
        <v>2292</v>
      </c>
      <c r="D753" s="88" t="s">
        <v>160</v>
      </c>
      <c r="F753" s="70">
        <f t="shared" si="22"/>
        <v>1995</v>
      </c>
      <c r="G753" s="70" t="s">
        <v>159</v>
      </c>
      <c r="H753" s="70" t="str">
        <f t="shared" si="23"/>
        <v>COW</v>
      </c>
    </row>
    <row r="754" spans="1:8" ht="15" x14ac:dyDescent="0.25">
      <c r="A754" s="88" t="s">
        <v>2064</v>
      </c>
      <c r="B754" s="88">
        <v>1996</v>
      </c>
      <c r="C754" s="89" t="s">
        <v>2291</v>
      </c>
      <c r="D754" s="88" t="s">
        <v>160</v>
      </c>
      <c r="F754" s="70">
        <f t="shared" si="22"/>
        <v>1996</v>
      </c>
      <c r="G754" s="70" t="s">
        <v>159</v>
      </c>
      <c r="H754" s="70" t="str">
        <f t="shared" si="23"/>
        <v>COW</v>
      </c>
    </row>
    <row r="755" spans="1:8" ht="15" x14ac:dyDescent="0.25">
      <c r="A755" s="88" t="s">
        <v>2064</v>
      </c>
      <c r="B755" s="88">
        <v>1996</v>
      </c>
      <c r="C755" s="89" t="s">
        <v>2290</v>
      </c>
      <c r="D755" s="88" t="s">
        <v>160</v>
      </c>
      <c r="F755" s="70">
        <f t="shared" si="22"/>
        <v>1996</v>
      </c>
      <c r="G755" s="70" t="s">
        <v>159</v>
      </c>
      <c r="H755" s="70" t="str">
        <f t="shared" si="23"/>
        <v>COW</v>
      </c>
    </row>
    <row r="756" spans="1:8" ht="15" x14ac:dyDescent="0.25">
      <c r="A756" s="88" t="s">
        <v>2064</v>
      </c>
      <c r="B756" s="88">
        <v>1996</v>
      </c>
      <c r="C756" s="89" t="s">
        <v>2289</v>
      </c>
      <c r="D756" s="88" t="s">
        <v>160</v>
      </c>
      <c r="F756" s="70">
        <f t="shared" si="22"/>
        <v>1996</v>
      </c>
      <c r="G756" s="70" t="s">
        <v>159</v>
      </c>
      <c r="H756" s="70" t="str">
        <f t="shared" si="23"/>
        <v>COW</v>
      </c>
    </row>
    <row r="757" spans="1:8" ht="15" x14ac:dyDescent="0.25">
      <c r="A757" s="88" t="s">
        <v>2064</v>
      </c>
      <c r="B757" s="88">
        <v>1996</v>
      </c>
      <c r="C757" s="89" t="s">
        <v>2288</v>
      </c>
      <c r="D757" s="88" t="s">
        <v>160</v>
      </c>
      <c r="F757" s="70">
        <f t="shared" si="22"/>
        <v>1996</v>
      </c>
      <c r="G757" s="70" t="s">
        <v>159</v>
      </c>
      <c r="H757" s="70" t="str">
        <f t="shared" si="23"/>
        <v>COW</v>
      </c>
    </row>
    <row r="758" spans="1:8" ht="15" x14ac:dyDescent="0.25">
      <c r="A758" s="88" t="s">
        <v>2064</v>
      </c>
      <c r="B758" s="88">
        <v>1996</v>
      </c>
      <c r="C758" s="89" t="s">
        <v>2287</v>
      </c>
      <c r="D758" s="88" t="s">
        <v>160</v>
      </c>
      <c r="F758" s="70">
        <f t="shared" si="22"/>
        <v>1996</v>
      </c>
      <c r="G758" s="70" t="s">
        <v>159</v>
      </c>
      <c r="H758" s="70" t="str">
        <f t="shared" si="23"/>
        <v>COW</v>
      </c>
    </row>
    <row r="759" spans="1:8" ht="15" x14ac:dyDescent="0.25">
      <c r="A759" s="88" t="s">
        <v>2064</v>
      </c>
      <c r="B759" s="88">
        <v>1996</v>
      </c>
      <c r="C759" s="89" t="s">
        <v>2286</v>
      </c>
      <c r="D759" s="88" t="s">
        <v>160</v>
      </c>
      <c r="F759" s="70">
        <f t="shared" si="22"/>
        <v>1996</v>
      </c>
      <c r="G759" s="70" t="s">
        <v>159</v>
      </c>
      <c r="H759" s="70" t="str">
        <f t="shared" si="23"/>
        <v>COW</v>
      </c>
    </row>
    <row r="760" spans="1:8" ht="15" x14ac:dyDescent="0.25">
      <c r="A760" s="88" t="s">
        <v>2064</v>
      </c>
      <c r="B760" s="88">
        <v>1997</v>
      </c>
      <c r="C760" s="89" t="s">
        <v>2285</v>
      </c>
      <c r="D760" s="88" t="s">
        <v>160</v>
      </c>
      <c r="F760" s="70">
        <f t="shared" si="22"/>
        <v>1997</v>
      </c>
      <c r="G760" s="70" t="s">
        <v>159</v>
      </c>
      <c r="H760" s="70" t="str">
        <f t="shared" si="23"/>
        <v>COW</v>
      </c>
    </row>
    <row r="761" spans="1:8" ht="15" x14ac:dyDescent="0.25">
      <c r="A761" s="88" t="s">
        <v>2064</v>
      </c>
      <c r="B761" s="88">
        <v>1997</v>
      </c>
      <c r="C761" s="89" t="s">
        <v>2284</v>
      </c>
      <c r="D761" s="88" t="s">
        <v>160</v>
      </c>
      <c r="F761" s="70">
        <f t="shared" si="22"/>
        <v>1997</v>
      </c>
      <c r="G761" s="70" t="s">
        <v>159</v>
      </c>
      <c r="H761" s="70" t="str">
        <f t="shared" si="23"/>
        <v>COW</v>
      </c>
    </row>
    <row r="762" spans="1:8" ht="15" x14ac:dyDescent="0.25">
      <c r="A762" s="88" t="s">
        <v>2064</v>
      </c>
      <c r="B762" s="88">
        <v>1997</v>
      </c>
      <c r="C762" s="89" t="s">
        <v>2283</v>
      </c>
      <c r="D762" s="88" t="s">
        <v>160</v>
      </c>
      <c r="F762" s="70">
        <f t="shared" si="22"/>
        <v>1997</v>
      </c>
      <c r="G762" s="70" t="s">
        <v>159</v>
      </c>
      <c r="H762" s="70" t="str">
        <f t="shared" si="23"/>
        <v>COW</v>
      </c>
    </row>
    <row r="763" spans="1:8" ht="15" x14ac:dyDescent="0.25">
      <c r="A763" s="88" t="s">
        <v>2064</v>
      </c>
      <c r="B763" s="88">
        <v>1997</v>
      </c>
      <c r="C763" s="89" t="s">
        <v>2282</v>
      </c>
      <c r="D763" s="88" t="s">
        <v>160</v>
      </c>
      <c r="F763" s="70">
        <f t="shared" si="22"/>
        <v>1997</v>
      </c>
      <c r="G763" s="70" t="s">
        <v>159</v>
      </c>
      <c r="H763" s="70" t="str">
        <f t="shared" si="23"/>
        <v>COW</v>
      </c>
    </row>
    <row r="764" spans="1:8" ht="15" x14ac:dyDescent="0.25">
      <c r="A764" s="88" t="s">
        <v>2064</v>
      </c>
      <c r="B764" s="88">
        <v>1997</v>
      </c>
      <c r="C764" s="89" t="s">
        <v>2281</v>
      </c>
      <c r="D764" s="88" t="s">
        <v>160</v>
      </c>
      <c r="F764" s="70">
        <f t="shared" si="22"/>
        <v>1997</v>
      </c>
      <c r="G764" s="70" t="s">
        <v>159</v>
      </c>
      <c r="H764" s="70" t="str">
        <f t="shared" si="23"/>
        <v>COW</v>
      </c>
    </row>
    <row r="765" spans="1:8" ht="15" x14ac:dyDescent="0.25">
      <c r="A765" s="88" t="s">
        <v>2064</v>
      </c>
      <c r="B765" s="88">
        <v>1997</v>
      </c>
      <c r="C765" s="89" t="s">
        <v>2280</v>
      </c>
      <c r="D765" s="88" t="s">
        <v>160</v>
      </c>
      <c r="F765" s="70">
        <f t="shared" si="22"/>
        <v>1997</v>
      </c>
      <c r="G765" s="70" t="s">
        <v>159</v>
      </c>
      <c r="H765" s="70" t="str">
        <f t="shared" si="23"/>
        <v>COW</v>
      </c>
    </row>
    <row r="766" spans="1:8" ht="15" x14ac:dyDescent="0.25">
      <c r="A766" s="88" t="s">
        <v>2064</v>
      </c>
      <c r="B766" s="88">
        <v>1997</v>
      </c>
      <c r="C766" s="89" t="s">
        <v>2279</v>
      </c>
      <c r="D766" s="88" t="s">
        <v>160</v>
      </c>
      <c r="F766" s="70">
        <f t="shared" si="22"/>
        <v>1997</v>
      </c>
      <c r="G766" s="70" t="s">
        <v>159</v>
      </c>
      <c r="H766" s="70" t="str">
        <f t="shared" si="23"/>
        <v>COW</v>
      </c>
    </row>
    <row r="767" spans="1:8" ht="15" x14ac:dyDescent="0.25">
      <c r="A767" s="88" t="s">
        <v>2064</v>
      </c>
      <c r="B767" s="88">
        <v>1997</v>
      </c>
      <c r="C767" s="89" t="s">
        <v>2278</v>
      </c>
      <c r="D767" s="88" t="s">
        <v>160</v>
      </c>
      <c r="F767" s="70">
        <f t="shared" si="22"/>
        <v>1997</v>
      </c>
      <c r="G767" s="70" t="s">
        <v>159</v>
      </c>
      <c r="H767" s="70" t="str">
        <f t="shared" si="23"/>
        <v>COW</v>
      </c>
    </row>
    <row r="768" spans="1:8" ht="15" x14ac:dyDescent="0.25">
      <c r="A768" s="88" t="s">
        <v>2064</v>
      </c>
      <c r="B768" s="88">
        <v>1998</v>
      </c>
      <c r="C768" s="89" t="s">
        <v>2277</v>
      </c>
      <c r="D768" s="88" t="s">
        <v>160</v>
      </c>
      <c r="F768" s="70">
        <f t="shared" si="22"/>
        <v>1998</v>
      </c>
      <c r="G768" s="70" t="s">
        <v>159</v>
      </c>
      <c r="H768" s="70" t="str">
        <f t="shared" si="23"/>
        <v>COW</v>
      </c>
    </row>
    <row r="769" spans="1:8" ht="15" x14ac:dyDescent="0.25">
      <c r="A769" s="88" t="s">
        <v>2064</v>
      </c>
      <c r="B769" s="88">
        <v>1998</v>
      </c>
      <c r="C769" s="89" t="s">
        <v>2276</v>
      </c>
      <c r="D769" s="88" t="s">
        <v>160</v>
      </c>
      <c r="F769" s="70">
        <f t="shared" si="22"/>
        <v>1998</v>
      </c>
      <c r="G769" s="70" t="s">
        <v>159</v>
      </c>
      <c r="H769" s="70" t="str">
        <f t="shared" si="23"/>
        <v>COW</v>
      </c>
    </row>
    <row r="770" spans="1:8" ht="15" x14ac:dyDescent="0.25">
      <c r="A770" s="88" t="s">
        <v>2064</v>
      </c>
      <c r="B770" s="88">
        <v>1998</v>
      </c>
      <c r="C770" s="89" t="s">
        <v>2275</v>
      </c>
      <c r="D770" s="88" t="s">
        <v>160</v>
      </c>
      <c r="F770" s="70">
        <f t="shared" si="22"/>
        <v>1998</v>
      </c>
      <c r="G770" s="70" t="s">
        <v>159</v>
      </c>
      <c r="H770" s="70" t="str">
        <f t="shared" si="23"/>
        <v>COW</v>
      </c>
    </row>
    <row r="771" spans="1:8" ht="15" x14ac:dyDescent="0.25">
      <c r="A771" s="88" t="s">
        <v>2064</v>
      </c>
      <c r="B771" s="88">
        <v>1998</v>
      </c>
      <c r="C771" s="89" t="s">
        <v>2274</v>
      </c>
      <c r="D771" s="88" t="s">
        <v>160</v>
      </c>
      <c r="F771" s="70">
        <f t="shared" si="22"/>
        <v>1998</v>
      </c>
      <c r="G771" s="70" t="s">
        <v>159</v>
      </c>
      <c r="H771" s="70" t="str">
        <f t="shared" si="23"/>
        <v>COW</v>
      </c>
    </row>
    <row r="772" spans="1:8" ht="15" x14ac:dyDescent="0.25">
      <c r="A772" s="88" t="s">
        <v>2064</v>
      </c>
      <c r="B772" s="88">
        <v>1998</v>
      </c>
      <c r="C772" s="89" t="s">
        <v>2273</v>
      </c>
      <c r="D772" s="88" t="s">
        <v>160</v>
      </c>
      <c r="F772" s="70">
        <f t="shared" si="22"/>
        <v>1998</v>
      </c>
      <c r="G772" s="70" t="s">
        <v>159</v>
      </c>
      <c r="H772" s="70" t="str">
        <f t="shared" si="23"/>
        <v>COW</v>
      </c>
    </row>
    <row r="773" spans="1:8" ht="15" x14ac:dyDescent="0.25">
      <c r="A773" s="88" t="s">
        <v>2064</v>
      </c>
      <c r="B773" s="88">
        <v>1998</v>
      </c>
      <c r="C773" s="89" t="s">
        <v>2272</v>
      </c>
      <c r="D773" s="88" t="s">
        <v>160</v>
      </c>
      <c r="F773" s="70">
        <f t="shared" si="22"/>
        <v>1998</v>
      </c>
      <c r="G773" s="70" t="s">
        <v>159</v>
      </c>
      <c r="H773" s="70" t="str">
        <f t="shared" si="23"/>
        <v>COW</v>
      </c>
    </row>
    <row r="774" spans="1:8" ht="15" x14ac:dyDescent="0.25">
      <c r="A774" s="88" t="s">
        <v>2064</v>
      </c>
      <c r="B774" s="88">
        <v>1999</v>
      </c>
      <c r="C774" s="89" t="s">
        <v>2271</v>
      </c>
      <c r="D774" s="88" t="s">
        <v>160</v>
      </c>
      <c r="F774" s="70">
        <f t="shared" si="22"/>
        <v>1999</v>
      </c>
      <c r="G774" s="70" t="s">
        <v>159</v>
      </c>
      <c r="H774" s="70" t="str">
        <f t="shared" si="23"/>
        <v>COW</v>
      </c>
    </row>
    <row r="775" spans="1:8" ht="15" x14ac:dyDescent="0.25">
      <c r="A775" s="88" t="s">
        <v>2064</v>
      </c>
      <c r="B775" s="88">
        <v>1999</v>
      </c>
      <c r="C775" s="89" t="s">
        <v>2270</v>
      </c>
      <c r="D775" s="88" t="s">
        <v>160</v>
      </c>
      <c r="F775" s="70">
        <f t="shared" si="22"/>
        <v>1999</v>
      </c>
      <c r="G775" s="70" t="s">
        <v>159</v>
      </c>
      <c r="H775" s="70" t="str">
        <f t="shared" si="23"/>
        <v>COW</v>
      </c>
    </row>
    <row r="776" spans="1:8" ht="15" x14ac:dyDescent="0.25">
      <c r="A776" s="88" t="s">
        <v>2064</v>
      </c>
      <c r="B776" s="88">
        <v>1999</v>
      </c>
      <c r="C776" s="89" t="s">
        <v>2269</v>
      </c>
      <c r="D776" s="88" t="s">
        <v>160</v>
      </c>
      <c r="F776" s="70">
        <f t="shared" ref="F776:F839" si="24">+B776</f>
        <v>1999</v>
      </c>
      <c r="G776" s="70" t="s">
        <v>159</v>
      </c>
      <c r="H776" s="70" t="str">
        <f t="shared" ref="H776:H839" si="25">A776</f>
        <v>COW</v>
      </c>
    </row>
    <row r="777" spans="1:8" ht="15" x14ac:dyDescent="0.25">
      <c r="A777" s="88" t="s">
        <v>2064</v>
      </c>
      <c r="B777" s="88">
        <v>1999</v>
      </c>
      <c r="C777" s="89" t="s">
        <v>2268</v>
      </c>
      <c r="D777" s="88" t="s">
        <v>160</v>
      </c>
      <c r="F777" s="70">
        <f t="shared" si="24"/>
        <v>1999</v>
      </c>
      <c r="G777" s="70" t="s">
        <v>159</v>
      </c>
      <c r="H777" s="70" t="str">
        <f t="shared" si="25"/>
        <v>COW</v>
      </c>
    </row>
    <row r="778" spans="1:8" ht="15" x14ac:dyDescent="0.25">
      <c r="A778" s="88" t="s">
        <v>2064</v>
      </c>
      <c r="B778" s="88">
        <v>1999</v>
      </c>
      <c r="C778" s="89" t="s">
        <v>2267</v>
      </c>
      <c r="D778" s="88" t="s">
        <v>160</v>
      </c>
      <c r="F778" s="70">
        <f t="shared" si="24"/>
        <v>1999</v>
      </c>
      <c r="G778" s="70" t="s">
        <v>159</v>
      </c>
      <c r="H778" s="70" t="str">
        <f t="shared" si="25"/>
        <v>COW</v>
      </c>
    </row>
    <row r="779" spans="1:8" ht="15" x14ac:dyDescent="0.25">
      <c r="A779" s="88" t="s">
        <v>2064</v>
      </c>
      <c r="B779" s="88">
        <v>1999</v>
      </c>
      <c r="C779" s="89" t="s">
        <v>2266</v>
      </c>
      <c r="D779" s="88" t="s">
        <v>160</v>
      </c>
      <c r="F779" s="70">
        <f t="shared" si="24"/>
        <v>1999</v>
      </c>
      <c r="G779" s="70" t="s">
        <v>159</v>
      </c>
      <c r="H779" s="70" t="str">
        <f t="shared" si="25"/>
        <v>COW</v>
      </c>
    </row>
    <row r="780" spans="1:8" ht="15" x14ac:dyDescent="0.25">
      <c r="A780" s="88" t="s">
        <v>2064</v>
      </c>
      <c r="B780" s="88">
        <v>1999</v>
      </c>
      <c r="C780" s="89" t="s">
        <v>2265</v>
      </c>
      <c r="D780" s="88" t="s">
        <v>160</v>
      </c>
      <c r="F780" s="70">
        <f t="shared" si="24"/>
        <v>1999</v>
      </c>
      <c r="G780" s="70" t="s">
        <v>159</v>
      </c>
      <c r="H780" s="70" t="str">
        <f t="shared" si="25"/>
        <v>COW</v>
      </c>
    </row>
    <row r="781" spans="1:8" ht="15" x14ac:dyDescent="0.25">
      <c r="A781" s="88" t="s">
        <v>2064</v>
      </c>
      <c r="B781" s="88">
        <v>1999</v>
      </c>
      <c r="C781" s="89" t="s">
        <v>2264</v>
      </c>
      <c r="D781" s="88" t="s">
        <v>160</v>
      </c>
      <c r="F781" s="70">
        <f t="shared" si="24"/>
        <v>1999</v>
      </c>
      <c r="G781" s="70" t="s">
        <v>159</v>
      </c>
      <c r="H781" s="70" t="str">
        <f t="shared" si="25"/>
        <v>COW</v>
      </c>
    </row>
    <row r="782" spans="1:8" ht="15" x14ac:dyDescent="0.25">
      <c r="A782" s="88" t="s">
        <v>2064</v>
      </c>
      <c r="B782" s="88">
        <v>2000</v>
      </c>
      <c r="C782" s="89" t="s">
        <v>2263</v>
      </c>
      <c r="D782" s="88" t="s">
        <v>160</v>
      </c>
      <c r="F782" s="70">
        <f t="shared" si="24"/>
        <v>2000</v>
      </c>
      <c r="G782" s="70" t="s">
        <v>159</v>
      </c>
      <c r="H782" s="70" t="str">
        <f t="shared" si="25"/>
        <v>COW</v>
      </c>
    </row>
    <row r="783" spans="1:8" ht="15" x14ac:dyDescent="0.25">
      <c r="A783" s="88" t="s">
        <v>2064</v>
      </c>
      <c r="B783" s="88">
        <v>2000</v>
      </c>
      <c r="C783" s="89" t="s">
        <v>2262</v>
      </c>
      <c r="D783" s="88" t="s">
        <v>160</v>
      </c>
      <c r="F783" s="70">
        <f t="shared" si="24"/>
        <v>2000</v>
      </c>
      <c r="G783" s="70" t="s">
        <v>159</v>
      </c>
      <c r="H783" s="70" t="str">
        <f t="shared" si="25"/>
        <v>COW</v>
      </c>
    </row>
    <row r="784" spans="1:8" ht="15" x14ac:dyDescent="0.25">
      <c r="A784" s="88" t="s">
        <v>2064</v>
      </c>
      <c r="B784" s="88">
        <v>2000</v>
      </c>
      <c r="C784" s="89" t="s">
        <v>2261</v>
      </c>
      <c r="D784" s="88" t="s">
        <v>160</v>
      </c>
      <c r="F784" s="70">
        <f t="shared" si="24"/>
        <v>2000</v>
      </c>
      <c r="G784" s="70" t="s">
        <v>159</v>
      </c>
      <c r="H784" s="70" t="str">
        <f t="shared" si="25"/>
        <v>COW</v>
      </c>
    </row>
    <row r="785" spans="1:8" ht="15" x14ac:dyDescent="0.25">
      <c r="A785" s="88" t="s">
        <v>2064</v>
      </c>
      <c r="B785" s="88">
        <v>2000</v>
      </c>
      <c r="C785" s="89" t="s">
        <v>2260</v>
      </c>
      <c r="D785" s="88" t="s">
        <v>160</v>
      </c>
      <c r="F785" s="70">
        <f t="shared" si="24"/>
        <v>2000</v>
      </c>
      <c r="G785" s="70" t="s">
        <v>159</v>
      </c>
      <c r="H785" s="70" t="str">
        <f t="shared" si="25"/>
        <v>COW</v>
      </c>
    </row>
    <row r="786" spans="1:8" ht="15" x14ac:dyDescent="0.25">
      <c r="A786" s="88" t="s">
        <v>2064</v>
      </c>
      <c r="B786" s="88">
        <v>2000</v>
      </c>
      <c r="C786" s="89" t="s">
        <v>2259</v>
      </c>
      <c r="D786" s="88" t="s">
        <v>160</v>
      </c>
      <c r="F786" s="70">
        <f t="shared" si="24"/>
        <v>2000</v>
      </c>
      <c r="G786" s="70" t="s">
        <v>159</v>
      </c>
      <c r="H786" s="70" t="str">
        <f t="shared" si="25"/>
        <v>COW</v>
      </c>
    </row>
    <row r="787" spans="1:8" ht="15" x14ac:dyDescent="0.25">
      <c r="A787" s="88" t="s">
        <v>2064</v>
      </c>
      <c r="B787" s="88">
        <v>2001</v>
      </c>
      <c r="C787" s="89" t="s">
        <v>2258</v>
      </c>
      <c r="D787" s="88" t="s">
        <v>160</v>
      </c>
      <c r="F787" s="70">
        <f t="shared" si="24"/>
        <v>2001</v>
      </c>
      <c r="G787" s="70" t="s">
        <v>159</v>
      </c>
      <c r="H787" s="70" t="str">
        <f t="shared" si="25"/>
        <v>COW</v>
      </c>
    </row>
    <row r="788" spans="1:8" ht="15" x14ac:dyDescent="0.25">
      <c r="A788" s="88" t="s">
        <v>2064</v>
      </c>
      <c r="B788" s="88">
        <v>2001</v>
      </c>
      <c r="C788" s="89" t="s">
        <v>2257</v>
      </c>
      <c r="D788" s="88" t="s">
        <v>160</v>
      </c>
      <c r="F788" s="70">
        <f t="shared" si="24"/>
        <v>2001</v>
      </c>
      <c r="G788" s="70" t="s">
        <v>159</v>
      </c>
      <c r="H788" s="70" t="str">
        <f t="shared" si="25"/>
        <v>COW</v>
      </c>
    </row>
    <row r="789" spans="1:8" ht="15" x14ac:dyDescent="0.25">
      <c r="A789" s="88" t="s">
        <v>2064</v>
      </c>
      <c r="B789" s="88">
        <v>2001</v>
      </c>
      <c r="C789" s="89" t="s">
        <v>2256</v>
      </c>
      <c r="D789" s="88" t="s">
        <v>160</v>
      </c>
      <c r="F789" s="70">
        <f t="shared" si="24"/>
        <v>2001</v>
      </c>
      <c r="G789" s="70" t="s">
        <v>159</v>
      </c>
      <c r="H789" s="70" t="str">
        <f t="shared" si="25"/>
        <v>COW</v>
      </c>
    </row>
    <row r="790" spans="1:8" ht="15" x14ac:dyDescent="0.25">
      <c r="A790" s="88" t="s">
        <v>2064</v>
      </c>
      <c r="B790" s="88">
        <v>2001</v>
      </c>
      <c r="C790" s="89" t="s">
        <v>2255</v>
      </c>
      <c r="D790" s="88" t="s">
        <v>160</v>
      </c>
      <c r="F790" s="70">
        <f t="shared" si="24"/>
        <v>2001</v>
      </c>
      <c r="G790" s="70" t="s">
        <v>159</v>
      </c>
      <c r="H790" s="70" t="str">
        <f t="shared" si="25"/>
        <v>COW</v>
      </c>
    </row>
    <row r="791" spans="1:8" ht="15" x14ac:dyDescent="0.25">
      <c r="A791" s="88" t="s">
        <v>2064</v>
      </c>
      <c r="B791" s="88">
        <v>2001</v>
      </c>
      <c r="C791" s="89" t="s">
        <v>2254</v>
      </c>
      <c r="D791" s="88" t="s">
        <v>160</v>
      </c>
      <c r="F791" s="70">
        <f t="shared" si="24"/>
        <v>2001</v>
      </c>
      <c r="G791" s="70" t="s">
        <v>159</v>
      </c>
      <c r="H791" s="70" t="str">
        <f t="shared" si="25"/>
        <v>COW</v>
      </c>
    </row>
    <row r="792" spans="1:8" ht="15" x14ac:dyDescent="0.25">
      <c r="A792" s="88" t="s">
        <v>2064</v>
      </c>
      <c r="B792" s="88">
        <v>2001</v>
      </c>
      <c r="C792" s="89" t="s">
        <v>2253</v>
      </c>
      <c r="D792" s="88" t="s">
        <v>160</v>
      </c>
      <c r="F792" s="70">
        <f t="shared" si="24"/>
        <v>2001</v>
      </c>
      <c r="G792" s="70" t="s">
        <v>159</v>
      </c>
      <c r="H792" s="70" t="str">
        <f t="shared" si="25"/>
        <v>COW</v>
      </c>
    </row>
    <row r="793" spans="1:8" ht="15" x14ac:dyDescent="0.25">
      <c r="A793" s="88" t="s">
        <v>2064</v>
      </c>
      <c r="B793" s="88">
        <v>2001</v>
      </c>
      <c r="C793" s="89" t="s">
        <v>2252</v>
      </c>
      <c r="D793" s="88" t="s">
        <v>160</v>
      </c>
      <c r="F793" s="70">
        <f t="shared" si="24"/>
        <v>2001</v>
      </c>
      <c r="G793" s="70" t="s">
        <v>159</v>
      </c>
      <c r="H793" s="70" t="str">
        <f t="shared" si="25"/>
        <v>COW</v>
      </c>
    </row>
    <row r="794" spans="1:8" ht="15" x14ac:dyDescent="0.25">
      <c r="A794" s="88" t="s">
        <v>2064</v>
      </c>
      <c r="B794" s="88">
        <v>2001</v>
      </c>
      <c r="C794" s="89" t="s">
        <v>2251</v>
      </c>
      <c r="D794" s="88" t="s">
        <v>160</v>
      </c>
      <c r="F794" s="70">
        <f t="shared" si="24"/>
        <v>2001</v>
      </c>
      <c r="G794" s="70" t="s">
        <v>159</v>
      </c>
      <c r="H794" s="70" t="str">
        <f t="shared" si="25"/>
        <v>COW</v>
      </c>
    </row>
    <row r="795" spans="1:8" ht="15" x14ac:dyDescent="0.25">
      <c r="A795" s="88" t="s">
        <v>2064</v>
      </c>
      <c r="B795" s="88">
        <v>2002</v>
      </c>
      <c r="C795" s="89" t="s">
        <v>2250</v>
      </c>
      <c r="D795" s="88" t="s">
        <v>160</v>
      </c>
      <c r="F795" s="70">
        <f t="shared" si="24"/>
        <v>2002</v>
      </c>
      <c r="G795" s="70" t="s">
        <v>159</v>
      </c>
      <c r="H795" s="70" t="str">
        <f t="shared" si="25"/>
        <v>COW</v>
      </c>
    </row>
    <row r="796" spans="1:8" ht="15" x14ac:dyDescent="0.25">
      <c r="A796" s="88" t="s">
        <v>2064</v>
      </c>
      <c r="B796" s="88">
        <v>2002</v>
      </c>
      <c r="C796" s="89" t="s">
        <v>2249</v>
      </c>
      <c r="D796" s="88" t="s">
        <v>160</v>
      </c>
      <c r="F796" s="70">
        <f t="shared" si="24"/>
        <v>2002</v>
      </c>
      <c r="G796" s="70" t="s">
        <v>159</v>
      </c>
      <c r="H796" s="70" t="str">
        <f t="shared" si="25"/>
        <v>COW</v>
      </c>
    </row>
    <row r="797" spans="1:8" ht="15" x14ac:dyDescent="0.25">
      <c r="A797" s="88" t="s">
        <v>2064</v>
      </c>
      <c r="B797" s="88">
        <v>2002</v>
      </c>
      <c r="C797" s="89" t="s">
        <v>2248</v>
      </c>
      <c r="D797" s="88" t="s">
        <v>160</v>
      </c>
      <c r="F797" s="70">
        <f t="shared" si="24"/>
        <v>2002</v>
      </c>
      <c r="G797" s="70" t="s">
        <v>159</v>
      </c>
      <c r="H797" s="70" t="str">
        <f t="shared" si="25"/>
        <v>COW</v>
      </c>
    </row>
    <row r="798" spans="1:8" ht="15" x14ac:dyDescent="0.25">
      <c r="A798" s="88" t="s">
        <v>2064</v>
      </c>
      <c r="B798" s="88">
        <v>2002</v>
      </c>
      <c r="C798" s="89" t="s">
        <v>2247</v>
      </c>
      <c r="D798" s="88" t="s">
        <v>160</v>
      </c>
      <c r="F798" s="70">
        <f t="shared" si="24"/>
        <v>2002</v>
      </c>
      <c r="G798" s="70" t="s">
        <v>159</v>
      </c>
      <c r="H798" s="70" t="str">
        <f t="shared" si="25"/>
        <v>COW</v>
      </c>
    </row>
    <row r="799" spans="1:8" ht="15" x14ac:dyDescent="0.25">
      <c r="A799" s="88" t="s">
        <v>2064</v>
      </c>
      <c r="B799" s="88">
        <v>2002</v>
      </c>
      <c r="C799" s="89" t="s">
        <v>2246</v>
      </c>
      <c r="D799" s="88" t="s">
        <v>160</v>
      </c>
      <c r="F799" s="70">
        <f t="shared" si="24"/>
        <v>2002</v>
      </c>
      <c r="G799" s="70" t="s">
        <v>159</v>
      </c>
      <c r="H799" s="70" t="str">
        <f t="shared" si="25"/>
        <v>COW</v>
      </c>
    </row>
    <row r="800" spans="1:8" ht="15" x14ac:dyDescent="0.25">
      <c r="A800" s="88" t="s">
        <v>2064</v>
      </c>
      <c r="B800" s="88">
        <v>2002</v>
      </c>
      <c r="C800" s="89" t="s">
        <v>2245</v>
      </c>
      <c r="D800" s="88" t="s">
        <v>160</v>
      </c>
      <c r="F800" s="70">
        <f t="shared" si="24"/>
        <v>2002</v>
      </c>
      <c r="G800" s="70" t="s">
        <v>159</v>
      </c>
      <c r="H800" s="70" t="str">
        <f t="shared" si="25"/>
        <v>COW</v>
      </c>
    </row>
    <row r="801" spans="1:8" ht="15" x14ac:dyDescent="0.25">
      <c r="A801" s="88" t="s">
        <v>2064</v>
      </c>
      <c r="B801" s="88">
        <v>2003</v>
      </c>
      <c r="C801" s="89" t="s">
        <v>2244</v>
      </c>
      <c r="D801" s="88" t="s">
        <v>160</v>
      </c>
      <c r="F801" s="70">
        <f t="shared" si="24"/>
        <v>2003</v>
      </c>
      <c r="G801" s="70" t="s">
        <v>159</v>
      </c>
      <c r="H801" s="70" t="str">
        <f t="shared" si="25"/>
        <v>COW</v>
      </c>
    </row>
    <row r="802" spans="1:8" ht="15" x14ac:dyDescent="0.25">
      <c r="A802" s="88" t="s">
        <v>2064</v>
      </c>
      <c r="B802" s="88">
        <v>2003</v>
      </c>
      <c r="C802" s="89" t="s">
        <v>2243</v>
      </c>
      <c r="D802" s="88" t="s">
        <v>160</v>
      </c>
      <c r="F802" s="70">
        <f t="shared" si="24"/>
        <v>2003</v>
      </c>
      <c r="G802" s="70" t="s">
        <v>159</v>
      </c>
      <c r="H802" s="70" t="str">
        <f t="shared" si="25"/>
        <v>COW</v>
      </c>
    </row>
    <row r="803" spans="1:8" ht="15" x14ac:dyDescent="0.25">
      <c r="A803" s="88" t="s">
        <v>2064</v>
      </c>
      <c r="B803" s="88">
        <v>2003</v>
      </c>
      <c r="C803" s="89" t="s">
        <v>2242</v>
      </c>
      <c r="D803" s="88" t="s">
        <v>160</v>
      </c>
      <c r="F803" s="70">
        <f t="shared" si="24"/>
        <v>2003</v>
      </c>
      <c r="G803" s="70" t="s">
        <v>159</v>
      </c>
      <c r="H803" s="70" t="str">
        <f t="shared" si="25"/>
        <v>COW</v>
      </c>
    </row>
    <row r="804" spans="1:8" ht="15" x14ac:dyDescent="0.25">
      <c r="A804" s="88" t="s">
        <v>2064</v>
      </c>
      <c r="B804" s="88">
        <v>2003</v>
      </c>
      <c r="C804" s="89" t="s">
        <v>2241</v>
      </c>
      <c r="D804" s="88" t="s">
        <v>160</v>
      </c>
      <c r="F804" s="70">
        <f t="shared" si="24"/>
        <v>2003</v>
      </c>
      <c r="G804" s="70" t="s">
        <v>159</v>
      </c>
      <c r="H804" s="70" t="str">
        <f t="shared" si="25"/>
        <v>COW</v>
      </c>
    </row>
    <row r="805" spans="1:8" ht="15" x14ac:dyDescent="0.25">
      <c r="A805" s="88" t="s">
        <v>2064</v>
      </c>
      <c r="B805" s="88">
        <v>2003</v>
      </c>
      <c r="C805" s="89" t="s">
        <v>2240</v>
      </c>
      <c r="D805" s="88" t="s">
        <v>160</v>
      </c>
      <c r="F805" s="70">
        <f t="shared" si="24"/>
        <v>2003</v>
      </c>
      <c r="G805" s="70" t="s">
        <v>159</v>
      </c>
      <c r="H805" s="70" t="str">
        <f t="shared" si="25"/>
        <v>COW</v>
      </c>
    </row>
    <row r="806" spans="1:8" ht="15" x14ac:dyDescent="0.25">
      <c r="A806" s="88" t="s">
        <v>2064</v>
      </c>
      <c r="B806" s="88">
        <v>2003</v>
      </c>
      <c r="C806" s="89" t="s">
        <v>2239</v>
      </c>
      <c r="D806" s="88" t="s">
        <v>160</v>
      </c>
      <c r="F806" s="70">
        <f t="shared" si="24"/>
        <v>2003</v>
      </c>
      <c r="G806" s="70" t="s">
        <v>159</v>
      </c>
      <c r="H806" s="70" t="str">
        <f t="shared" si="25"/>
        <v>COW</v>
      </c>
    </row>
    <row r="807" spans="1:8" ht="15" x14ac:dyDescent="0.25">
      <c r="A807" s="88" t="s">
        <v>2064</v>
      </c>
      <c r="B807" s="88">
        <v>2003</v>
      </c>
      <c r="C807" s="89" t="s">
        <v>2238</v>
      </c>
      <c r="D807" s="88" t="s">
        <v>160</v>
      </c>
      <c r="F807" s="70">
        <f t="shared" si="24"/>
        <v>2003</v>
      </c>
      <c r="G807" s="70" t="s">
        <v>159</v>
      </c>
      <c r="H807" s="70" t="str">
        <f t="shared" si="25"/>
        <v>COW</v>
      </c>
    </row>
    <row r="808" spans="1:8" ht="15" x14ac:dyDescent="0.25">
      <c r="A808" s="88" t="s">
        <v>2064</v>
      </c>
      <c r="B808" s="88">
        <v>2003</v>
      </c>
      <c r="C808" s="89" t="s">
        <v>2237</v>
      </c>
      <c r="D808" s="88" t="s">
        <v>160</v>
      </c>
      <c r="F808" s="70">
        <f t="shared" si="24"/>
        <v>2003</v>
      </c>
      <c r="G808" s="70" t="s">
        <v>159</v>
      </c>
      <c r="H808" s="70" t="str">
        <f t="shared" si="25"/>
        <v>COW</v>
      </c>
    </row>
    <row r="809" spans="1:8" ht="15" x14ac:dyDescent="0.25">
      <c r="A809" s="88" t="s">
        <v>2064</v>
      </c>
      <c r="B809" s="88">
        <v>2005</v>
      </c>
      <c r="C809" s="89" t="s">
        <v>2236</v>
      </c>
      <c r="D809" s="88" t="s">
        <v>160</v>
      </c>
      <c r="F809" s="70">
        <f t="shared" si="24"/>
        <v>2005</v>
      </c>
      <c r="G809" s="70" t="s">
        <v>159</v>
      </c>
      <c r="H809" s="70" t="str">
        <f t="shared" si="25"/>
        <v>COW</v>
      </c>
    </row>
    <row r="810" spans="1:8" ht="15" x14ac:dyDescent="0.25">
      <c r="A810" s="88" t="s">
        <v>2064</v>
      </c>
      <c r="B810" s="88">
        <v>2005</v>
      </c>
      <c r="C810" s="89" t="s">
        <v>2235</v>
      </c>
      <c r="D810" s="88" t="s">
        <v>160</v>
      </c>
      <c r="F810" s="70">
        <f t="shared" si="24"/>
        <v>2005</v>
      </c>
      <c r="G810" s="70" t="s">
        <v>159</v>
      </c>
      <c r="H810" s="70" t="str">
        <f t="shared" si="25"/>
        <v>COW</v>
      </c>
    </row>
    <row r="811" spans="1:8" ht="15" x14ac:dyDescent="0.25">
      <c r="A811" s="88" t="s">
        <v>2064</v>
      </c>
      <c r="B811" s="88">
        <v>2005</v>
      </c>
      <c r="C811" s="89" t="s">
        <v>2234</v>
      </c>
      <c r="D811" s="88" t="s">
        <v>160</v>
      </c>
      <c r="F811" s="70">
        <f t="shared" si="24"/>
        <v>2005</v>
      </c>
      <c r="G811" s="70" t="s">
        <v>159</v>
      </c>
      <c r="H811" s="70" t="str">
        <f t="shared" si="25"/>
        <v>COW</v>
      </c>
    </row>
    <row r="812" spans="1:8" ht="15" x14ac:dyDescent="0.25">
      <c r="A812" s="88" t="s">
        <v>2064</v>
      </c>
      <c r="B812" s="88">
        <v>2005</v>
      </c>
      <c r="C812" s="89" t="s">
        <v>2233</v>
      </c>
      <c r="D812" s="88" t="s">
        <v>160</v>
      </c>
      <c r="F812" s="70">
        <f t="shared" si="24"/>
        <v>2005</v>
      </c>
      <c r="G812" s="70" t="s">
        <v>159</v>
      </c>
      <c r="H812" s="70" t="str">
        <f t="shared" si="25"/>
        <v>COW</v>
      </c>
    </row>
    <row r="813" spans="1:8" ht="15" x14ac:dyDescent="0.25">
      <c r="A813" s="88" t="s">
        <v>2064</v>
      </c>
      <c r="B813" s="88">
        <v>2005</v>
      </c>
      <c r="C813" s="89" t="s">
        <v>2232</v>
      </c>
      <c r="D813" s="88" t="s">
        <v>160</v>
      </c>
      <c r="F813" s="70">
        <f t="shared" si="24"/>
        <v>2005</v>
      </c>
      <c r="G813" s="70" t="s">
        <v>159</v>
      </c>
      <c r="H813" s="70" t="str">
        <f t="shared" si="25"/>
        <v>COW</v>
      </c>
    </row>
    <row r="814" spans="1:8" ht="15" x14ac:dyDescent="0.25">
      <c r="A814" s="88" t="s">
        <v>2064</v>
      </c>
      <c r="B814" s="88">
        <v>2005</v>
      </c>
      <c r="C814" s="89" t="s">
        <v>2231</v>
      </c>
      <c r="D814" s="88" t="s">
        <v>160</v>
      </c>
      <c r="F814" s="70">
        <f t="shared" si="24"/>
        <v>2005</v>
      </c>
      <c r="G814" s="70" t="s">
        <v>159</v>
      </c>
      <c r="H814" s="70" t="str">
        <f t="shared" si="25"/>
        <v>COW</v>
      </c>
    </row>
    <row r="815" spans="1:8" ht="15" x14ac:dyDescent="0.25">
      <c r="A815" s="88" t="s">
        <v>2064</v>
      </c>
      <c r="B815" s="88">
        <v>2005</v>
      </c>
      <c r="C815" s="89" t="s">
        <v>2230</v>
      </c>
      <c r="D815" s="88" t="s">
        <v>160</v>
      </c>
      <c r="F815" s="70">
        <f t="shared" si="24"/>
        <v>2005</v>
      </c>
      <c r="G815" s="70" t="s">
        <v>159</v>
      </c>
      <c r="H815" s="70" t="str">
        <f t="shared" si="25"/>
        <v>COW</v>
      </c>
    </row>
    <row r="816" spans="1:8" ht="15" x14ac:dyDescent="0.25">
      <c r="A816" s="88" t="s">
        <v>2064</v>
      </c>
      <c r="B816" s="88">
        <v>2005</v>
      </c>
      <c r="C816" s="89" t="s">
        <v>2229</v>
      </c>
      <c r="D816" s="88" t="s">
        <v>160</v>
      </c>
      <c r="F816" s="70">
        <f t="shared" si="24"/>
        <v>2005</v>
      </c>
      <c r="G816" s="70" t="s">
        <v>159</v>
      </c>
      <c r="H816" s="70" t="str">
        <f t="shared" si="25"/>
        <v>COW</v>
      </c>
    </row>
    <row r="817" spans="1:8" ht="15" x14ac:dyDescent="0.25">
      <c r="A817" s="88" t="s">
        <v>2064</v>
      </c>
      <c r="B817" s="88">
        <v>2006</v>
      </c>
      <c r="C817" s="89" t="s">
        <v>2228</v>
      </c>
      <c r="D817" s="88" t="s">
        <v>160</v>
      </c>
      <c r="F817" s="70">
        <f t="shared" si="24"/>
        <v>2006</v>
      </c>
      <c r="G817" s="70" t="s">
        <v>159</v>
      </c>
      <c r="H817" s="70" t="str">
        <f t="shared" si="25"/>
        <v>COW</v>
      </c>
    </row>
    <row r="818" spans="1:8" ht="15" x14ac:dyDescent="0.25">
      <c r="A818" s="88" t="s">
        <v>2064</v>
      </c>
      <c r="B818" s="88">
        <v>2006</v>
      </c>
      <c r="C818" s="89" t="s">
        <v>2227</v>
      </c>
      <c r="D818" s="88" t="s">
        <v>160</v>
      </c>
      <c r="F818" s="70">
        <f t="shared" si="24"/>
        <v>2006</v>
      </c>
      <c r="G818" s="70" t="s">
        <v>159</v>
      </c>
      <c r="H818" s="70" t="str">
        <f t="shared" si="25"/>
        <v>COW</v>
      </c>
    </row>
    <row r="819" spans="1:8" ht="15" x14ac:dyDescent="0.25">
      <c r="A819" s="88" t="s">
        <v>2064</v>
      </c>
      <c r="B819" s="88">
        <v>2006</v>
      </c>
      <c r="C819" s="89" t="s">
        <v>2226</v>
      </c>
      <c r="D819" s="88" t="s">
        <v>160</v>
      </c>
      <c r="F819" s="70">
        <f t="shared" si="24"/>
        <v>2006</v>
      </c>
      <c r="G819" s="70" t="s">
        <v>159</v>
      </c>
      <c r="H819" s="70" t="str">
        <f t="shared" si="25"/>
        <v>COW</v>
      </c>
    </row>
    <row r="820" spans="1:8" ht="15" x14ac:dyDescent="0.25">
      <c r="A820" s="88" t="s">
        <v>2064</v>
      </c>
      <c r="B820" s="88">
        <v>2006</v>
      </c>
      <c r="C820" s="89" t="s">
        <v>2225</v>
      </c>
      <c r="D820" s="88" t="s">
        <v>160</v>
      </c>
      <c r="F820" s="70">
        <f t="shared" si="24"/>
        <v>2006</v>
      </c>
      <c r="G820" s="70" t="s">
        <v>159</v>
      </c>
      <c r="H820" s="70" t="str">
        <f t="shared" si="25"/>
        <v>COW</v>
      </c>
    </row>
    <row r="821" spans="1:8" ht="15" x14ac:dyDescent="0.25">
      <c r="A821" s="88" t="s">
        <v>2064</v>
      </c>
      <c r="B821" s="88">
        <v>2006</v>
      </c>
      <c r="C821" s="89" t="s">
        <v>2224</v>
      </c>
      <c r="D821" s="88" t="s">
        <v>160</v>
      </c>
      <c r="F821" s="70">
        <f t="shared" si="24"/>
        <v>2006</v>
      </c>
      <c r="G821" s="70" t="s">
        <v>159</v>
      </c>
      <c r="H821" s="70" t="str">
        <f t="shared" si="25"/>
        <v>COW</v>
      </c>
    </row>
    <row r="822" spans="1:8" ht="15" x14ac:dyDescent="0.25">
      <c r="A822" s="88" t="s">
        <v>2064</v>
      </c>
      <c r="B822" s="88">
        <v>2006</v>
      </c>
      <c r="C822" s="89" t="s">
        <v>2223</v>
      </c>
      <c r="D822" s="88" t="s">
        <v>160</v>
      </c>
      <c r="F822" s="70">
        <f t="shared" si="24"/>
        <v>2006</v>
      </c>
      <c r="G822" s="70" t="s">
        <v>159</v>
      </c>
      <c r="H822" s="70" t="str">
        <f t="shared" si="25"/>
        <v>COW</v>
      </c>
    </row>
    <row r="823" spans="1:8" ht="15" x14ac:dyDescent="0.25">
      <c r="A823" s="88" t="s">
        <v>2064</v>
      </c>
      <c r="B823" s="88">
        <v>2006</v>
      </c>
      <c r="C823" s="89" t="s">
        <v>2222</v>
      </c>
      <c r="D823" s="88" t="s">
        <v>160</v>
      </c>
      <c r="F823" s="70">
        <f t="shared" si="24"/>
        <v>2006</v>
      </c>
      <c r="G823" s="70" t="s">
        <v>159</v>
      </c>
      <c r="H823" s="70" t="str">
        <f t="shared" si="25"/>
        <v>COW</v>
      </c>
    </row>
    <row r="824" spans="1:8" ht="15" x14ac:dyDescent="0.25">
      <c r="A824" s="88" t="s">
        <v>2064</v>
      </c>
      <c r="B824" s="88">
        <v>2006</v>
      </c>
      <c r="C824" s="89" t="s">
        <v>2221</v>
      </c>
      <c r="D824" s="88" t="s">
        <v>160</v>
      </c>
      <c r="F824" s="70">
        <f t="shared" si="24"/>
        <v>2006</v>
      </c>
      <c r="G824" s="70" t="s">
        <v>159</v>
      </c>
      <c r="H824" s="70" t="str">
        <f t="shared" si="25"/>
        <v>COW</v>
      </c>
    </row>
    <row r="825" spans="1:8" ht="15" x14ac:dyDescent="0.25">
      <c r="A825" s="88" t="s">
        <v>2064</v>
      </c>
      <c r="B825" s="88">
        <v>2007</v>
      </c>
      <c r="C825" s="89" t="s">
        <v>2220</v>
      </c>
      <c r="D825" s="88" t="s">
        <v>160</v>
      </c>
      <c r="F825" s="70">
        <f t="shared" si="24"/>
        <v>2007</v>
      </c>
      <c r="G825" s="70" t="s">
        <v>159</v>
      </c>
      <c r="H825" s="70" t="str">
        <f t="shared" si="25"/>
        <v>COW</v>
      </c>
    </row>
    <row r="826" spans="1:8" ht="15" x14ac:dyDescent="0.25">
      <c r="A826" s="88" t="s">
        <v>2064</v>
      </c>
      <c r="B826" s="88">
        <v>2007</v>
      </c>
      <c r="C826" s="89" t="s">
        <v>2219</v>
      </c>
      <c r="D826" s="88" t="s">
        <v>160</v>
      </c>
      <c r="F826" s="70">
        <f t="shared" si="24"/>
        <v>2007</v>
      </c>
      <c r="G826" s="70" t="s">
        <v>159</v>
      </c>
      <c r="H826" s="70" t="str">
        <f t="shared" si="25"/>
        <v>COW</v>
      </c>
    </row>
    <row r="827" spans="1:8" ht="15" x14ac:dyDescent="0.25">
      <c r="A827" s="88" t="s">
        <v>2064</v>
      </c>
      <c r="B827" s="88">
        <v>2007</v>
      </c>
      <c r="C827" s="89" t="s">
        <v>2218</v>
      </c>
      <c r="D827" s="88" t="s">
        <v>160</v>
      </c>
      <c r="F827" s="70">
        <f t="shared" si="24"/>
        <v>2007</v>
      </c>
      <c r="G827" s="70" t="s">
        <v>159</v>
      </c>
      <c r="H827" s="70" t="str">
        <f t="shared" si="25"/>
        <v>COW</v>
      </c>
    </row>
    <row r="828" spans="1:8" ht="15" x14ac:dyDescent="0.25">
      <c r="A828" s="88" t="s">
        <v>2064</v>
      </c>
      <c r="B828" s="88">
        <v>2007</v>
      </c>
      <c r="C828" s="89" t="s">
        <v>2217</v>
      </c>
      <c r="D828" s="88" t="s">
        <v>160</v>
      </c>
      <c r="F828" s="70">
        <f t="shared" si="24"/>
        <v>2007</v>
      </c>
      <c r="G828" s="70" t="s">
        <v>159</v>
      </c>
      <c r="H828" s="70" t="str">
        <f t="shared" si="25"/>
        <v>COW</v>
      </c>
    </row>
    <row r="829" spans="1:8" ht="15" x14ac:dyDescent="0.25">
      <c r="A829" s="88" t="s">
        <v>2064</v>
      </c>
      <c r="B829" s="88">
        <v>2007</v>
      </c>
      <c r="C829" s="89" t="s">
        <v>2216</v>
      </c>
      <c r="D829" s="88" t="s">
        <v>160</v>
      </c>
      <c r="F829" s="70">
        <f t="shared" si="24"/>
        <v>2007</v>
      </c>
      <c r="G829" s="70" t="s">
        <v>159</v>
      </c>
      <c r="H829" s="70" t="str">
        <f t="shared" si="25"/>
        <v>COW</v>
      </c>
    </row>
    <row r="830" spans="1:8" ht="15" x14ac:dyDescent="0.25">
      <c r="A830" s="88" t="s">
        <v>2064</v>
      </c>
      <c r="B830" s="88">
        <v>2007</v>
      </c>
      <c r="C830" s="89" t="s">
        <v>2215</v>
      </c>
      <c r="D830" s="88" t="s">
        <v>160</v>
      </c>
      <c r="F830" s="70">
        <f t="shared" si="24"/>
        <v>2007</v>
      </c>
      <c r="G830" s="70" t="s">
        <v>159</v>
      </c>
      <c r="H830" s="70" t="str">
        <f t="shared" si="25"/>
        <v>COW</v>
      </c>
    </row>
    <row r="831" spans="1:8" ht="15" x14ac:dyDescent="0.25">
      <c r="A831" s="88" t="s">
        <v>2064</v>
      </c>
      <c r="B831" s="88">
        <v>2007</v>
      </c>
      <c r="C831" s="89" t="s">
        <v>2214</v>
      </c>
      <c r="D831" s="88" t="s">
        <v>160</v>
      </c>
      <c r="F831" s="70">
        <f t="shared" si="24"/>
        <v>2007</v>
      </c>
      <c r="G831" s="70" t="s">
        <v>159</v>
      </c>
      <c r="H831" s="70" t="str">
        <f t="shared" si="25"/>
        <v>COW</v>
      </c>
    </row>
    <row r="832" spans="1:8" ht="15" x14ac:dyDescent="0.25">
      <c r="A832" s="88" t="s">
        <v>2064</v>
      </c>
      <c r="B832" s="88">
        <v>2007</v>
      </c>
      <c r="C832" s="89" t="s">
        <v>2213</v>
      </c>
      <c r="D832" s="88" t="s">
        <v>160</v>
      </c>
      <c r="F832" s="70">
        <f t="shared" si="24"/>
        <v>2007</v>
      </c>
      <c r="G832" s="70" t="s">
        <v>159</v>
      </c>
      <c r="H832" s="70" t="str">
        <f t="shared" si="25"/>
        <v>COW</v>
      </c>
    </row>
    <row r="833" spans="1:8" ht="15" x14ac:dyDescent="0.25">
      <c r="A833" s="88" t="s">
        <v>2064</v>
      </c>
      <c r="B833" s="88">
        <v>2007</v>
      </c>
      <c r="C833" s="89" t="s">
        <v>2212</v>
      </c>
      <c r="D833" s="88" t="s">
        <v>160</v>
      </c>
      <c r="F833" s="70">
        <f t="shared" si="24"/>
        <v>2007</v>
      </c>
      <c r="G833" s="70" t="s">
        <v>159</v>
      </c>
      <c r="H833" s="70" t="str">
        <f t="shared" si="25"/>
        <v>COW</v>
      </c>
    </row>
    <row r="834" spans="1:8" ht="15" x14ac:dyDescent="0.25">
      <c r="A834" s="88" t="s">
        <v>2064</v>
      </c>
      <c r="B834" s="88">
        <v>2007</v>
      </c>
      <c r="C834" s="89" t="s">
        <v>2211</v>
      </c>
      <c r="D834" s="88" t="s">
        <v>160</v>
      </c>
      <c r="F834" s="70">
        <f t="shared" si="24"/>
        <v>2007</v>
      </c>
      <c r="G834" s="70" t="s">
        <v>159</v>
      </c>
      <c r="H834" s="70" t="str">
        <f t="shared" si="25"/>
        <v>COW</v>
      </c>
    </row>
    <row r="835" spans="1:8" ht="15" x14ac:dyDescent="0.25">
      <c r="A835" s="88" t="s">
        <v>2064</v>
      </c>
      <c r="B835" s="88">
        <v>2007</v>
      </c>
      <c r="C835" s="89" t="s">
        <v>2210</v>
      </c>
      <c r="D835" s="88" t="s">
        <v>160</v>
      </c>
      <c r="F835" s="70">
        <f t="shared" si="24"/>
        <v>2007</v>
      </c>
      <c r="G835" s="70" t="s">
        <v>159</v>
      </c>
      <c r="H835" s="70" t="str">
        <f t="shared" si="25"/>
        <v>COW</v>
      </c>
    </row>
    <row r="836" spans="1:8" ht="15" x14ac:dyDescent="0.25">
      <c r="A836" s="88" t="s">
        <v>2064</v>
      </c>
      <c r="B836" s="88">
        <v>2007</v>
      </c>
      <c r="C836" s="89" t="s">
        <v>2209</v>
      </c>
      <c r="D836" s="88" t="s">
        <v>160</v>
      </c>
      <c r="F836" s="70">
        <f t="shared" si="24"/>
        <v>2007</v>
      </c>
      <c r="G836" s="70" t="s">
        <v>159</v>
      </c>
      <c r="H836" s="70" t="str">
        <f t="shared" si="25"/>
        <v>COW</v>
      </c>
    </row>
    <row r="837" spans="1:8" ht="15" x14ac:dyDescent="0.25">
      <c r="A837" s="88" t="s">
        <v>2064</v>
      </c>
      <c r="B837" s="88">
        <v>2007</v>
      </c>
      <c r="C837" s="89" t="s">
        <v>2208</v>
      </c>
      <c r="D837" s="88" t="s">
        <v>160</v>
      </c>
      <c r="F837" s="70">
        <f t="shared" si="24"/>
        <v>2007</v>
      </c>
      <c r="G837" s="70" t="s">
        <v>159</v>
      </c>
      <c r="H837" s="70" t="str">
        <f t="shared" si="25"/>
        <v>COW</v>
      </c>
    </row>
    <row r="838" spans="1:8" ht="15" x14ac:dyDescent="0.25">
      <c r="A838" s="88" t="s">
        <v>2064</v>
      </c>
      <c r="B838" s="88">
        <v>2008</v>
      </c>
      <c r="C838" s="89" t="s">
        <v>2207</v>
      </c>
      <c r="D838" s="88" t="s">
        <v>160</v>
      </c>
      <c r="F838" s="70">
        <f t="shared" si="24"/>
        <v>2008</v>
      </c>
      <c r="G838" s="70" t="s">
        <v>159</v>
      </c>
      <c r="H838" s="70" t="str">
        <f t="shared" si="25"/>
        <v>COW</v>
      </c>
    </row>
    <row r="839" spans="1:8" ht="15" x14ac:dyDescent="0.25">
      <c r="A839" s="88" t="s">
        <v>2064</v>
      </c>
      <c r="B839" s="88">
        <v>2008</v>
      </c>
      <c r="C839" s="89" t="s">
        <v>2206</v>
      </c>
      <c r="D839" s="88" t="s">
        <v>160</v>
      </c>
      <c r="F839" s="70">
        <f t="shared" si="24"/>
        <v>2008</v>
      </c>
      <c r="G839" s="70" t="s">
        <v>159</v>
      </c>
      <c r="H839" s="70" t="str">
        <f t="shared" si="25"/>
        <v>COW</v>
      </c>
    </row>
    <row r="840" spans="1:8" ht="15" x14ac:dyDescent="0.25">
      <c r="A840" s="88" t="s">
        <v>2064</v>
      </c>
      <c r="B840" s="88">
        <v>2008</v>
      </c>
      <c r="C840" s="89" t="s">
        <v>2205</v>
      </c>
      <c r="D840" s="88" t="s">
        <v>160</v>
      </c>
      <c r="F840" s="70">
        <f t="shared" ref="F840:F903" si="26">+B840</f>
        <v>2008</v>
      </c>
      <c r="G840" s="70" t="s">
        <v>159</v>
      </c>
      <c r="H840" s="70" t="str">
        <f t="shared" ref="H840:H903" si="27">A840</f>
        <v>COW</v>
      </c>
    </row>
    <row r="841" spans="1:8" ht="15" x14ac:dyDescent="0.25">
      <c r="A841" s="88" t="s">
        <v>2064</v>
      </c>
      <c r="B841" s="88">
        <v>2008</v>
      </c>
      <c r="C841" s="89" t="s">
        <v>2204</v>
      </c>
      <c r="D841" s="88" t="s">
        <v>160</v>
      </c>
      <c r="F841" s="70">
        <f t="shared" si="26"/>
        <v>2008</v>
      </c>
      <c r="G841" s="70" t="s">
        <v>159</v>
      </c>
      <c r="H841" s="70" t="str">
        <f t="shared" si="27"/>
        <v>COW</v>
      </c>
    </row>
    <row r="842" spans="1:8" ht="15" x14ac:dyDescent="0.25">
      <c r="A842" s="88" t="s">
        <v>2064</v>
      </c>
      <c r="B842" s="88">
        <v>2008</v>
      </c>
      <c r="C842" s="89" t="s">
        <v>2203</v>
      </c>
      <c r="D842" s="88" t="s">
        <v>160</v>
      </c>
      <c r="F842" s="70">
        <f t="shared" si="26"/>
        <v>2008</v>
      </c>
      <c r="G842" s="70" t="s">
        <v>159</v>
      </c>
      <c r="H842" s="70" t="str">
        <f t="shared" si="27"/>
        <v>COW</v>
      </c>
    </row>
    <row r="843" spans="1:8" ht="15" x14ac:dyDescent="0.25">
      <c r="A843" s="88" t="s">
        <v>2064</v>
      </c>
      <c r="B843" s="88">
        <v>2008</v>
      </c>
      <c r="C843" s="89" t="s">
        <v>2202</v>
      </c>
      <c r="D843" s="88" t="s">
        <v>160</v>
      </c>
      <c r="F843" s="70">
        <f t="shared" si="26"/>
        <v>2008</v>
      </c>
      <c r="G843" s="70" t="s">
        <v>159</v>
      </c>
      <c r="H843" s="70" t="str">
        <f t="shared" si="27"/>
        <v>COW</v>
      </c>
    </row>
    <row r="844" spans="1:8" ht="15" x14ac:dyDescent="0.25">
      <c r="A844" s="88" t="s">
        <v>2064</v>
      </c>
      <c r="B844" s="88">
        <v>2008</v>
      </c>
      <c r="C844" s="89" t="s">
        <v>2201</v>
      </c>
      <c r="D844" s="88" t="s">
        <v>160</v>
      </c>
      <c r="F844" s="70">
        <f t="shared" si="26"/>
        <v>2008</v>
      </c>
      <c r="G844" s="70" t="s">
        <v>159</v>
      </c>
      <c r="H844" s="70" t="str">
        <f t="shared" si="27"/>
        <v>COW</v>
      </c>
    </row>
    <row r="845" spans="1:8" ht="15" x14ac:dyDescent="0.25">
      <c r="A845" s="88" t="s">
        <v>2064</v>
      </c>
      <c r="B845" s="88">
        <v>2008</v>
      </c>
      <c r="C845" s="89" t="s">
        <v>2200</v>
      </c>
      <c r="D845" s="88" t="s">
        <v>160</v>
      </c>
      <c r="F845" s="70">
        <f t="shared" si="26"/>
        <v>2008</v>
      </c>
      <c r="G845" s="70" t="s">
        <v>159</v>
      </c>
      <c r="H845" s="70" t="str">
        <f t="shared" si="27"/>
        <v>COW</v>
      </c>
    </row>
    <row r="846" spans="1:8" ht="15" x14ac:dyDescent="0.25">
      <c r="A846" s="88" t="s">
        <v>2064</v>
      </c>
      <c r="B846" s="88">
        <v>2008</v>
      </c>
      <c r="C846" s="89" t="s">
        <v>2199</v>
      </c>
      <c r="D846" s="88" t="s">
        <v>160</v>
      </c>
      <c r="F846" s="70">
        <f t="shared" si="26"/>
        <v>2008</v>
      </c>
      <c r="G846" s="70" t="s">
        <v>159</v>
      </c>
      <c r="H846" s="70" t="str">
        <f t="shared" si="27"/>
        <v>COW</v>
      </c>
    </row>
    <row r="847" spans="1:8" ht="15" x14ac:dyDescent="0.25">
      <c r="A847" s="88" t="s">
        <v>2064</v>
      </c>
      <c r="B847" s="88">
        <v>2008</v>
      </c>
      <c r="C847" s="89" t="s">
        <v>2198</v>
      </c>
      <c r="D847" s="88" t="s">
        <v>160</v>
      </c>
      <c r="F847" s="70">
        <f t="shared" si="26"/>
        <v>2008</v>
      </c>
      <c r="G847" s="70" t="s">
        <v>159</v>
      </c>
      <c r="H847" s="70" t="str">
        <f t="shared" si="27"/>
        <v>COW</v>
      </c>
    </row>
    <row r="848" spans="1:8" ht="15" x14ac:dyDescent="0.25">
      <c r="A848" s="88" t="s">
        <v>2064</v>
      </c>
      <c r="B848" s="88">
        <v>2008</v>
      </c>
      <c r="C848" s="89" t="s">
        <v>2197</v>
      </c>
      <c r="D848" s="88" t="s">
        <v>160</v>
      </c>
      <c r="F848" s="70">
        <f t="shared" si="26"/>
        <v>2008</v>
      </c>
      <c r="G848" s="70" t="s">
        <v>159</v>
      </c>
      <c r="H848" s="70" t="str">
        <f t="shared" si="27"/>
        <v>COW</v>
      </c>
    </row>
    <row r="849" spans="1:8" ht="15" x14ac:dyDescent="0.25">
      <c r="A849" s="88" t="s">
        <v>2064</v>
      </c>
      <c r="B849" s="88">
        <v>2008</v>
      </c>
      <c r="C849" s="89" t="s">
        <v>2196</v>
      </c>
      <c r="D849" s="88" t="s">
        <v>160</v>
      </c>
      <c r="F849" s="70">
        <f t="shared" si="26"/>
        <v>2008</v>
      </c>
      <c r="G849" s="70" t="s">
        <v>159</v>
      </c>
      <c r="H849" s="70" t="str">
        <f t="shared" si="27"/>
        <v>COW</v>
      </c>
    </row>
    <row r="850" spans="1:8" ht="15" x14ac:dyDescent="0.25">
      <c r="A850" s="88" t="s">
        <v>2064</v>
      </c>
      <c r="B850" s="88">
        <v>2008</v>
      </c>
      <c r="C850" s="89" t="s">
        <v>2195</v>
      </c>
      <c r="D850" s="88" t="s">
        <v>160</v>
      </c>
      <c r="F850" s="70">
        <f t="shared" si="26"/>
        <v>2008</v>
      </c>
      <c r="G850" s="70" t="s">
        <v>159</v>
      </c>
      <c r="H850" s="70" t="str">
        <f t="shared" si="27"/>
        <v>COW</v>
      </c>
    </row>
    <row r="851" spans="1:8" ht="15" x14ac:dyDescent="0.25">
      <c r="A851" s="88" t="s">
        <v>2064</v>
      </c>
      <c r="B851" s="88">
        <v>2008</v>
      </c>
      <c r="C851" s="89" t="s">
        <v>2194</v>
      </c>
      <c r="D851" s="88" t="s">
        <v>160</v>
      </c>
      <c r="F851" s="70">
        <f t="shared" si="26"/>
        <v>2008</v>
      </c>
      <c r="G851" s="70" t="s">
        <v>159</v>
      </c>
      <c r="H851" s="70" t="str">
        <f t="shared" si="27"/>
        <v>COW</v>
      </c>
    </row>
    <row r="852" spans="1:8" ht="15" x14ac:dyDescent="0.25">
      <c r="A852" s="88" t="s">
        <v>2064</v>
      </c>
      <c r="B852" s="88">
        <v>2008</v>
      </c>
      <c r="C852" s="89" t="s">
        <v>2193</v>
      </c>
      <c r="D852" s="88" t="s">
        <v>160</v>
      </c>
      <c r="F852" s="70">
        <f t="shared" si="26"/>
        <v>2008</v>
      </c>
      <c r="G852" s="70" t="s">
        <v>159</v>
      </c>
      <c r="H852" s="70" t="str">
        <f t="shared" si="27"/>
        <v>COW</v>
      </c>
    </row>
    <row r="853" spans="1:8" ht="15" x14ac:dyDescent="0.25">
      <c r="A853" s="88" t="s">
        <v>2064</v>
      </c>
      <c r="B853" s="88">
        <v>2008</v>
      </c>
      <c r="C853" s="89" t="s">
        <v>2192</v>
      </c>
      <c r="D853" s="88" t="s">
        <v>160</v>
      </c>
      <c r="F853" s="70">
        <f t="shared" si="26"/>
        <v>2008</v>
      </c>
      <c r="G853" s="70" t="s">
        <v>159</v>
      </c>
      <c r="H853" s="70" t="str">
        <f t="shared" si="27"/>
        <v>COW</v>
      </c>
    </row>
    <row r="854" spans="1:8" ht="15" x14ac:dyDescent="0.25">
      <c r="A854" s="88" t="s">
        <v>2064</v>
      </c>
      <c r="B854" s="88">
        <v>2008</v>
      </c>
      <c r="C854" s="89" t="s">
        <v>2191</v>
      </c>
      <c r="D854" s="88" t="s">
        <v>160</v>
      </c>
      <c r="F854" s="70">
        <f t="shared" si="26"/>
        <v>2008</v>
      </c>
      <c r="G854" s="70" t="s">
        <v>159</v>
      </c>
      <c r="H854" s="70" t="str">
        <f t="shared" si="27"/>
        <v>COW</v>
      </c>
    </row>
    <row r="855" spans="1:8" ht="15" x14ac:dyDescent="0.25">
      <c r="A855" s="88" t="s">
        <v>2064</v>
      </c>
      <c r="B855" s="88">
        <v>2008</v>
      </c>
      <c r="C855" s="89" t="s">
        <v>2190</v>
      </c>
      <c r="D855" s="88" t="s">
        <v>160</v>
      </c>
      <c r="F855" s="70">
        <f t="shared" si="26"/>
        <v>2008</v>
      </c>
      <c r="G855" s="70" t="s">
        <v>159</v>
      </c>
      <c r="H855" s="70" t="str">
        <f t="shared" si="27"/>
        <v>COW</v>
      </c>
    </row>
    <row r="856" spans="1:8" ht="15" x14ac:dyDescent="0.25">
      <c r="A856" s="88" t="s">
        <v>2064</v>
      </c>
      <c r="B856" s="88">
        <v>2008</v>
      </c>
      <c r="C856" s="89" t="s">
        <v>2189</v>
      </c>
      <c r="D856" s="88" t="s">
        <v>160</v>
      </c>
      <c r="F856" s="70">
        <f t="shared" si="26"/>
        <v>2008</v>
      </c>
      <c r="G856" s="70" t="s">
        <v>159</v>
      </c>
      <c r="H856" s="70" t="str">
        <f t="shared" si="27"/>
        <v>COW</v>
      </c>
    </row>
    <row r="857" spans="1:8" ht="15" x14ac:dyDescent="0.25">
      <c r="A857" s="88" t="s">
        <v>2064</v>
      </c>
      <c r="B857" s="88">
        <v>2008</v>
      </c>
      <c r="C857" s="89" t="s">
        <v>2188</v>
      </c>
      <c r="D857" s="88" t="s">
        <v>160</v>
      </c>
      <c r="F857" s="70">
        <f t="shared" si="26"/>
        <v>2008</v>
      </c>
      <c r="G857" s="70" t="s">
        <v>159</v>
      </c>
      <c r="H857" s="70" t="str">
        <f t="shared" si="27"/>
        <v>COW</v>
      </c>
    </row>
    <row r="858" spans="1:8" ht="15" x14ac:dyDescent="0.25">
      <c r="A858" s="88" t="s">
        <v>2064</v>
      </c>
      <c r="B858" s="88">
        <v>2009</v>
      </c>
      <c r="C858" s="89" t="s">
        <v>2187</v>
      </c>
      <c r="D858" s="88" t="s">
        <v>160</v>
      </c>
      <c r="F858" s="70">
        <f t="shared" si="26"/>
        <v>2009</v>
      </c>
      <c r="G858" s="70" t="s">
        <v>159</v>
      </c>
      <c r="H858" s="70" t="str">
        <f t="shared" si="27"/>
        <v>COW</v>
      </c>
    </row>
    <row r="859" spans="1:8" ht="15" x14ac:dyDescent="0.25">
      <c r="A859" s="88" t="s">
        <v>2064</v>
      </c>
      <c r="B859" s="88">
        <v>2009</v>
      </c>
      <c r="C859" s="89" t="s">
        <v>2186</v>
      </c>
      <c r="D859" s="88" t="s">
        <v>160</v>
      </c>
      <c r="F859" s="70">
        <f t="shared" si="26"/>
        <v>2009</v>
      </c>
      <c r="G859" s="70" t="s">
        <v>159</v>
      </c>
      <c r="H859" s="70" t="str">
        <f t="shared" si="27"/>
        <v>COW</v>
      </c>
    </row>
    <row r="860" spans="1:8" ht="15" x14ac:dyDescent="0.25">
      <c r="A860" s="88" t="s">
        <v>2064</v>
      </c>
      <c r="B860" s="88">
        <v>2009</v>
      </c>
      <c r="C860" s="89" t="s">
        <v>2185</v>
      </c>
      <c r="D860" s="88" t="s">
        <v>160</v>
      </c>
      <c r="F860" s="70">
        <f t="shared" si="26"/>
        <v>2009</v>
      </c>
      <c r="G860" s="70" t="s">
        <v>159</v>
      </c>
      <c r="H860" s="70" t="str">
        <f t="shared" si="27"/>
        <v>COW</v>
      </c>
    </row>
    <row r="861" spans="1:8" ht="15" x14ac:dyDescent="0.25">
      <c r="A861" s="88" t="s">
        <v>2064</v>
      </c>
      <c r="B861" s="88">
        <v>2009</v>
      </c>
      <c r="C861" s="89" t="s">
        <v>2184</v>
      </c>
      <c r="D861" s="88" t="s">
        <v>160</v>
      </c>
      <c r="F861" s="70">
        <f t="shared" si="26"/>
        <v>2009</v>
      </c>
      <c r="G861" s="70" t="s">
        <v>159</v>
      </c>
      <c r="H861" s="70" t="str">
        <f t="shared" si="27"/>
        <v>COW</v>
      </c>
    </row>
    <row r="862" spans="1:8" ht="15" x14ac:dyDescent="0.25">
      <c r="A862" s="88" t="s">
        <v>2064</v>
      </c>
      <c r="B862" s="88">
        <v>2009</v>
      </c>
      <c r="C862" s="89" t="s">
        <v>2183</v>
      </c>
      <c r="D862" s="88" t="s">
        <v>160</v>
      </c>
      <c r="F862" s="70">
        <f t="shared" si="26"/>
        <v>2009</v>
      </c>
      <c r="G862" s="70" t="s">
        <v>159</v>
      </c>
      <c r="H862" s="70" t="str">
        <f t="shared" si="27"/>
        <v>COW</v>
      </c>
    </row>
    <row r="863" spans="1:8" ht="15" x14ac:dyDescent="0.25">
      <c r="A863" s="88" t="s">
        <v>2064</v>
      </c>
      <c r="B863" s="88">
        <v>2009</v>
      </c>
      <c r="C863" s="89" t="s">
        <v>2182</v>
      </c>
      <c r="D863" s="88" t="s">
        <v>160</v>
      </c>
      <c r="F863" s="70">
        <f t="shared" si="26"/>
        <v>2009</v>
      </c>
      <c r="G863" s="70" t="s">
        <v>159</v>
      </c>
      <c r="H863" s="70" t="str">
        <f t="shared" si="27"/>
        <v>COW</v>
      </c>
    </row>
    <row r="864" spans="1:8" ht="15" x14ac:dyDescent="0.25">
      <c r="A864" s="88" t="s">
        <v>2064</v>
      </c>
      <c r="B864" s="88">
        <v>2009</v>
      </c>
      <c r="C864" s="89" t="s">
        <v>2181</v>
      </c>
      <c r="D864" s="88" t="s">
        <v>160</v>
      </c>
      <c r="F864" s="70">
        <f t="shared" si="26"/>
        <v>2009</v>
      </c>
      <c r="G864" s="70" t="s">
        <v>159</v>
      </c>
      <c r="H864" s="70" t="str">
        <f t="shared" si="27"/>
        <v>COW</v>
      </c>
    </row>
    <row r="865" spans="1:8" ht="15" x14ac:dyDescent="0.25">
      <c r="A865" s="88" t="s">
        <v>2064</v>
      </c>
      <c r="B865" s="88">
        <v>2009</v>
      </c>
      <c r="C865" s="89" t="s">
        <v>2180</v>
      </c>
      <c r="D865" s="88" t="s">
        <v>160</v>
      </c>
      <c r="F865" s="70">
        <f t="shared" si="26"/>
        <v>2009</v>
      </c>
      <c r="G865" s="70" t="s">
        <v>159</v>
      </c>
      <c r="H865" s="70" t="str">
        <f t="shared" si="27"/>
        <v>COW</v>
      </c>
    </row>
    <row r="866" spans="1:8" ht="15" x14ac:dyDescent="0.25">
      <c r="A866" s="88" t="s">
        <v>2064</v>
      </c>
      <c r="B866" s="88">
        <v>2009</v>
      </c>
      <c r="C866" s="89" t="s">
        <v>2179</v>
      </c>
      <c r="D866" s="88" t="s">
        <v>160</v>
      </c>
      <c r="F866" s="70">
        <f t="shared" si="26"/>
        <v>2009</v>
      </c>
      <c r="G866" s="70" t="s">
        <v>159</v>
      </c>
      <c r="H866" s="70" t="str">
        <f t="shared" si="27"/>
        <v>COW</v>
      </c>
    </row>
    <row r="867" spans="1:8" ht="15" x14ac:dyDescent="0.25">
      <c r="A867" s="88" t="s">
        <v>2064</v>
      </c>
      <c r="B867" s="88">
        <v>2009</v>
      </c>
      <c r="C867" s="89" t="s">
        <v>2178</v>
      </c>
      <c r="D867" s="88" t="s">
        <v>160</v>
      </c>
      <c r="F867" s="70">
        <f t="shared" si="26"/>
        <v>2009</v>
      </c>
      <c r="G867" s="70" t="s">
        <v>159</v>
      </c>
      <c r="H867" s="70" t="str">
        <f t="shared" si="27"/>
        <v>COW</v>
      </c>
    </row>
    <row r="868" spans="1:8" ht="15" x14ac:dyDescent="0.25">
      <c r="A868" s="88" t="s">
        <v>2064</v>
      </c>
      <c r="B868" s="88">
        <v>2010</v>
      </c>
      <c r="C868" s="89" t="s">
        <v>2177</v>
      </c>
      <c r="D868" s="88" t="s">
        <v>160</v>
      </c>
      <c r="F868" s="70">
        <f t="shared" si="26"/>
        <v>2010</v>
      </c>
      <c r="G868" s="70" t="s">
        <v>159</v>
      </c>
      <c r="H868" s="70" t="str">
        <f t="shared" si="27"/>
        <v>COW</v>
      </c>
    </row>
    <row r="869" spans="1:8" ht="15" x14ac:dyDescent="0.25">
      <c r="A869" s="88" t="s">
        <v>2064</v>
      </c>
      <c r="B869" s="88">
        <v>2010</v>
      </c>
      <c r="C869" s="89" t="s">
        <v>2176</v>
      </c>
      <c r="D869" s="88" t="s">
        <v>160</v>
      </c>
      <c r="F869" s="70">
        <f t="shared" si="26"/>
        <v>2010</v>
      </c>
      <c r="G869" s="70" t="s">
        <v>159</v>
      </c>
      <c r="H869" s="70" t="str">
        <f t="shared" si="27"/>
        <v>COW</v>
      </c>
    </row>
    <row r="870" spans="1:8" ht="15" x14ac:dyDescent="0.25">
      <c r="A870" s="88" t="s">
        <v>2064</v>
      </c>
      <c r="B870" s="88">
        <v>2010</v>
      </c>
      <c r="C870" s="89" t="s">
        <v>2175</v>
      </c>
      <c r="D870" s="88" t="s">
        <v>160</v>
      </c>
      <c r="F870" s="70">
        <f t="shared" si="26"/>
        <v>2010</v>
      </c>
      <c r="G870" s="70" t="s">
        <v>159</v>
      </c>
      <c r="H870" s="70" t="str">
        <f t="shared" si="27"/>
        <v>COW</v>
      </c>
    </row>
    <row r="871" spans="1:8" ht="15" x14ac:dyDescent="0.25">
      <c r="A871" s="88" t="s">
        <v>2064</v>
      </c>
      <c r="B871" s="88">
        <v>2010</v>
      </c>
      <c r="C871" s="89" t="s">
        <v>2174</v>
      </c>
      <c r="D871" s="88" t="s">
        <v>160</v>
      </c>
      <c r="F871" s="70">
        <f t="shared" si="26"/>
        <v>2010</v>
      </c>
      <c r="G871" s="70" t="s">
        <v>159</v>
      </c>
      <c r="H871" s="70" t="str">
        <f t="shared" si="27"/>
        <v>COW</v>
      </c>
    </row>
    <row r="872" spans="1:8" ht="15" x14ac:dyDescent="0.25">
      <c r="A872" s="88" t="s">
        <v>2064</v>
      </c>
      <c r="B872" s="88">
        <v>2010</v>
      </c>
      <c r="C872" s="89" t="s">
        <v>2173</v>
      </c>
      <c r="D872" s="88" t="s">
        <v>160</v>
      </c>
      <c r="F872" s="70">
        <f t="shared" si="26"/>
        <v>2010</v>
      </c>
      <c r="G872" s="70" t="s">
        <v>159</v>
      </c>
      <c r="H872" s="70" t="str">
        <f t="shared" si="27"/>
        <v>COW</v>
      </c>
    </row>
    <row r="873" spans="1:8" ht="15" x14ac:dyDescent="0.25">
      <c r="A873" s="88" t="s">
        <v>2064</v>
      </c>
      <c r="B873" s="88">
        <v>2010</v>
      </c>
      <c r="C873" s="89" t="s">
        <v>2172</v>
      </c>
      <c r="D873" s="88" t="s">
        <v>160</v>
      </c>
      <c r="F873" s="70">
        <f t="shared" si="26"/>
        <v>2010</v>
      </c>
      <c r="G873" s="70" t="s">
        <v>159</v>
      </c>
      <c r="H873" s="70" t="str">
        <f t="shared" si="27"/>
        <v>COW</v>
      </c>
    </row>
    <row r="874" spans="1:8" ht="15" x14ac:dyDescent="0.25">
      <c r="A874" s="88" t="s">
        <v>2064</v>
      </c>
      <c r="B874" s="88">
        <v>2010</v>
      </c>
      <c r="C874" s="89" t="s">
        <v>2171</v>
      </c>
      <c r="D874" s="88" t="s">
        <v>160</v>
      </c>
      <c r="F874" s="70">
        <f t="shared" si="26"/>
        <v>2010</v>
      </c>
      <c r="G874" s="70" t="s">
        <v>159</v>
      </c>
      <c r="H874" s="70" t="str">
        <f t="shared" si="27"/>
        <v>COW</v>
      </c>
    </row>
    <row r="875" spans="1:8" ht="15" x14ac:dyDescent="0.25">
      <c r="A875" s="88" t="s">
        <v>2064</v>
      </c>
      <c r="B875" s="88">
        <v>2010</v>
      </c>
      <c r="C875" s="89" t="s">
        <v>2170</v>
      </c>
      <c r="D875" s="88" t="s">
        <v>160</v>
      </c>
      <c r="F875" s="70">
        <f t="shared" si="26"/>
        <v>2010</v>
      </c>
      <c r="G875" s="70" t="s">
        <v>159</v>
      </c>
      <c r="H875" s="70" t="str">
        <f t="shared" si="27"/>
        <v>COW</v>
      </c>
    </row>
    <row r="876" spans="1:8" ht="15" x14ac:dyDescent="0.25">
      <c r="A876" s="88" t="s">
        <v>2064</v>
      </c>
      <c r="B876" s="88">
        <v>2010</v>
      </c>
      <c r="C876" s="89" t="s">
        <v>2169</v>
      </c>
      <c r="D876" s="88" t="s">
        <v>160</v>
      </c>
      <c r="F876" s="70">
        <f t="shared" si="26"/>
        <v>2010</v>
      </c>
      <c r="G876" s="70" t="s">
        <v>159</v>
      </c>
      <c r="H876" s="70" t="str">
        <f t="shared" si="27"/>
        <v>COW</v>
      </c>
    </row>
    <row r="877" spans="1:8" ht="15" x14ac:dyDescent="0.25">
      <c r="A877" s="88" t="s">
        <v>2064</v>
      </c>
      <c r="B877" s="88">
        <v>2010</v>
      </c>
      <c r="C877" s="89" t="s">
        <v>2168</v>
      </c>
      <c r="D877" s="88" t="s">
        <v>160</v>
      </c>
      <c r="F877" s="70">
        <f t="shared" si="26"/>
        <v>2010</v>
      </c>
      <c r="G877" s="70" t="s">
        <v>159</v>
      </c>
      <c r="H877" s="70" t="str">
        <f t="shared" si="27"/>
        <v>COW</v>
      </c>
    </row>
    <row r="878" spans="1:8" ht="15" x14ac:dyDescent="0.25">
      <c r="A878" s="88" t="s">
        <v>2064</v>
      </c>
      <c r="B878" s="88">
        <v>2011</v>
      </c>
      <c r="C878" s="89" t="s">
        <v>2167</v>
      </c>
      <c r="D878" s="88" t="s">
        <v>160</v>
      </c>
      <c r="F878" s="70">
        <f t="shared" si="26"/>
        <v>2011</v>
      </c>
      <c r="G878" s="70" t="s">
        <v>159</v>
      </c>
      <c r="H878" s="70" t="str">
        <f t="shared" si="27"/>
        <v>COW</v>
      </c>
    </row>
    <row r="879" spans="1:8" ht="15" x14ac:dyDescent="0.25">
      <c r="A879" s="88" t="s">
        <v>2064</v>
      </c>
      <c r="B879" s="88">
        <v>2011</v>
      </c>
      <c r="C879" s="89" t="s">
        <v>2166</v>
      </c>
      <c r="D879" s="88" t="s">
        <v>160</v>
      </c>
      <c r="F879" s="70">
        <f t="shared" si="26"/>
        <v>2011</v>
      </c>
      <c r="G879" s="70" t="s">
        <v>159</v>
      </c>
      <c r="H879" s="70" t="str">
        <f t="shared" si="27"/>
        <v>COW</v>
      </c>
    </row>
    <row r="880" spans="1:8" ht="15" x14ac:dyDescent="0.25">
      <c r="A880" s="88" t="s">
        <v>2064</v>
      </c>
      <c r="B880" s="88">
        <v>2011</v>
      </c>
      <c r="C880" s="89" t="s">
        <v>2165</v>
      </c>
      <c r="D880" s="88" t="s">
        <v>160</v>
      </c>
      <c r="F880" s="70">
        <f t="shared" si="26"/>
        <v>2011</v>
      </c>
      <c r="G880" s="70" t="s">
        <v>159</v>
      </c>
      <c r="H880" s="70" t="str">
        <f t="shared" si="27"/>
        <v>COW</v>
      </c>
    </row>
    <row r="881" spans="1:8" ht="15" x14ac:dyDescent="0.25">
      <c r="A881" s="88" t="s">
        <v>2064</v>
      </c>
      <c r="B881" s="88">
        <v>2011</v>
      </c>
      <c r="C881" s="89" t="s">
        <v>2164</v>
      </c>
      <c r="D881" s="88" t="s">
        <v>160</v>
      </c>
      <c r="F881" s="70">
        <f t="shared" si="26"/>
        <v>2011</v>
      </c>
      <c r="G881" s="70" t="s">
        <v>159</v>
      </c>
      <c r="H881" s="70" t="str">
        <f t="shared" si="27"/>
        <v>COW</v>
      </c>
    </row>
    <row r="882" spans="1:8" ht="15" x14ac:dyDescent="0.25">
      <c r="A882" s="88" t="s">
        <v>2064</v>
      </c>
      <c r="B882" s="88">
        <v>2011</v>
      </c>
      <c r="C882" s="89" t="s">
        <v>2163</v>
      </c>
      <c r="D882" s="88" t="s">
        <v>160</v>
      </c>
      <c r="F882" s="70">
        <f t="shared" si="26"/>
        <v>2011</v>
      </c>
      <c r="G882" s="70" t="s">
        <v>159</v>
      </c>
      <c r="H882" s="70" t="str">
        <f t="shared" si="27"/>
        <v>COW</v>
      </c>
    </row>
    <row r="883" spans="1:8" ht="15" x14ac:dyDescent="0.25">
      <c r="A883" s="88" t="s">
        <v>2064</v>
      </c>
      <c r="B883" s="88">
        <v>2011</v>
      </c>
      <c r="C883" s="89" t="s">
        <v>2162</v>
      </c>
      <c r="D883" s="88" t="s">
        <v>160</v>
      </c>
      <c r="F883" s="70">
        <f t="shared" si="26"/>
        <v>2011</v>
      </c>
      <c r="G883" s="70" t="s">
        <v>159</v>
      </c>
      <c r="H883" s="70" t="str">
        <f t="shared" si="27"/>
        <v>COW</v>
      </c>
    </row>
    <row r="884" spans="1:8" ht="15" x14ac:dyDescent="0.25">
      <c r="A884" s="88" t="s">
        <v>2064</v>
      </c>
      <c r="B884" s="88">
        <v>2011</v>
      </c>
      <c r="C884" s="89" t="s">
        <v>2161</v>
      </c>
      <c r="D884" s="88" t="s">
        <v>160</v>
      </c>
      <c r="F884" s="70">
        <f t="shared" si="26"/>
        <v>2011</v>
      </c>
      <c r="G884" s="70" t="s">
        <v>159</v>
      </c>
      <c r="H884" s="70" t="str">
        <f t="shared" si="27"/>
        <v>COW</v>
      </c>
    </row>
    <row r="885" spans="1:8" ht="15" x14ac:dyDescent="0.25">
      <c r="A885" s="88" t="s">
        <v>2064</v>
      </c>
      <c r="B885" s="88">
        <v>2011</v>
      </c>
      <c r="C885" s="89" t="s">
        <v>2160</v>
      </c>
      <c r="D885" s="88" t="s">
        <v>160</v>
      </c>
      <c r="F885" s="70">
        <f t="shared" si="26"/>
        <v>2011</v>
      </c>
      <c r="G885" s="70" t="s">
        <v>159</v>
      </c>
      <c r="H885" s="70" t="str">
        <f t="shared" si="27"/>
        <v>COW</v>
      </c>
    </row>
    <row r="886" spans="1:8" ht="15" x14ac:dyDescent="0.25">
      <c r="A886" s="88" t="s">
        <v>2064</v>
      </c>
      <c r="B886" s="88">
        <v>2011</v>
      </c>
      <c r="C886" s="89" t="s">
        <v>2159</v>
      </c>
      <c r="D886" s="88" t="s">
        <v>160</v>
      </c>
      <c r="F886" s="70">
        <f t="shared" si="26"/>
        <v>2011</v>
      </c>
      <c r="G886" s="70" t="s">
        <v>159</v>
      </c>
      <c r="H886" s="70" t="str">
        <f t="shared" si="27"/>
        <v>COW</v>
      </c>
    </row>
    <row r="887" spans="1:8" ht="15" x14ac:dyDescent="0.25">
      <c r="A887" s="88" t="s">
        <v>2064</v>
      </c>
      <c r="B887" s="88">
        <v>2011</v>
      </c>
      <c r="C887" s="89" t="s">
        <v>2158</v>
      </c>
      <c r="D887" s="88" t="s">
        <v>160</v>
      </c>
      <c r="F887" s="70">
        <f t="shared" si="26"/>
        <v>2011</v>
      </c>
      <c r="G887" s="70" t="s">
        <v>159</v>
      </c>
      <c r="H887" s="70" t="str">
        <f t="shared" si="27"/>
        <v>COW</v>
      </c>
    </row>
    <row r="888" spans="1:8" ht="15" x14ac:dyDescent="0.25">
      <c r="A888" s="88" t="s">
        <v>2064</v>
      </c>
      <c r="B888" s="88">
        <v>2011</v>
      </c>
      <c r="C888" s="89" t="s">
        <v>2157</v>
      </c>
      <c r="D888" s="88" t="s">
        <v>160</v>
      </c>
      <c r="F888" s="70">
        <f t="shared" si="26"/>
        <v>2011</v>
      </c>
      <c r="G888" s="70" t="s">
        <v>159</v>
      </c>
      <c r="H888" s="70" t="str">
        <f t="shared" si="27"/>
        <v>COW</v>
      </c>
    </row>
    <row r="889" spans="1:8" ht="15" x14ac:dyDescent="0.25">
      <c r="A889" s="88" t="s">
        <v>2064</v>
      </c>
      <c r="B889" s="88">
        <v>2011</v>
      </c>
      <c r="C889" s="89" t="s">
        <v>2156</v>
      </c>
      <c r="D889" s="88" t="s">
        <v>160</v>
      </c>
      <c r="F889" s="70">
        <f t="shared" si="26"/>
        <v>2011</v>
      </c>
      <c r="G889" s="70" t="s">
        <v>159</v>
      </c>
      <c r="H889" s="70" t="str">
        <f t="shared" si="27"/>
        <v>COW</v>
      </c>
    </row>
    <row r="890" spans="1:8" ht="15" x14ac:dyDescent="0.25">
      <c r="A890" s="88" t="s">
        <v>2064</v>
      </c>
      <c r="B890" s="88">
        <v>2011</v>
      </c>
      <c r="C890" s="89" t="s">
        <v>2155</v>
      </c>
      <c r="D890" s="88" t="s">
        <v>160</v>
      </c>
      <c r="F890" s="70">
        <f t="shared" si="26"/>
        <v>2011</v>
      </c>
      <c r="G890" s="70" t="s">
        <v>159</v>
      </c>
      <c r="H890" s="70" t="str">
        <f t="shared" si="27"/>
        <v>COW</v>
      </c>
    </row>
    <row r="891" spans="1:8" ht="15" x14ac:dyDescent="0.25">
      <c r="A891" s="88" t="s">
        <v>2064</v>
      </c>
      <c r="B891" s="88">
        <v>2011</v>
      </c>
      <c r="C891" s="89" t="s">
        <v>2154</v>
      </c>
      <c r="D891" s="88" t="s">
        <v>160</v>
      </c>
      <c r="F891" s="70">
        <f t="shared" si="26"/>
        <v>2011</v>
      </c>
      <c r="G891" s="70" t="s">
        <v>159</v>
      </c>
      <c r="H891" s="70" t="str">
        <f t="shared" si="27"/>
        <v>COW</v>
      </c>
    </row>
    <row r="892" spans="1:8" ht="15" x14ac:dyDescent="0.25">
      <c r="A892" s="88" t="s">
        <v>2064</v>
      </c>
      <c r="B892" s="88">
        <v>2012</v>
      </c>
      <c r="C892" s="89" t="s">
        <v>2153</v>
      </c>
      <c r="D892" s="88" t="s">
        <v>160</v>
      </c>
      <c r="F892" s="70">
        <f t="shared" si="26"/>
        <v>2012</v>
      </c>
      <c r="G892" s="70" t="s">
        <v>159</v>
      </c>
      <c r="H892" s="70" t="str">
        <f t="shared" si="27"/>
        <v>COW</v>
      </c>
    </row>
    <row r="893" spans="1:8" ht="15" x14ac:dyDescent="0.25">
      <c r="A893" s="88" t="s">
        <v>2064</v>
      </c>
      <c r="B893" s="88">
        <v>2012</v>
      </c>
      <c r="C893" s="89" t="s">
        <v>2152</v>
      </c>
      <c r="D893" s="88" t="s">
        <v>160</v>
      </c>
      <c r="F893" s="70">
        <f t="shared" si="26"/>
        <v>2012</v>
      </c>
      <c r="G893" s="70" t="s">
        <v>159</v>
      </c>
      <c r="H893" s="70" t="str">
        <f t="shared" si="27"/>
        <v>COW</v>
      </c>
    </row>
    <row r="894" spans="1:8" ht="15" x14ac:dyDescent="0.25">
      <c r="A894" s="88" t="s">
        <v>2064</v>
      </c>
      <c r="B894" s="88">
        <v>2012</v>
      </c>
      <c r="C894" s="89" t="s">
        <v>2151</v>
      </c>
      <c r="D894" s="88" t="s">
        <v>160</v>
      </c>
      <c r="F894" s="70">
        <f t="shared" si="26"/>
        <v>2012</v>
      </c>
      <c r="G894" s="70" t="s">
        <v>159</v>
      </c>
      <c r="H894" s="70" t="str">
        <f t="shared" si="27"/>
        <v>COW</v>
      </c>
    </row>
    <row r="895" spans="1:8" ht="15" x14ac:dyDescent="0.25">
      <c r="A895" s="88" t="s">
        <v>2064</v>
      </c>
      <c r="B895" s="88">
        <v>2012</v>
      </c>
      <c r="C895" s="89" t="s">
        <v>2150</v>
      </c>
      <c r="D895" s="88" t="s">
        <v>160</v>
      </c>
      <c r="F895" s="70">
        <f t="shared" si="26"/>
        <v>2012</v>
      </c>
      <c r="G895" s="70" t="s">
        <v>159</v>
      </c>
      <c r="H895" s="70" t="str">
        <f t="shared" si="27"/>
        <v>COW</v>
      </c>
    </row>
    <row r="896" spans="1:8" ht="15" x14ac:dyDescent="0.25">
      <c r="A896" s="88" t="s">
        <v>2064</v>
      </c>
      <c r="B896" s="88">
        <v>2012</v>
      </c>
      <c r="C896" s="89" t="s">
        <v>2149</v>
      </c>
      <c r="D896" s="88" t="s">
        <v>160</v>
      </c>
      <c r="F896" s="70">
        <f t="shared" si="26"/>
        <v>2012</v>
      </c>
      <c r="G896" s="70" t="s">
        <v>159</v>
      </c>
      <c r="H896" s="70" t="str">
        <f t="shared" si="27"/>
        <v>COW</v>
      </c>
    </row>
    <row r="897" spans="1:8" ht="15" x14ac:dyDescent="0.25">
      <c r="A897" s="88" t="s">
        <v>2064</v>
      </c>
      <c r="B897" s="88">
        <v>2012</v>
      </c>
      <c r="C897" s="89" t="s">
        <v>2148</v>
      </c>
      <c r="D897" s="88" t="s">
        <v>160</v>
      </c>
      <c r="F897" s="70">
        <f t="shared" si="26"/>
        <v>2012</v>
      </c>
      <c r="G897" s="70" t="s">
        <v>159</v>
      </c>
      <c r="H897" s="70" t="str">
        <f t="shared" si="27"/>
        <v>COW</v>
      </c>
    </row>
    <row r="898" spans="1:8" ht="15" x14ac:dyDescent="0.25">
      <c r="A898" s="88" t="s">
        <v>2064</v>
      </c>
      <c r="B898" s="88">
        <v>2012</v>
      </c>
      <c r="C898" s="89" t="s">
        <v>2147</v>
      </c>
      <c r="D898" s="88" t="s">
        <v>160</v>
      </c>
      <c r="F898" s="70">
        <f t="shared" si="26"/>
        <v>2012</v>
      </c>
      <c r="G898" s="70" t="s">
        <v>159</v>
      </c>
      <c r="H898" s="70" t="str">
        <f t="shared" si="27"/>
        <v>COW</v>
      </c>
    </row>
    <row r="899" spans="1:8" ht="15" x14ac:dyDescent="0.25">
      <c r="A899" s="88" t="s">
        <v>2064</v>
      </c>
      <c r="B899" s="88">
        <v>2012</v>
      </c>
      <c r="C899" s="89" t="s">
        <v>2146</v>
      </c>
      <c r="D899" s="88" t="s">
        <v>160</v>
      </c>
      <c r="F899" s="70">
        <f t="shared" si="26"/>
        <v>2012</v>
      </c>
      <c r="G899" s="70" t="s">
        <v>159</v>
      </c>
      <c r="H899" s="70" t="str">
        <f t="shared" si="27"/>
        <v>COW</v>
      </c>
    </row>
    <row r="900" spans="1:8" ht="15" x14ac:dyDescent="0.25">
      <c r="A900" s="88" t="s">
        <v>2064</v>
      </c>
      <c r="B900" s="88">
        <v>2012</v>
      </c>
      <c r="C900" s="89" t="s">
        <v>2145</v>
      </c>
      <c r="D900" s="88" t="s">
        <v>160</v>
      </c>
      <c r="F900" s="70">
        <f t="shared" si="26"/>
        <v>2012</v>
      </c>
      <c r="G900" s="70" t="s">
        <v>159</v>
      </c>
      <c r="H900" s="70" t="str">
        <f t="shared" si="27"/>
        <v>COW</v>
      </c>
    </row>
    <row r="901" spans="1:8" ht="15" x14ac:dyDescent="0.25">
      <c r="A901" s="88" t="s">
        <v>2064</v>
      </c>
      <c r="B901" s="88">
        <v>2012</v>
      </c>
      <c r="C901" s="89" t="s">
        <v>2144</v>
      </c>
      <c r="D901" s="88" t="s">
        <v>160</v>
      </c>
      <c r="F901" s="70">
        <f t="shared" si="26"/>
        <v>2012</v>
      </c>
      <c r="G901" s="70" t="s">
        <v>159</v>
      </c>
      <c r="H901" s="70" t="str">
        <f t="shared" si="27"/>
        <v>COW</v>
      </c>
    </row>
    <row r="902" spans="1:8" ht="15" x14ac:dyDescent="0.25">
      <c r="A902" s="88" t="s">
        <v>2064</v>
      </c>
      <c r="B902" s="88">
        <v>2012</v>
      </c>
      <c r="C902" s="89" t="s">
        <v>2143</v>
      </c>
      <c r="D902" s="88" t="s">
        <v>160</v>
      </c>
      <c r="F902" s="70">
        <f t="shared" si="26"/>
        <v>2012</v>
      </c>
      <c r="G902" s="70" t="s">
        <v>159</v>
      </c>
      <c r="H902" s="70" t="str">
        <f t="shared" si="27"/>
        <v>COW</v>
      </c>
    </row>
    <row r="903" spans="1:8" ht="15" x14ac:dyDescent="0.25">
      <c r="A903" s="88" t="s">
        <v>2064</v>
      </c>
      <c r="B903" s="88">
        <v>2012</v>
      </c>
      <c r="C903" s="89" t="s">
        <v>2142</v>
      </c>
      <c r="D903" s="88" t="s">
        <v>160</v>
      </c>
      <c r="F903" s="70">
        <f t="shared" si="26"/>
        <v>2012</v>
      </c>
      <c r="G903" s="70" t="s">
        <v>159</v>
      </c>
      <c r="H903" s="70" t="str">
        <f t="shared" si="27"/>
        <v>COW</v>
      </c>
    </row>
    <row r="904" spans="1:8" ht="15" x14ac:dyDescent="0.25">
      <c r="A904" s="88" t="s">
        <v>2064</v>
      </c>
      <c r="B904" s="88">
        <v>2012</v>
      </c>
      <c r="C904" s="89" t="s">
        <v>2141</v>
      </c>
      <c r="D904" s="88" t="s">
        <v>160</v>
      </c>
      <c r="F904" s="70">
        <f t="shared" ref="F904:F967" si="28">+B904</f>
        <v>2012</v>
      </c>
      <c r="G904" s="70" t="s">
        <v>159</v>
      </c>
      <c r="H904" s="70" t="str">
        <f t="shared" ref="H904:H967" si="29">A904</f>
        <v>COW</v>
      </c>
    </row>
    <row r="905" spans="1:8" ht="15" x14ac:dyDescent="0.25">
      <c r="A905" s="88" t="s">
        <v>2064</v>
      </c>
      <c r="B905" s="88">
        <v>2012</v>
      </c>
      <c r="C905" s="89" t="s">
        <v>2140</v>
      </c>
      <c r="D905" s="88" t="s">
        <v>160</v>
      </c>
      <c r="F905" s="70">
        <f t="shared" si="28"/>
        <v>2012</v>
      </c>
      <c r="G905" s="70" t="s">
        <v>159</v>
      </c>
      <c r="H905" s="70" t="str">
        <f t="shared" si="29"/>
        <v>COW</v>
      </c>
    </row>
    <row r="906" spans="1:8" ht="15" x14ac:dyDescent="0.25">
      <c r="A906" s="88" t="s">
        <v>2064</v>
      </c>
      <c r="B906" s="88">
        <v>2012</v>
      </c>
      <c r="C906" s="89" t="s">
        <v>2139</v>
      </c>
      <c r="D906" s="88" t="s">
        <v>160</v>
      </c>
      <c r="F906" s="70">
        <f t="shared" si="28"/>
        <v>2012</v>
      </c>
      <c r="G906" s="70" t="s">
        <v>159</v>
      </c>
      <c r="H906" s="70" t="str">
        <f t="shared" si="29"/>
        <v>COW</v>
      </c>
    </row>
    <row r="907" spans="1:8" ht="15" x14ac:dyDescent="0.25">
      <c r="A907" s="88" t="s">
        <v>2064</v>
      </c>
      <c r="B907" s="88">
        <v>2012</v>
      </c>
      <c r="C907" s="89" t="s">
        <v>2138</v>
      </c>
      <c r="D907" s="88" t="s">
        <v>160</v>
      </c>
      <c r="F907" s="70">
        <f t="shared" si="28"/>
        <v>2012</v>
      </c>
      <c r="G907" s="70" t="s">
        <v>159</v>
      </c>
      <c r="H907" s="70" t="str">
        <f t="shared" si="29"/>
        <v>COW</v>
      </c>
    </row>
    <row r="908" spans="1:8" ht="15" x14ac:dyDescent="0.25">
      <c r="A908" s="88" t="s">
        <v>2064</v>
      </c>
      <c r="B908" s="88">
        <v>2013</v>
      </c>
      <c r="C908" s="76" t="s">
        <v>2137</v>
      </c>
      <c r="D908" s="89" t="s">
        <v>160</v>
      </c>
      <c r="F908" s="70">
        <f t="shared" si="28"/>
        <v>2013</v>
      </c>
      <c r="G908" s="70" t="s">
        <v>159</v>
      </c>
      <c r="H908" s="70" t="str">
        <f t="shared" si="29"/>
        <v>COW</v>
      </c>
    </row>
    <row r="909" spans="1:8" ht="15" x14ac:dyDescent="0.25">
      <c r="A909" s="88" t="s">
        <v>2064</v>
      </c>
      <c r="B909" s="88">
        <v>2013</v>
      </c>
      <c r="C909" s="76" t="s">
        <v>2136</v>
      </c>
      <c r="D909" s="89" t="s">
        <v>160</v>
      </c>
      <c r="F909" s="70">
        <f t="shared" si="28"/>
        <v>2013</v>
      </c>
      <c r="G909" s="70" t="s">
        <v>159</v>
      </c>
      <c r="H909" s="70" t="str">
        <f t="shared" si="29"/>
        <v>COW</v>
      </c>
    </row>
    <row r="910" spans="1:8" ht="15" x14ac:dyDescent="0.25">
      <c r="A910" s="88" t="s">
        <v>2064</v>
      </c>
      <c r="B910" s="88">
        <v>2013</v>
      </c>
      <c r="C910" s="76" t="s">
        <v>2135</v>
      </c>
      <c r="D910" s="89" t="s">
        <v>160</v>
      </c>
      <c r="F910" s="70">
        <f t="shared" si="28"/>
        <v>2013</v>
      </c>
      <c r="G910" s="70" t="s">
        <v>159</v>
      </c>
      <c r="H910" s="70" t="str">
        <f t="shared" si="29"/>
        <v>COW</v>
      </c>
    </row>
    <row r="911" spans="1:8" ht="15" x14ac:dyDescent="0.25">
      <c r="A911" s="88" t="s">
        <v>2064</v>
      </c>
      <c r="B911" s="88">
        <v>2013</v>
      </c>
      <c r="C911" s="76" t="s">
        <v>2134</v>
      </c>
      <c r="D911" s="89" t="s">
        <v>160</v>
      </c>
      <c r="F911" s="70">
        <f t="shared" si="28"/>
        <v>2013</v>
      </c>
      <c r="G911" s="70" t="s">
        <v>159</v>
      </c>
      <c r="H911" s="70" t="str">
        <f t="shared" si="29"/>
        <v>COW</v>
      </c>
    </row>
    <row r="912" spans="1:8" ht="15" x14ac:dyDescent="0.25">
      <c r="A912" s="88" t="s">
        <v>2064</v>
      </c>
      <c r="B912" s="88">
        <v>2014</v>
      </c>
      <c r="C912" s="76" t="s">
        <v>2133</v>
      </c>
      <c r="D912" s="89" t="s">
        <v>160</v>
      </c>
      <c r="F912" s="70">
        <f t="shared" si="28"/>
        <v>2014</v>
      </c>
      <c r="G912" s="70" t="s">
        <v>159</v>
      </c>
      <c r="H912" s="70" t="str">
        <f t="shared" si="29"/>
        <v>COW</v>
      </c>
    </row>
    <row r="913" spans="1:8" ht="15" x14ac:dyDescent="0.25">
      <c r="A913" s="88" t="s">
        <v>2064</v>
      </c>
      <c r="B913" s="88">
        <v>2014</v>
      </c>
      <c r="C913" s="76" t="s">
        <v>2132</v>
      </c>
      <c r="D913" s="89" t="s">
        <v>160</v>
      </c>
      <c r="F913" s="70">
        <f t="shared" si="28"/>
        <v>2014</v>
      </c>
      <c r="G913" s="70" t="s">
        <v>159</v>
      </c>
      <c r="H913" s="70" t="str">
        <f t="shared" si="29"/>
        <v>COW</v>
      </c>
    </row>
    <row r="914" spans="1:8" ht="15" x14ac:dyDescent="0.25">
      <c r="A914" s="88" t="s">
        <v>2064</v>
      </c>
      <c r="B914" s="88">
        <v>2014</v>
      </c>
      <c r="C914" s="76" t="s">
        <v>2131</v>
      </c>
      <c r="D914" s="89" t="s">
        <v>160</v>
      </c>
      <c r="F914" s="70">
        <f t="shared" si="28"/>
        <v>2014</v>
      </c>
      <c r="G914" s="70" t="s">
        <v>159</v>
      </c>
      <c r="H914" s="70" t="str">
        <f t="shared" si="29"/>
        <v>COW</v>
      </c>
    </row>
    <row r="915" spans="1:8" ht="15" x14ac:dyDescent="0.25">
      <c r="A915" s="88" t="s">
        <v>2064</v>
      </c>
      <c r="B915" s="88">
        <v>2014</v>
      </c>
      <c r="C915" s="76" t="s">
        <v>2130</v>
      </c>
      <c r="D915" s="89" t="s">
        <v>160</v>
      </c>
      <c r="F915" s="70">
        <f t="shared" si="28"/>
        <v>2014</v>
      </c>
      <c r="G915" s="70" t="s">
        <v>159</v>
      </c>
      <c r="H915" s="70" t="str">
        <f t="shared" si="29"/>
        <v>COW</v>
      </c>
    </row>
    <row r="916" spans="1:8" ht="15" x14ac:dyDescent="0.25">
      <c r="A916" s="88" t="s">
        <v>2064</v>
      </c>
      <c r="B916" s="88">
        <v>2014</v>
      </c>
      <c r="C916" s="76" t="s">
        <v>2129</v>
      </c>
      <c r="D916" s="89" t="s">
        <v>160</v>
      </c>
      <c r="F916" s="70">
        <f t="shared" si="28"/>
        <v>2014</v>
      </c>
      <c r="G916" s="70" t="s">
        <v>159</v>
      </c>
      <c r="H916" s="70" t="str">
        <f t="shared" si="29"/>
        <v>COW</v>
      </c>
    </row>
    <row r="917" spans="1:8" ht="15" x14ac:dyDescent="0.25">
      <c r="A917" s="88" t="s">
        <v>2064</v>
      </c>
      <c r="B917" s="88">
        <v>2014</v>
      </c>
      <c r="C917" s="76" t="s">
        <v>2128</v>
      </c>
      <c r="D917" s="89" t="s">
        <v>160</v>
      </c>
      <c r="F917" s="70">
        <f t="shared" si="28"/>
        <v>2014</v>
      </c>
      <c r="G917" s="70" t="s">
        <v>159</v>
      </c>
      <c r="H917" s="70" t="str">
        <f t="shared" si="29"/>
        <v>COW</v>
      </c>
    </row>
    <row r="918" spans="1:8" ht="15" x14ac:dyDescent="0.25">
      <c r="A918" s="88" t="s">
        <v>2064</v>
      </c>
      <c r="B918" s="88">
        <v>2014</v>
      </c>
      <c r="C918" s="76" t="s">
        <v>2127</v>
      </c>
      <c r="D918" s="89" t="s">
        <v>160</v>
      </c>
      <c r="F918" s="70">
        <f t="shared" si="28"/>
        <v>2014</v>
      </c>
      <c r="G918" s="70" t="s">
        <v>159</v>
      </c>
      <c r="H918" s="70" t="str">
        <f t="shared" si="29"/>
        <v>COW</v>
      </c>
    </row>
    <row r="919" spans="1:8" ht="15" x14ac:dyDescent="0.25">
      <c r="A919" s="88" t="s">
        <v>2064</v>
      </c>
      <c r="B919" s="88">
        <v>2014</v>
      </c>
      <c r="C919" s="76" t="s">
        <v>2126</v>
      </c>
      <c r="D919" s="89" t="s">
        <v>160</v>
      </c>
      <c r="F919" s="70">
        <f t="shared" si="28"/>
        <v>2014</v>
      </c>
      <c r="G919" s="70" t="s">
        <v>159</v>
      </c>
      <c r="H919" s="70" t="str">
        <f t="shared" si="29"/>
        <v>COW</v>
      </c>
    </row>
    <row r="920" spans="1:8" ht="15" x14ac:dyDescent="0.25">
      <c r="A920" s="88" t="s">
        <v>2064</v>
      </c>
      <c r="B920" s="88">
        <v>2014</v>
      </c>
      <c r="C920" s="76" t="s">
        <v>2125</v>
      </c>
      <c r="D920" s="89" t="s">
        <v>160</v>
      </c>
      <c r="F920" s="70">
        <f t="shared" si="28"/>
        <v>2014</v>
      </c>
      <c r="G920" s="70" t="s">
        <v>159</v>
      </c>
      <c r="H920" s="70" t="str">
        <f t="shared" si="29"/>
        <v>COW</v>
      </c>
    </row>
    <row r="921" spans="1:8" ht="15" x14ac:dyDescent="0.25">
      <c r="A921" s="88" t="s">
        <v>2064</v>
      </c>
      <c r="B921" s="88">
        <v>2014</v>
      </c>
      <c r="C921" s="76" t="s">
        <v>2124</v>
      </c>
      <c r="D921" s="89" t="s">
        <v>160</v>
      </c>
      <c r="F921" s="70">
        <f t="shared" si="28"/>
        <v>2014</v>
      </c>
      <c r="G921" s="70" t="s">
        <v>159</v>
      </c>
      <c r="H921" s="70" t="str">
        <f t="shared" si="29"/>
        <v>COW</v>
      </c>
    </row>
    <row r="922" spans="1:8" ht="15" x14ac:dyDescent="0.25">
      <c r="A922" s="88" t="s">
        <v>2064</v>
      </c>
      <c r="B922" s="88">
        <v>2014</v>
      </c>
      <c r="C922" s="76" t="s">
        <v>2123</v>
      </c>
      <c r="D922" s="89" t="s">
        <v>160</v>
      </c>
      <c r="F922" s="70">
        <f t="shared" si="28"/>
        <v>2014</v>
      </c>
      <c r="G922" s="70" t="s">
        <v>159</v>
      </c>
      <c r="H922" s="70" t="str">
        <f t="shared" si="29"/>
        <v>COW</v>
      </c>
    </row>
    <row r="923" spans="1:8" ht="15" x14ac:dyDescent="0.25">
      <c r="A923" s="88" t="s">
        <v>2064</v>
      </c>
      <c r="B923" s="88">
        <v>2014</v>
      </c>
      <c r="C923" s="76" t="s">
        <v>2122</v>
      </c>
      <c r="D923" s="89" t="s">
        <v>160</v>
      </c>
      <c r="F923" s="70">
        <f t="shared" si="28"/>
        <v>2014</v>
      </c>
      <c r="G923" s="70" t="s">
        <v>159</v>
      </c>
      <c r="H923" s="70" t="str">
        <f t="shared" si="29"/>
        <v>COW</v>
      </c>
    </row>
    <row r="924" spans="1:8" ht="15" x14ac:dyDescent="0.25">
      <c r="A924" s="88" t="s">
        <v>2064</v>
      </c>
      <c r="B924" s="88">
        <v>2014</v>
      </c>
      <c r="C924" s="76" t="s">
        <v>2121</v>
      </c>
      <c r="D924" s="89" t="s">
        <v>160</v>
      </c>
      <c r="F924" s="70">
        <f t="shared" si="28"/>
        <v>2014</v>
      </c>
      <c r="G924" s="70" t="s">
        <v>159</v>
      </c>
      <c r="H924" s="70" t="str">
        <f t="shared" si="29"/>
        <v>COW</v>
      </c>
    </row>
    <row r="925" spans="1:8" ht="15" x14ac:dyDescent="0.25">
      <c r="A925" s="88" t="s">
        <v>2064</v>
      </c>
      <c r="B925" s="88">
        <v>2014</v>
      </c>
      <c r="C925" s="76" t="s">
        <v>2120</v>
      </c>
      <c r="D925" s="89" t="s">
        <v>160</v>
      </c>
      <c r="F925" s="70">
        <f t="shared" si="28"/>
        <v>2014</v>
      </c>
      <c r="G925" s="70" t="s">
        <v>159</v>
      </c>
      <c r="H925" s="70" t="str">
        <f t="shared" si="29"/>
        <v>COW</v>
      </c>
    </row>
    <row r="926" spans="1:8" ht="15" x14ac:dyDescent="0.25">
      <c r="A926" s="88" t="s">
        <v>2064</v>
      </c>
      <c r="B926" s="88">
        <v>2014</v>
      </c>
      <c r="C926" s="76" t="s">
        <v>2119</v>
      </c>
      <c r="D926" s="89" t="s">
        <v>160</v>
      </c>
      <c r="F926" s="70">
        <f t="shared" si="28"/>
        <v>2014</v>
      </c>
      <c r="G926" s="70" t="s">
        <v>159</v>
      </c>
      <c r="H926" s="70" t="str">
        <f t="shared" si="29"/>
        <v>COW</v>
      </c>
    </row>
    <row r="927" spans="1:8" ht="15" x14ac:dyDescent="0.25">
      <c r="A927" s="88" t="s">
        <v>2064</v>
      </c>
      <c r="B927" s="88">
        <v>2014</v>
      </c>
      <c r="C927" s="76" t="s">
        <v>2118</v>
      </c>
      <c r="D927" s="89" t="s">
        <v>160</v>
      </c>
      <c r="F927" s="70">
        <f t="shared" si="28"/>
        <v>2014</v>
      </c>
      <c r="G927" s="70" t="s">
        <v>159</v>
      </c>
      <c r="H927" s="70" t="str">
        <f t="shared" si="29"/>
        <v>COW</v>
      </c>
    </row>
    <row r="928" spans="1:8" ht="15" x14ac:dyDescent="0.25">
      <c r="A928" s="88" t="s">
        <v>2064</v>
      </c>
      <c r="B928" s="88">
        <v>2014</v>
      </c>
      <c r="C928" s="76" t="s">
        <v>2117</v>
      </c>
      <c r="D928" s="89" t="s">
        <v>160</v>
      </c>
      <c r="F928" s="70">
        <f t="shared" si="28"/>
        <v>2014</v>
      </c>
      <c r="G928" s="70" t="s">
        <v>159</v>
      </c>
      <c r="H928" s="70" t="str">
        <f t="shared" si="29"/>
        <v>COW</v>
      </c>
    </row>
    <row r="929" spans="1:8" ht="15" x14ac:dyDescent="0.25">
      <c r="A929" s="88" t="s">
        <v>2064</v>
      </c>
      <c r="B929" s="88">
        <v>2015</v>
      </c>
      <c r="C929" s="76" t="s">
        <v>2116</v>
      </c>
      <c r="D929" s="89" t="s">
        <v>160</v>
      </c>
      <c r="F929" s="70">
        <f t="shared" si="28"/>
        <v>2015</v>
      </c>
      <c r="G929" s="70" t="s">
        <v>159</v>
      </c>
      <c r="H929" s="70" t="str">
        <f t="shared" si="29"/>
        <v>COW</v>
      </c>
    </row>
    <row r="930" spans="1:8" ht="15" x14ac:dyDescent="0.25">
      <c r="A930" s="88" t="s">
        <v>2064</v>
      </c>
      <c r="B930" s="88">
        <v>2015</v>
      </c>
      <c r="C930" s="76" t="s">
        <v>2115</v>
      </c>
      <c r="D930" s="89" t="s">
        <v>160</v>
      </c>
      <c r="F930" s="70">
        <f t="shared" si="28"/>
        <v>2015</v>
      </c>
      <c r="G930" s="70" t="s">
        <v>159</v>
      </c>
      <c r="H930" s="70" t="str">
        <f t="shared" si="29"/>
        <v>COW</v>
      </c>
    </row>
    <row r="931" spans="1:8" ht="15" x14ac:dyDescent="0.25">
      <c r="A931" s="88" t="s">
        <v>2064</v>
      </c>
      <c r="B931" s="88">
        <v>2015</v>
      </c>
      <c r="C931" s="76" t="s">
        <v>2114</v>
      </c>
      <c r="D931" s="89" t="s">
        <v>160</v>
      </c>
      <c r="F931" s="70">
        <f t="shared" si="28"/>
        <v>2015</v>
      </c>
      <c r="G931" s="70" t="s">
        <v>159</v>
      </c>
      <c r="H931" s="70" t="str">
        <f t="shared" si="29"/>
        <v>COW</v>
      </c>
    </row>
    <row r="932" spans="1:8" ht="15" x14ac:dyDescent="0.25">
      <c r="A932" s="88" t="s">
        <v>2064</v>
      </c>
      <c r="B932" s="88">
        <v>2015</v>
      </c>
      <c r="C932" s="76" t="s">
        <v>2113</v>
      </c>
      <c r="D932" s="89" t="s">
        <v>160</v>
      </c>
      <c r="F932" s="70">
        <f t="shared" si="28"/>
        <v>2015</v>
      </c>
      <c r="G932" s="70" t="s">
        <v>159</v>
      </c>
      <c r="H932" s="70" t="str">
        <f t="shared" si="29"/>
        <v>COW</v>
      </c>
    </row>
    <row r="933" spans="1:8" ht="15" x14ac:dyDescent="0.25">
      <c r="A933" s="88" t="s">
        <v>2064</v>
      </c>
      <c r="B933" s="88">
        <v>2015</v>
      </c>
      <c r="C933" s="76" t="s">
        <v>2112</v>
      </c>
      <c r="D933" s="89" t="s">
        <v>160</v>
      </c>
      <c r="F933" s="70">
        <f t="shared" si="28"/>
        <v>2015</v>
      </c>
      <c r="G933" s="70" t="s">
        <v>159</v>
      </c>
      <c r="H933" s="70" t="str">
        <f t="shared" si="29"/>
        <v>COW</v>
      </c>
    </row>
    <row r="934" spans="1:8" ht="15" x14ac:dyDescent="0.25">
      <c r="A934" s="88" t="s">
        <v>2064</v>
      </c>
      <c r="B934" s="88">
        <v>2015</v>
      </c>
      <c r="C934" s="76" t="s">
        <v>2111</v>
      </c>
      <c r="D934" s="89" t="s">
        <v>160</v>
      </c>
      <c r="F934" s="70">
        <f t="shared" si="28"/>
        <v>2015</v>
      </c>
      <c r="G934" s="70" t="s">
        <v>159</v>
      </c>
      <c r="H934" s="70" t="str">
        <f t="shared" si="29"/>
        <v>COW</v>
      </c>
    </row>
    <row r="935" spans="1:8" ht="15" x14ac:dyDescent="0.25">
      <c r="A935" s="88" t="s">
        <v>2064</v>
      </c>
      <c r="B935" s="88">
        <v>2015</v>
      </c>
      <c r="C935" s="76" t="s">
        <v>2110</v>
      </c>
      <c r="D935" s="89" t="s">
        <v>160</v>
      </c>
      <c r="F935" s="70">
        <f t="shared" si="28"/>
        <v>2015</v>
      </c>
      <c r="G935" s="70" t="s">
        <v>159</v>
      </c>
      <c r="H935" s="70" t="str">
        <f t="shared" si="29"/>
        <v>COW</v>
      </c>
    </row>
    <row r="936" spans="1:8" ht="15" x14ac:dyDescent="0.25">
      <c r="A936" s="88" t="s">
        <v>2064</v>
      </c>
      <c r="B936" s="88">
        <v>2015</v>
      </c>
      <c r="C936" s="76" t="s">
        <v>2109</v>
      </c>
      <c r="D936" s="89" t="s">
        <v>160</v>
      </c>
      <c r="F936" s="70">
        <f t="shared" si="28"/>
        <v>2015</v>
      </c>
      <c r="G936" s="70" t="s">
        <v>159</v>
      </c>
      <c r="H936" s="70" t="str">
        <f t="shared" si="29"/>
        <v>COW</v>
      </c>
    </row>
    <row r="937" spans="1:8" ht="15" x14ac:dyDescent="0.25">
      <c r="A937" s="88" t="s">
        <v>2064</v>
      </c>
      <c r="B937" s="88">
        <v>2015</v>
      </c>
      <c r="C937" s="76" t="s">
        <v>2108</v>
      </c>
      <c r="D937" s="89" t="s">
        <v>160</v>
      </c>
      <c r="F937" s="70">
        <f t="shared" si="28"/>
        <v>2015</v>
      </c>
      <c r="G937" s="70" t="s">
        <v>159</v>
      </c>
      <c r="H937" s="70" t="str">
        <f t="shared" si="29"/>
        <v>COW</v>
      </c>
    </row>
    <row r="938" spans="1:8" ht="15" x14ac:dyDescent="0.25">
      <c r="A938" s="88" t="s">
        <v>2064</v>
      </c>
      <c r="B938" s="88">
        <v>2015</v>
      </c>
      <c r="C938" s="76" t="s">
        <v>2107</v>
      </c>
      <c r="D938" s="89" t="s">
        <v>160</v>
      </c>
      <c r="F938" s="70">
        <f t="shared" si="28"/>
        <v>2015</v>
      </c>
      <c r="G938" s="70" t="s">
        <v>159</v>
      </c>
      <c r="H938" s="70" t="str">
        <f t="shared" si="29"/>
        <v>COW</v>
      </c>
    </row>
    <row r="939" spans="1:8" ht="15" x14ac:dyDescent="0.25">
      <c r="A939" s="88" t="s">
        <v>2064</v>
      </c>
      <c r="B939" s="88">
        <v>2015</v>
      </c>
      <c r="C939" s="76" t="s">
        <v>2106</v>
      </c>
      <c r="D939" s="89" t="s">
        <v>160</v>
      </c>
      <c r="F939" s="70">
        <f t="shared" si="28"/>
        <v>2015</v>
      </c>
      <c r="G939" s="70" t="s">
        <v>159</v>
      </c>
      <c r="H939" s="70" t="str">
        <f t="shared" si="29"/>
        <v>COW</v>
      </c>
    </row>
    <row r="940" spans="1:8" ht="15" x14ac:dyDescent="0.25">
      <c r="A940" s="88" t="s">
        <v>2064</v>
      </c>
      <c r="B940" s="88">
        <v>2015</v>
      </c>
      <c r="C940" s="76" t="s">
        <v>2105</v>
      </c>
      <c r="D940" s="89" t="s">
        <v>160</v>
      </c>
      <c r="F940" s="70">
        <f t="shared" si="28"/>
        <v>2015</v>
      </c>
      <c r="G940" s="70" t="s">
        <v>159</v>
      </c>
      <c r="H940" s="70" t="str">
        <f t="shared" si="29"/>
        <v>COW</v>
      </c>
    </row>
    <row r="941" spans="1:8" ht="15" x14ac:dyDescent="0.25">
      <c r="A941" s="88" t="s">
        <v>2064</v>
      </c>
      <c r="B941" s="88">
        <v>2015</v>
      </c>
      <c r="C941" s="76" t="s">
        <v>2104</v>
      </c>
      <c r="D941" s="89" t="s">
        <v>160</v>
      </c>
      <c r="F941" s="70">
        <f t="shared" si="28"/>
        <v>2015</v>
      </c>
      <c r="G941" s="70" t="s">
        <v>159</v>
      </c>
      <c r="H941" s="70" t="str">
        <f t="shared" si="29"/>
        <v>COW</v>
      </c>
    </row>
    <row r="942" spans="1:8" ht="15" x14ac:dyDescent="0.25">
      <c r="A942" s="88" t="s">
        <v>2064</v>
      </c>
      <c r="B942" s="88">
        <v>2015</v>
      </c>
      <c r="C942" s="76" t="s">
        <v>2103</v>
      </c>
      <c r="D942" s="89" t="s">
        <v>160</v>
      </c>
      <c r="F942" s="70">
        <f t="shared" si="28"/>
        <v>2015</v>
      </c>
      <c r="G942" s="70" t="s">
        <v>159</v>
      </c>
      <c r="H942" s="70" t="str">
        <f t="shared" si="29"/>
        <v>COW</v>
      </c>
    </row>
    <row r="943" spans="1:8" ht="15" x14ac:dyDescent="0.25">
      <c r="A943" s="88" t="s">
        <v>2064</v>
      </c>
      <c r="B943" s="88">
        <v>2015</v>
      </c>
      <c r="C943" s="76" t="s">
        <v>2102</v>
      </c>
      <c r="D943" s="89" t="s">
        <v>160</v>
      </c>
      <c r="F943" s="70">
        <f t="shared" si="28"/>
        <v>2015</v>
      </c>
      <c r="G943" s="70" t="s">
        <v>159</v>
      </c>
      <c r="H943" s="70" t="str">
        <f t="shared" si="29"/>
        <v>COW</v>
      </c>
    </row>
    <row r="944" spans="1:8" ht="15" x14ac:dyDescent="0.25">
      <c r="A944" s="88" t="s">
        <v>2064</v>
      </c>
      <c r="B944" s="88">
        <v>2015</v>
      </c>
      <c r="C944" s="76" t="s">
        <v>2101</v>
      </c>
      <c r="D944" s="89" t="s">
        <v>160</v>
      </c>
      <c r="F944" s="70">
        <f t="shared" si="28"/>
        <v>2015</v>
      </c>
      <c r="G944" s="70" t="s">
        <v>159</v>
      </c>
      <c r="H944" s="70" t="str">
        <f t="shared" si="29"/>
        <v>COW</v>
      </c>
    </row>
    <row r="945" spans="1:8" ht="15" x14ac:dyDescent="0.25">
      <c r="A945" s="88" t="s">
        <v>2064</v>
      </c>
      <c r="B945" s="88">
        <v>2015</v>
      </c>
      <c r="C945" s="76" t="s">
        <v>2100</v>
      </c>
      <c r="D945" s="89" t="s">
        <v>160</v>
      </c>
      <c r="F945" s="70">
        <f t="shared" si="28"/>
        <v>2015</v>
      </c>
      <c r="G945" s="70" t="s">
        <v>159</v>
      </c>
      <c r="H945" s="70" t="str">
        <f t="shared" si="29"/>
        <v>COW</v>
      </c>
    </row>
    <row r="946" spans="1:8" ht="15" x14ac:dyDescent="0.25">
      <c r="A946" s="88" t="s">
        <v>2064</v>
      </c>
      <c r="B946" s="88">
        <v>2016</v>
      </c>
      <c r="C946" s="76" t="s">
        <v>2099</v>
      </c>
      <c r="D946" s="89" t="s">
        <v>160</v>
      </c>
      <c r="F946" s="70">
        <f t="shared" si="28"/>
        <v>2016</v>
      </c>
      <c r="G946" s="70" t="s">
        <v>159</v>
      </c>
      <c r="H946" s="70" t="str">
        <f t="shared" si="29"/>
        <v>COW</v>
      </c>
    </row>
    <row r="947" spans="1:8" ht="15" x14ac:dyDescent="0.25">
      <c r="A947" s="88" t="s">
        <v>2064</v>
      </c>
      <c r="B947" s="88">
        <v>2016</v>
      </c>
      <c r="C947" s="76" t="s">
        <v>2098</v>
      </c>
      <c r="D947" s="89" t="s">
        <v>160</v>
      </c>
      <c r="F947" s="70">
        <f t="shared" si="28"/>
        <v>2016</v>
      </c>
      <c r="G947" s="70" t="s">
        <v>159</v>
      </c>
      <c r="H947" s="70" t="str">
        <f t="shared" si="29"/>
        <v>COW</v>
      </c>
    </row>
    <row r="948" spans="1:8" ht="15" x14ac:dyDescent="0.25">
      <c r="A948" s="88" t="s">
        <v>2064</v>
      </c>
      <c r="B948" s="88">
        <v>2016</v>
      </c>
      <c r="C948" s="76" t="s">
        <v>2097</v>
      </c>
      <c r="D948" s="89" t="s">
        <v>160</v>
      </c>
      <c r="F948" s="70">
        <f t="shared" si="28"/>
        <v>2016</v>
      </c>
      <c r="G948" s="70" t="s">
        <v>159</v>
      </c>
      <c r="H948" s="70" t="str">
        <f t="shared" si="29"/>
        <v>COW</v>
      </c>
    </row>
    <row r="949" spans="1:8" ht="15" x14ac:dyDescent="0.25">
      <c r="A949" s="88" t="s">
        <v>2064</v>
      </c>
      <c r="B949" s="88">
        <v>2016</v>
      </c>
      <c r="C949" s="76" t="s">
        <v>2096</v>
      </c>
      <c r="D949" s="89" t="s">
        <v>160</v>
      </c>
      <c r="F949" s="70">
        <f t="shared" si="28"/>
        <v>2016</v>
      </c>
      <c r="G949" s="70" t="s">
        <v>159</v>
      </c>
      <c r="H949" s="70" t="str">
        <f t="shared" si="29"/>
        <v>COW</v>
      </c>
    </row>
    <row r="950" spans="1:8" ht="15" x14ac:dyDescent="0.25">
      <c r="A950" s="88" t="s">
        <v>2064</v>
      </c>
      <c r="B950" s="88">
        <v>2016</v>
      </c>
      <c r="C950" s="76" t="s">
        <v>2095</v>
      </c>
      <c r="D950" s="89" t="s">
        <v>160</v>
      </c>
      <c r="F950" s="70">
        <f t="shared" si="28"/>
        <v>2016</v>
      </c>
      <c r="G950" s="70" t="s">
        <v>159</v>
      </c>
      <c r="H950" s="70" t="str">
        <f t="shared" si="29"/>
        <v>COW</v>
      </c>
    </row>
    <row r="951" spans="1:8" ht="15" x14ac:dyDescent="0.25">
      <c r="A951" s="88" t="s">
        <v>2064</v>
      </c>
      <c r="B951" s="88">
        <v>2016</v>
      </c>
      <c r="C951" s="76" t="s">
        <v>2094</v>
      </c>
      <c r="D951" s="89" t="s">
        <v>160</v>
      </c>
      <c r="F951" s="70">
        <f t="shared" si="28"/>
        <v>2016</v>
      </c>
      <c r="G951" s="70" t="s">
        <v>159</v>
      </c>
      <c r="H951" s="70" t="str">
        <f t="shared" si="29"/>
        <v>COW</v>
      </c>
    </row>
    <row r="952" spans="1:8" ht="15" x14ac:dyDescent="0.25">
      <c r="A952" s="88" t="s">
        <v>2064</v>
      </c>
      <c r="B952" s="88">
        <v>2016</v>
      </c>
      <c r="C952" s="76" t="s">
        <v>2093</v>
      </c>
      <c r="D952" s="89" t="s">
        <v>160</v>
      </c>
      <c r="F952" s="70">
        <f t="shared" si="28"/>
        <v>2016</v>
      </c>
      <c r="G952" s="70" t="s">
        <v>159</v>
      </c>
      <c r="H952" s="70" t="str">
        <f t="shared" si="29"/>
        <v>COW</v>
      </c>
    </row>
    <row r="953" spans="1:8" ht="15" x14ac:dyDescent="0.25">
      <c r="A953" s="88" t="s">
        <v>2064</v>
      </c>
      <c r="B953" s="88">
        <v>2016</v>
      </c>
      <c r="C953" s="76" t="s">
        <v>2092</v>
      </c>
      <c r="D953" s="89" t="s">
        <v>160</v>
      </c>
      <c r="F953" s="70">
        <f t="shared" si="28"/>
        <v>2016</v>
      </c>
      <c r="G953" s="70" t="s">
        <v>159</v>
      </c>
      <c r="H953" s="70" t="str">
        <f t="shared" si="29"/>
        <v>COW</v>
      </c>
    </row>
    <row r="954" spans="1:8" ht="15" x14ac:dyDescent="0.25">
      <c r="A954" s="88" t="s">
        <v>2064</v>
      </c>
      <c r="B954" s="88">
        <v>2016</v>
      </c>
      <c r="C954" s="76" t="s">
        <v>2091</v>
      </c>
      <c r="D954" s="89" t="s">
        <v>160</v>
      </c>
      <c r="F954" s="70">
        <f t="shared" si="28"/>
        <v>2016</v>
      </c>
      <c r="G954" s="70" t="s">
        <v>159</v>
      </c>
      <c r="H954" s="70" t="str">
        <f t="shared" si="29"/>
        <v>COW</v>
      </c>
    </row>
    <row r="955" spans="1:8" ht="15" x14ac:dyDescent="0.25">
      <c r="A955" s="88" t="s">
        <v>2064</v>
      </c>
      <c r="B955" s="88">
        <v>2016</v>
      </c>
      <c r="C955" s="76" t="s">
        <v>2090</v>
      </c>
      <c r="D955" s="89" t="s">
        <v>160</v>
      </c>
      <c r="F955" s="70">
        <f t="shared" si="28"/>
        <v>2016</v>
      </c>
      <c r="G955" s="70" t="s">
        <v>159</v>
      </c>
      <c r="H955" s="70" t="str">
        <f t="shared" si="29"/>
        <v>COW</v>
      </c>
    </row>
    <row r="956" spans="1:8" ht="15" x14ac:dyDescent="0.25">
      <c r="A956" s="78" t="s">
        <v>2064</v>
      </c>
      <c r="B956" s="78">
        <v>2017</v>
      </c>
      <c r="C956" s="92" t="s">
        <v>2089</v>
      </c>
      <c r="D956" s="91" t="s">
        <v>160</v>
      </c>
      <c r="F956" s="70">
        <f t="shared" si="28"/>
        <v>2017</v>
      </c>
      <c r="G956" s="70" t="s">
        <v>159</v>
      </c>
      <c r="H956" s="70" t="str">
        <f t="shared" si="29"/>
        <v>COW</v>
      </c>
    </row>
    <row r="957" spans="1:8" ht="15" x14ac:dyDescent="0.25">
      <c r="A957" s="78" t="s">
        <v>2064</v>
      </c>
      <c r="B957" s="78">
        <v>2017</v>
      </c>
      <c r="C957" s="92" t="s">
        <v>2088</v>
      </c>
      <c r="D957" s="91" t="s">
        <v>160</v>
      </c>
      <c r="F957" s="70">
        <f t="shared" si="28"/>
        <v>2017</v>
      </c>
      <c r="G957" s="70" t="s">
        <v>159</v>
      </c>
      <c r="H957" s="70" t="str">
        <f t="shared" si="29"/>
        <v>COW</v>
      </c>
    </row>
    <row r="958" spans="1:8" ht="15" x14ac:dyDescent="0.25">
      <c r="A958" s="78" t="s">
        <v>2064</v>
      </c>
      <c r="B958" s="78">
        <v>2017</v>
      </c>
      <c r="C958" s="92" t="s">
        <v>2087</v>
      </c>
      <c r="D958" s="91" t="s">
        <v>160</v>
      </c>
      <c r="F958" s="70">
        <f t="shared" si="28"/>
        <v>2017</v>
      </c>
      <c r="G958" s="70" t="s">
        <v>159</v>
      </c>
      <c r="H958" s="70" t="str">
        <f t="shared" si="29"/>
        <v>COW</v>
      </c>
    </row>
    <row r="959" spans="1:8" ht="15" x14ac:dyDescent="0.25">
      <c r="A959" s="78" t="s">
        <v>2064</v>
      </c>
      <c r="B959" s="78">
        <v>2017</v>
      </c>
      <c r="C959" s="92" t="s">
        <v>2086</v>
      </c>
      <c r="D959" s="91" t="s">
        <v>160</v>
      </c>
      <c r="F959" s="70">
        <f t="shared" si="28"/>
        <v>2017</v>
      </c>
      <c r="G959" s="70" t="s">
        <v>159</v>
      </c>
      <c r="H959" s="70" t="str">
        <f t="shared" si="29"/>
        <v>COW</v>
      </c>
    </row>
    <row r="960" spans="1:8" ht="15" x14ac:dyDescent="0.25">
      <c r="A960" s="78" t="s">
        <v>2064</v>
      </c>
      <c r="B960" s="78">
        <v>2017</v>
      </c>
      <c r="C960" s="92" t="s">
        <v>2085</v>
      </c>
      <c r="D960" s="91" t="s">
        <v>160</v>
      </c>
      <c r="F960" s="70">
        <f t="shared" si="28"/>
        <v>2017</v>
      </c>
      <c r="G960" s="70" t="s">
        <v>159</v>
      </c>
      <c r="H960" s="70" t="str">
        <f t="shared" si="29"/>
        <v>COW</v>
      </c>
    </row>
    <row r="961" spans="1:8" ht="15" x14ac:dyDescent="0.25">
      <c r="A961" s="78" t="s">
        <v>2064</v>
      </c>
      <c r="B961" s="78">
        <v>2017</v>
      </c>
      <c r="C961" s="92" t="s">
        <v>2084</v>
      </c>
      <c r="D961" s="91" t="s">
        <v>160</v>
      </c>
      <c r="F961" s="70">
        <f t="shared" si="28"/>
        <v>2017</v>
      </c>
      <c r="G961" s="70" t="s">
        <v>159</v>
      </c>
      <c r="H961" s="70" t="str">
        <f t="shared" si="29"/>
        <v>COW</v>
      </c>
    </row>
    <row r="962" spans="1:8" ht="15" x14ac:dyDescent="0.25">
      <c r="A962" s="78" t="s">
        <v>2064</v>
      </c>
      <c r="B962" s="78">
        <v>2017</v>
      </c>
      <c r="C962" s="92" t="s">
        <v>2083</v>
      </c>
      <c r="D962" s="91" t="s">
        <v>160</v>
      </c>
      <c r="F962" s="70">
        <f t="shared" si="28"/>
        <v>2017</v>
      </c>
      <c r="G962" s="70" t="s">
        <v>159</v>
      </c>
      <c r="H962" s="70" t="str">
        <f t="shared" si="29"/>
        <v>COW</v>
      </c>
    </row>
    <row r="963" spans="1:8" ht="15" x14ac:dyDescent="0.25">
      <c r="A963" s="78" t="s">
        <v>2064</v>
      </c>
      <c r="B963" s="78">
        <v>2017</v>
      </c>
      <c r="C963" s="92" t="s">
        <v>2082</v>
      </c>
      <c r="D963" s="91" t="s">
        <v>160</v>
      </c>
      <c r="F963" s="70">
        <f t="shared" si="28"/>
        <v>2017</v>
      </c>
      <c r="G963" s="70" t="s">
        <v>159</v>
      </c>
      <c r="H963" s="70" t="str">
        <f t="shared" si="29"/>
        <v>COW</v>
      </c>
    </row>
    <row r="964" spans="1:8" ht="15" x14ac:dyDescent="0.25">
      <c r="A964" s="78" t="s">
        <v>2064</v>
      </c>
      <c r="B964" s="78">
        <v>2017</v>
      </c>
      <c r="C964" s="92" t="s">
        <v>2081</v>
      </c>
      <c r="D964" s="91" t="s">
        <v>160</v>
      </c>
      <c r="F964" s="70">
        <f t="shared" si="28"/>
        <v>2017</v>
      </c>
      <c r="G964" s="70" t="s">
        <v>159</v>
      </c>
      <c r="H964" s="70" t="str">
        <f t="shared" si="29"/>
        <v>COW</v>
      </c>
    </row>
    <row r="965" spans="1:8" ht="15" x14ac:dyDescent="0.25">
      <c r="A965" s="78" t="s">
        <v>2064</v>
      </c>
      <c r="B965" s="78">
        <v>2017</v>
      </c>
      <c r="C965" s="92" t="s">
        <v>2080</v>
      </c>
      <c r="D965" s="91" t="s">
        <v>160</v>
      </c>
      <c r="F965" s="70">
        <f t="shared" si="28"/>
        <v>2017</v>
      </c>
      <c r="G965" s="70" t="s">
        <v>159</v>
      </c>
      <c r="H965" s="70" t="str">
        <f t="shared" si="29"/>
        <v>COW</v>
      </c>
    </row>
    <row r="966" spans="1:8" ht="15" x14ac:dyDescent="0.25">
      <c r="A966" s="78" t="s">
        <v>2064</v>
      </c>
      <c r="B966" s="78">
        <v>2017</v>
      </c>
      <c r="C966" s="92" t="s">
        <v>2079</v>
      </c>
      <c r="D966" s="91" t="s">
        <v>160</v>
      </c>
      <c r="F966" s="70">
        <f t="shared" si="28"/>
        <v>2017</v>
      </c>
      <c r="G966" s="70" t="s">
        <v>159</v>
      </c>
      <c r="H966" s="70" t="str">
        <f t="shared" si="29"/>
        <v>COW</v>
      </c>
    </row>
    <row r="967" spans="1:8" ht="15" x14ac:dyDescent="0.25">
      <c r="A967" s="78" t="s">
        <v>2064</v>
      </c>
      <c r="B967" s="78">
        <v>2017</v>
      </c>
      <c r="C967" s="92" t="s">
        <v>2078</v>
      </c>
      <c r="D967" s="91" t="s">
        <v>160</v>
      </c>
      <c r="F967" s="70">
        <f t="shared" si="28"/>
        <v>2017</v>
      </c>
      <c r="G967" s="70" t="s">
        <v>159</v>
      </c>
      <c r="H967" s="70" t="str">
        <f t="shared" si="29"/>
        <v>COW</v>
      </c>
    </row>
    <row r="968" spans="1:8" ht="15" x14ac:dyDescent="0.25">
      <c r="A968" s="78" t="s">
        <v>2064</v>
      </c>
      <c r="B968" s="78">
        <v>2017</v>
      </c>
      <c r="C968" s="92" t="s">
        <v>2077</v>
      </c>
      <c r="D968" s="91" t="s">
        <v>160</v>
      </c>
      <c r="F968" s="70">
        <f t="shared" ref="F968:F1031" si="30">+B968</f>
        <v>2017</v>
      </c>
      <c r="G968" s="70" t="s">
        <v>159</v>
      </c>
      <c r="H968" s="70" t="str">
        <f t="shared" ref="H968:H1031" si="31">A968</f>
        <v>COW</v>
      </c>
    </row>
    <row r="969" spans="1:8" ht="15" x14ac:dyDescent="0.25">
      <c r="A969" s="78" t="s">
        <v>2064</v>
      </c>
      <c r="B969" s="78">
        <v>2017</v>
      </c>
      <c r="C969" s="92" t="s">
        <v>2076</v>
      </c>
      <c r="D969" s="91" t="s">
        <v>160</v>
      </c>
      <c r="F969" s="70">
        <f t="shared" si="30"/>
        <v>2017</v>
      </c>
      <c r="G969" s="70" t="s">
        <v>159</v>
      </c>
      <c r="H969" s="70" t="str">
        <f t="shared" si="31"/>
        <v>COW</v>
      </c>
    </row>
    <row r="970" spans="1:8" ht="15" x14ac:dyDescent="0.25">
      <c r="A970" s="78" t="s">
        <v>2064</v>
      </c>
      <c r="B970" s="78">
        <v>2017</v>
      </c>
      <c r="C970" s="92" t="s">
        <v>2075</v>
      </c>
      <c r="D970" s="91" t="s">
        <v>160</v>
      </c>
      <c r="F970" s="70">
        <f t="shared" si="30"/>
        <v>2017</v>
      </c>
      <c r="G970" s="70" t="s">
        <v>159</v>
      </c>
      <c r="H970" s="70" t="str">
        <f t="shared" si="31"/>
        <v>COW</v>
      </c>
    </row>
    <row r="971" spans="1:8" ht="15" x14ac:dyDescent="0.25">
      <c r="A971" s="81" t="s">
        <v>2064</v>
      </c>
      <c r="B971" s="81">
        <v>2018</v>
      </c>
      <c r="C971" s="90" t="s">
        <v>2074</v>
      </c>
      <c r="D971" s="71" t="s">
        <v>160</v>
      </c>
      <c r="F971" s="70">
        <f t="shared" si="30"/>
        <v>2018</v>
      </c>
      <c r="G971" s="70" t="s">
        <v>159</v>
      </c>
      <c r="H971" s="70" t="str">
        <f t="shared" si="31"/>
        <v>COW</v>
      </c>
    </row>
    <row r="972" spans="1:8" ht="15" x14ac:dyDescent="0.25">
      <c r="A972" s="81" t="s">
        <v>2064</v>
      </c>
      <c r="B972" s="81">
        <v>2018</v>
      </c>
      <c r="C972" s="90" t="s">
        <v>2073</v>
      </c>
      <c r="D972" s="71" t="s">
        <v>160</v>
      </c>
      <c r="F972" s="70">
        <f t="shared" si="30"/>
        <v>2018</v>
      </c>
      <c r="G972" s="70" t="s">
        <v>159</v>
      </c>
      <c r="H972" s="70" t="str">
        <f t="shared" si="31"/>
        <v>COW</v>
      </c>
    </row>
    <row r="973" spans="1:8" ht="15" x14ac:dyDescent="0.25">
      <c r="A973" s="81" t="s">
        <v>2064</v>
      </c>
      <c r="B973" s="81">
        <v>2018</v>
      </c>
      <c r="C973" s="90" t="s">
        <v>2072</v>
      </c>
      <c r="D973" s="71" t="s">
        <v>160</v>
      </c>
      <c r="F973" s="70">
        <f t="shared" si="30"/>
        <v>2018</v>
      </c>
      <c r="G973" s="70" t="s">
        <v>159</v>
      </c>
      <c r="H973" s="70" t="str">
        <f t="shared" si="31"/>
        <v>COW</v>
      </c>
    </row>
    <row r="974" spans="1:8" ht="15" x14ac:dyDescent="0.25">
      <c r="A974" s="81" t="s">
        <v>2064</v>
      </c>
      <c r="B974" s="81">
        <v>2018</v>
      </c>
      <c r="C974" s="90" t="s">
        <v>2071</v>
      </c>
      <c r="D974" s="71" t="s">
        <v>160</v>
      </c>
      <c r="F974" s="70">
        <f t="shared" si="30"/>
        <v>2018</v>
      </c>
      <c r="G974" s="70" t="s">
        <v>159</v>
      </c>
      <c r="H974" s="70" t="str">
        <f t="shared" si="31"/>
        <v>COW</v>
      </c>
    </row>
    <row r="975" spans="1:8" ht="15" x14ac:dyDescent="0.25">
      <c r="A975" s="81" t="s">
        <v>2064</v>
      </c>
      <c r="B975" s="81">
        <v>2018</v>
      </c>
      <c r="C975" s="90" t="s">
        <v>2070</v>
      </c>
      <c r="D975" s="71" t="s">
        <v>160</v>
      </c>
      <c r="F975" s="70">
        <f t="shared" si="30"/>
        <v>2018</v>
      </c>
      <c r="G975" s="70" t="s">
        <v>159</v>
      </c>
      <c r="H975" s="70" t="str">
        <f t="shared" si="31"/>
        <v>COW</v>
      </c>
    </row>
    <row r="976" spans="1:8" ht="15" x14ac:dyDescent="0.25">
      <c r="A976" s="81" t="s">
        <v>2064</v>
      </c>
      <c r="B976" s="81">
        <v>2018</v>
      </c>
      <c r="C976" s="90" t="s">
        <v>2069</v>
      </c>
      <c r="D976" s="71" t="s">
        <v>160</v>
      </c>
      <c r="F976" s="70">
        <f t="shared" si="30"/>
        <v>2018</v>
      </c>
      <c r="G976" s="70" t="s">
        <v>159</v>
      </c>
      <c r="H976" s="70" t="str">
        <f t="shared" si="31"/>
        <v>COW</v>
      </c>
    </row>
    <row r="977" spans="1:8" ht="15" x14ac:dyDescent="0.25">
      <c r="A977" s="81" t="s">
        <v>2064</v>
      </c>
      <c r="B977" s="81">
        <v>2018</v>
      </c>
      <c r="C977" s="90" t="s">
        <v>2068</v>
      </c>
      <c r="D977" s="71" t="s">
        <v>160</v>
      </c>
      <c r="F977" s="70">
        <f t="shared" si="30"/>
        <v>2018</v>
      </c>
      <c r="G977" s="70" t="s">
        <v>159</v>
      </c>
      <c r="H977" s="70" t="str">
        <f t="shared" si="31"/>
        <v>COW</v>
      </c>
    </row>
    <row r="978" spans="1:8" ht="15" x14ac:dyDescent="0.25">
      <c r="A978" s="81" t="s">
        <v>2064</v>
      </c>
      <c r="B978" s="81">
        <v>2018</v>
      </c>
      <c r="C978" s="90" t="s">
        <v>2067</v>
      </c>
      <c r="D978" s="71" t="s">
        <v>160</v>
      </c>
      <c r="F978" s="70">
        <f t="shared" si="30"/>
        <v>2018</v>
      </c>
      <c r="G978" s="70" t="s">
        <v>159</v>
      </c>
      <c r="H978" s="70" t="str">
        <f t="shared" si="31"/>
        <v>COW</v>
      </c>
    </row>
    <row r="979" spans="1:8" ht="15" x14ac:dyDescent="0.25">
      <c r="A979" s="81" t="s">
        <v>2064</v>
      </c>
      <c r="B979" s="81">
        <v>2018</v>
      </c>
      <c r="C979" s="90" t="s">
        <v>2066</v>
      </c>
      <c r="D979" s="71" t="s">
        <v>160</v>
      </c>
      <c r="F979" s="70">
        <f t="shared" si="30"/>
        <v>2018</v>
      </c>
      <c r="G979" s="70" t="s">
        <v>159</v>
      </c>
      <c r="H979" s="70" t="str">
        <f t="shared" si="31"/>
        <v>COW</v>
      </c>
    </row>
    <row r="980" spans="1:8" ht="15" x14ac:dyDescent="0.25">
      <c r="A980" s="81" t="s">
        <v>2064</v>
      </c>
      <c r="B980" s="81">
        <v>2018</v>
      </c>
      <c r="C980" s="90" t="s">
        <v>2065</v>
      </c>
      <c r="D980" s="71" t="s">
        <v>160</v>
      </c>
      <c r="F980" s="70">
        <f t="shared" si="30"/>
        <v>2018</v>
      </c>
      <c r="G980" s="70" t="s">
        <v>159</v>
      </c>
      <c r="H980" s="70" t="str">
        <f t="shared" si="31"/>
        <v>COW</v>
      </c>
    </row>
    <row r="981" spans="1:8" ht="15" x14ac:dyDescent="0.25">
      <c r="A981" s="81" t="s">
        <v>2064</v>
      </c>
      <c r="B981" s="81">
        <v>2018</v>
      </c>
      <c r="C981" s="90" t="s">
        <v>2063</v>
      </c>
      <c r="D981" s="71" t="s">
        <v>160</v>
      </c>
      <c r="F981" s="70">
        <f t="shared" si="30"/>
        <v>2018</v>
      </c>
      <c r="G981" s="70" t="s">
        <v>159</v>
      </c>
      <c r="H981" s="70" t="str">
        <f t="shared" si="31"/>
        <v>COW</v>
      </c>
    </row>
    <row r="982" spans="1:8" ht="15" x14ac:dyDescent="0.25">
      <c r="A982" s="88" t="s">
        <v>2018</v>
      </c>
      <c r="B982" s="88">
        <v>1986</v>
      </c>
      <c r="C982" s="89" t="s">
        <v>2062</v>
      </c>
      <c r="D982" s="88" t="s">
        <v>160</v>
      </c>
      <c r="F982" s="70">
        <f t="shared" si="30"/>
        <v>1986</v>
      </c>
      <c r="G982" s="70" t="s">
        <v>159</v>
      </c>
      <c r="H982" s="70" t="str">
        <f t="shared" si="31"/>
        <v>DOM</v>
      </c>
    </row>
    <row r="983" spans="1:8" ht="15" x14ac:dyDescent="0.25">
      <c r="A983" s="88" t="s">
        <v>2018</v>
      </c>
      <c r="B983" s="88">
        <v>1986</v>
      </c>
      <c r="C983" s="89" t="s">
        <v>2061</v>
      </c>
      <c r="D983" s="88" t="s">
        <v>160</v>
      </c>
      <c r="F983" s="70">
        <f t="shared" si="30"/>
        <v>1986</v>
      </c>
      <c r="G983" s="70" t="s">
        <v>159</v>
      </c>
      <c r="H983" s="70" t="str">
        <f t="shared" si="31"/>
        <v>DOM</v>
      </c>
    </row>
    <row r="984" spans="1:8" ht="15" x14ac:dyDescent="0.25">
      <c r="A984" s="88" t="s">
        <v>2018</v>
      </c>
      <c r="B984" s="88">
        <v>1986</v>
      </c>
      <c r="C984" s="89" t="s">
        <v>2060</v>
      </c>
      <c r="D984" s="88" t="s">
        <v>160</v>
      </c>
      <c r="F984" s="70">
        <f t="shared" si="30"/>
        <v>1986</v>
      </c>
      <c r="G984" s="70" t="s">
        <v>159</v>
      </c>
      <c r="H984" s="70" t="str">
        <f t="shared" si="31"/>
        <v>DOM</v>
      </c>
    </row>
    <row r="985" spans="1:8" ht="15" x14ac:dyDescent="0.25">
      <c r="A985" s="88" t="s">
        <v>2018</v>
      </c>
      <c r="B985" s="88">
        <v>1986</v>
      </c>
      <c r="C985" s="89" t="s">
        <v>2059</v>
      </c>
      <c r="D985" s="88" t="s">
        <v>160</v>
      </c>
      <c r="F985" s="70">
        <f t="shared" si="30"/>
        <v>1986</v>
      </c>
      <c r="G985" s="70" t="s">
        <v>159</v>
      </c>
      <c r="H985" s="70" t="str">
        <f t="shared" si="31"/>
        <v>DOM</v>
      </c>
    </row>
    <row r="986" spans="1:8" ht="15" x14ac:dyDescent="0.25">
      <c r="A986" s="88" t="s">
        <v>2018</v>
      </c>
      <c r="B986" s="88">
        <v>1986</v>
      </c>
      <c r="C986" s="89" t="s">
        <v>2058</v>
      </c>
      <c r="D986" s="88" t="s">
        <v>160</v>
      </c>
      <c r="F986" s="70">
        <f t="shared" si="30"/>
        <v>1986</v>
      </c>
      <c r="G986" s="70" t="s">
        <v>159</v>
      </c>
      <c r="H986" s="70" t="str">
        <f t="shared" si="31"/>
        <v>DOM</v>
      </c>
    </row>
    <row r="987" spans="1:8" ht="15" x14ac:dyDescent="0.25">
      <c r="A987" s="88" t="s">
        <v>2018</v>
      </c>
      <c r="B987" s="88">
        <v>1987</v>
      </c>
      <c r="C987" s="89" t="s">
        <v>2057</v>
      </c>
      <c r="D987" s="88" t="s">
        <v>160</v>
      </c>
      <c r="F987" s="70">
        <f t="shared" si="30"/>
        <v>1987</v>
      </c>
      <c r="G987" s="70" t="s">
        <v>159</v>
      </c>
      <c r="H987" s="70" t="str">
        <f t="shared" si="31"/>
        <v>DOM</v>
      </c>
    </row>
    <row r="988" spans="1:8" ht="15" x14ac:dyDescent="0.25">
      <c r="A988" s="88" t="s">
        <v>2018</v>
      </c>
      <c r="B988" s="88">
        <v>1987</v>
      </c>
      <c r="C988" s="89" t="s">
        <v>2056</v>
      </c>
      <c r="D988" s="88" t="s">
        <v>160</v>
      </c>
      <c r="F988" s="70">
        <f t="shared" si="30"/>
        <v>1987</v>
      </c>
      <c r="G988" s="70" t="s">
        <v>159</v>
      </c>
      <c r="H988" s="70" t="str">
        <f t="shared" si="31"/>
        <v>DOM</v>
      </c>
    </row>
    <row r="989" spans="1:8" ht="15" x14ac:dyDescent="0.25">
      <c r="A989" s="88" t="s">
        <v>2018</v>
      </c>
      <c r="B989" s="88">
        <v>1987</v>
      </c>
      <c r="C989" s="89" t="s">
        <v>2055</v>
      </c>
      <c r="D989" s="88" t="s">
        <v>160</v>
      </c>
      <c r="F989" s="70">
        <f t="shared" si="30"/>
        <v>1987</v>
      </c>
      <c r="G989" s="70" t="s">
        <v>159</v>
      </c>
      <c r="H989" s="70" t="str">
        <f t="shared" si="31"/>
        <v>DOM</v>
      </c>
    </row>
    <row r="990" spans="1:8" ht="15" x14ac:dyDescent="0.25">
      <c r="A990" s="88" t="s">
        <v>2018</v>
      </c>
      <c r="B990" s="88">
        <v>1987</v>
      </c>
      <c r="C990" s="89" t="s">
        <v>2054</v>
      </c>
      <c r="D990" s="88" t="s">
        <v>160</v>
      </c>
      <c r="F990" s="70">
        <f t="shared" si="30"/>
        <v>1987</v>
      </c>
      <c r="G990" s="70" t="s">
        <v>159</v>
      </c>
      <c r="H990" s="70" t="str">
        <f t="shared" si="31"/>
        <v>DOM</v>
      </c>
    </row>
    <row r="991" spans="1:8" ht="15" x14ac:dyDescent="0.25">
      <c r="A991" s="88" t="s">
        <v>2018</v>
      </c>
      <c r="B991" s="88">
        <v>1987</v>
      </c>
      <c r="C991" s="89" t="s">
        <v>2053</v>
      </c>
      <c r="D991" s="88" t="s">
        <v>160</v>
      </c>
      <c r="F991" s="70">
        <f t="shared" si="30"/>
        <v>1987</v>
      </c>
      <c r="G991" s="70" t="s">
        <v>159</v>
      </c>
      <c r="H991" s="70" t="str">
        <f t="shared" si="31"/>
        <v>DOM</v>
      </c>
    </row>
    <row r="992" spans="1:8" ht="15" x14ac:dyDescent="0.25">
      <c r="A992" s="88" t="s">
        <v>2018</v>
      </c>
      <c r="B992" s="88">
        <v>1988</v>
      </c>
      <c r="C992" s="89" t="s">
        <v>2052</v>
      </c>
      <c r="D992" s="88" t="s">
        <v>160</v>
      </c>
      <c r="F992" s="70">
        <f t="shared" si="30"/>
        <v>1988</v>
      </c>
      <c r="G992" s="70" t="s">
        <v>159</v>
      </c>
      <c r="H992" s="70" t="str">
        <f t="shared" si="31"/>
        <v>DOM</v>
      </c>
    </row>
    <row r="993" spans="1:8" ht="15" x14ac:dyDescent="0.25">
      <c r="A993" s="88" t="s">
        <v>2018</v>
      </c>
      <c r="B993" s="88">
        <v>1988</v>
      </c>
      <c r="C993" s="89" t="s">
        <v>2051</v>
      </c>
      <c r="D993" s="88" t="s">
        <v>160</v>
      </c>
      <c r="F993" s="70">
        <f t="shared" si="30"/>
        <v>1988</v>
      </c>
      <c r="G993" s="70" t="s">
        <v>159</v>
      </c>
      <c r="H993" s="70" t="str">
        <f t="shared" si="31"/>
        <v>DOM</v>
      </c>
    </row>
    <row r="994" spans="1:8" ht="15" x14ac:dyDescent="0.25">
      <c r="A994" s="88" t="s">
        <v>2018</v>
      </c>
      <c r="B994" s="88">
        <v>1988</v>
      </c>
      <c r="C994" s="89" t="s">
        <v>2050</v>
      </c>
      <c r="D994" s="88" t="s">
        <v>160</v>
      </c>
      <c r="F994" s="70">
        <f t="shared" si="30"/>
        <v>1988</v>
      </c>
      <c r="G994" s="70" t="s">
        <v>159</v>
      </c>
      <c r="H994" s="70" t="str">
        <f t="shared" si="31"/>
        <v>DOM</v>
      </c>
    </row>
    <row r="995" spans="1:8" ht="15" x14ac:dyDescent="0.25">
      <c r="A995" s="88" t="s">
        <v>2018</v>
      </c>
      <c r="B995" s="88">
        <v>1988</v>
      </c>
      <c r="C995" s="89" t="s">
        <v>2049</v>
      </c>
      <c r="D995" s="88" t="s">
        <v>160</v>
      </c>
      <c r="F995" s="70">
        <f t="shared" si="30"/>
        <v>1988</v>
      </c>
      <c r="G995" s="70" t="s">
        <v>159</v>
      </c>
      <c r="H995" s="70" t="str">
        <f t="shared" si="31"/>
        <v>DOM</v>
      </c>
    </row>
    <row r="996" spans="1:8" ht="15" x14ac:dyDescent="0.25">
      <c r="A996" s="88" t="s">
        <v>2018</v>
      </c>
      <c r="B996" s="88">
        <v>1988</v>
      </c>
      <c r="C996" s="89" t="s">
        <v>2048</v>
      </c>
      <c r="D996" s="88" t="s">
        <v>160</v>
      </c>
      <c r="F996" s="70">
        <f t="shared" si="30"/>
        <v>1988</v>
      </c>
      <c r="G996" s="70" t="s">
        <v>159</v>
      </c>
      <c r="H996" s="70" t="str">
        <f t="shared" si="31"/>
        <v>DOM</v>
      </c>
    </row>
    <row r="997" spans="1:8" ht="15" x14ac:dyDescent="0.25">
      <c r="A997" s="88" t="s">
        <v>2018</v>
      </c>
      <c r="B997" s="88">
        <v>1989</v>
      </c>
      <c r="C997" s="89" t="s">
        <v>2047</v>
      </c>
      <c r="D997" s="88" t="s">
        <v>160</v>
      </c>
      <c r="F997" s="70">
        <f t="shared" si="30"/>
        <v>1989</v>
      </c>
      <c r="G997" s="70" t="s">
        <v>159</v>
      </c>
      <c r="H997" s="70" t="str">
        <f t="shared" si="31"/>
        <v>DOM</v>
      </c>
    </row>
    <row r="998" spans="1:8" ht="15" x14ac:dyDescent="0.25">
      <c r="A998" s="88" t="s">
        <v>2018</v>
      </c>
      <c r="B998" s="88">
        <v>1989</v>
      </c>
      <c r="C998" s="89" t="s">
        <v>2046</v>
      </c>
      <c r="D998" s="88" t="s">
        <v>160</v>
      </c>
      <c r="F998" s="70">
        <f t="shared" si="30"/>
        <v>1989</v>
      </c>
      <c r="G998" s="70" t="s">
        <v>159</v>
      </c>
      <c r="H998" s="70" t="str">
        <f t="shared" si="31"/>
        <v>DOM</v>
      </c>
    </row>
    <row r="999" spans="1:8" ht="15" x14ac:dyDescent="0.25">
      <c r="A999" s="88" t="s">
        <v>2018</v>
      </c>
      <c r="B999" s="88">
        <v>1989</v>
      </c>
      <c r="C999" s="89" t="s">
        <v>2045</v>
      </c>
      <c r="D999" s="88" t="s">
        <v>160</v>
      </c>
      <c r="F999" s="70">
        <f t="shared" si="30"/>
        <v>1989</v>
      </c>
      <c r="G999" s="70" t="s">
        <v>159</v>
      </c>
      <c r="H999" s="70" t="str">
        <f t="shared" si="31"/>
        <v>DOM</v>
      </c>
    </row>
    <row r="1000" spans="1:8" ht="15" x14ac:dyDescent="0.25">
      <c r="A1000" s="88" t="s">
        <v>2018</v>
      </c>
      <c r="B1000" s="88">
        <v>1990</v>
      </c>
      <c r="C1000" s="89" t="s">
        <v>2044</v>
      </c>
      <c r="D1000" s="88" t="s">
        <v>160</v>
      </c>
      <c r="F1000" s="70">
        <f t="shared" si="30"/>
        <v>1990</v>
      </c>
      <c r="G1000" s="70" t="s">
        <v>159</v>
      </c>
      <c r="H1000" s="70" t="str">
        <f t="shared" si="31"/>
        <v>DOM</v>
      </c>
    </row>
    <row r="1001" spans="1:8" ht="15" x14ac:dyDescent="0.25">
      <c r="A1001" s="88" t="s">
        <v>2018</v>
      </c>
      <c r="B1001" s="88">
        <v>1990</v>
      </c>
      <c r="C1001" s="89" t="s">
        <v>2043</v>
      </c>
      <c r="D1001" s="88" t="s">
        <v>160</v>
      </c>
      <c r="F1001" s="70">
        <f t="shared" si="30"/>
        <v>1990</v>
      </c>
      <c r="G1001" s="70" t="s">
        <v>159</v>
      </c>
      <c r="H1001" s="70" t="str">
        <f t="shared" si="31"/>
        <v>DOM</v>
      </c>
    </row>
    <row r="1002" spans="1:8" ht="15" x14ac:dyDescent="0.25">
      <c r="A1002" s="88" t="s">
        <v>2018</v>
      </c>
      <c r="B1002" s="88">
        <v>1991</v>
      </c>
      <c r="C1002" s="89" t="s">
        <v>2042</v>
      </c>
      <c r="D1002" s="88" t="s">
        <v>160</v>
      </c>
      <c r="F1002" s="70">
        <f t="shared" si="30"/>
        <v>1991</v>
      </c>
      <c r="G1002" s="70" t="s">
        <v>159</v>
      </c>
      <c r="H1002" s="70" t="str">
        <f t="shared" si="31"/>
        <v>DOM</v>
      </c>
    </row>
    <row r="1003" spans="1:8" ht="15" x14ac:dyDescent="0.25">
      <c r="A1003" s="88" t="s">
        <v>2018</v>
      </c>
      <c r="B1003" s="88">
        <v>1991</v>
      </c>
      <c r="C1003" s="89" t="s">
        <v>2041</v>
      </c>
      <c r="D1003" s="88" t="s">
        <v>160</v>
      </c>
      <c r="F1003" s="70">
        <f t="shared" si="30"/>
        <v>1991</v>
      </c>
      <c r="G1003" s="70" t="s">
        <v>159</v>
      </c>
      <c r="H1003" s="70" t="str">
        <f t="shared" si="31"/>
        <v>DOM</v>
      </c>
    </row>
    <row r="1004" spans="1:8" ht="15" x14ac:dyDescent="0.25">
      <c r="A1004" s="88" t="s">
        <v>2018</v>
      </c>
      <c r="B1004" s="88">
        <v>1992</v>
      </c>
      <c r="C1004" s="89" t="s">
        <v>2040</v>
      </c>
      <c r="D1004" s="88" t="s">
        <v>160</v>
      </c>
      <c r="F1004" s="70">
        <f t="shared" si="30"/>
        <v>1992</v>
      </c>
      <c r="G1004" s="70" t="s">
        <v>159</v>
      </c>
      <c r="H1004" s="70" t="str">
        <f t="shared" si="31"/>
        <v>DOM</v>
      </c>
    </row>
    <row r="1005" spans="1:8" ht="15" x14ac:dyDescent="0.25">
      <c r="A1005" s="88" t="s">
        <v>2018</v>
      </c>
      <c r="B1005" s="88">
        <v>1992</v>
      </c>
      <c r="C1005" s="89" t="s">
        <v>2039</v>
      </c>
      <c r="D1005" s="88" t="s">
        <v>160</v>
      </c>
      <c r="F1005" s="70">
        <f t="shared" si="30"/>
        <v>1992</v>
      </c>
      <c r="G1005" s="70" t="s">
        <v>159</v>
      </c>
      <c r="H1005" s="70" t="str">
        <f t="shared" si="31"/>
        <v>DOM</v>
      </c>
    </row>
    <row r="1006" spans="1:8" ht="15" x14ac:dyDescent="0.25">
      <c r="A1006" s="88" t="s">
        <v>2018</v>
      </c>
      <c r="B1006" s="88">
        <v>1993</v>
      </c>
      <c r="C1006" s="89" t="s">
        <v>2038</v>
      </c>
      <c r="D1006" s="88" t="s">
        <v>160</v>
      </c>
      <c r="F1006" s="70">
        <f t="shared" si="30"/>
        <v>1993</v>
      </c>
      <c r="G1006" s="70" t="s">
        <v>159</v>
      </c>
      <c r="H1006" s="70" t="str">
        <f t="shared" si="31"/>
        <v>DOM</v>
      </c>
    </row>
    <row r="1007" spans="1:8" ht="15" x14ac:dyDescent="0.25">
      <c r="A1007" s="88" t="s">
        <v>2018</v>
      </c>
      <c r="B1007" s="88">
        <v>1994</v>
      </c>
      <c r="C1007" s="89" t="s">
        <v>2037</v>
      </c>
      <c r="D1007" s="88" t="s">
        <v>160</v>
      </c>
      <c r="F1007" s="70">
        <f t="shared" si="30"/>
        <v>1994</v>
      </c>
      <c r="G1007" s="70" t="s">
        <v>159</v>
      </c>
      <c r="H1007" s="70" t="str">
        <f t="shared" si="31"/>
        <v>DOM</v>
      </c>
    </row>
    <row r="1008" spans="1:8" ht="15" x14ac:dyDescent="0.25">
      <c r="A1008" s="88" t="s">
        <v>2018</v>
      </c>
      <c r="B1008" s="88">
        <v>1994</v>
      </c>
      <c r="C1008" s="89" t="s">
        <v>2036</v>
      </c>
      <c r="D1008" s="88" t="s">
        <v>160</v>
      </c>
      <c r="F1008" s="70">
        <f t="shared" si="30"/>
        <v>1994</v>
      </c>
      <c r="G1008" s="70" t="s">
        <v>159</v>
      </c>
      <c r="H1008" s="70" t="str">
        <f t="shared" si="31"/>
        <v>DOM</v>
      </c>
    </row>
    <row r="1009" spans="1:8" ht="15" x14ac:dyDescent="0.25">
      <c r="A1009" s="88" t="s">
        <v>2018</v>
      </c>
      <c r="B1009" s="88">
        <v>1995</v>
      </c>
      <c r="C1009" s="89" t="s">
        <v>2035</v>
      </c>
      <c r="D1009" s="88" t="s">
        <v>160</v>
      </c>
      <c r="F1009" s="70">
        <f t="shared" si="30"/>
        <v>1995</v>
      </c>
      <c r="G1009" s="70" t="s">
        <v>159</v>
      </c>
      <c r="H1009" s="70" t="str">
        <f t="shared" si="31"/>
        <v>DOM</v>
      </c>
    </row>
    <row r="1010" spans="1:8" ht="15" x14ac:dyDescent="0.25">
      <c r="A1010" s="88" t="s">
        <v>2018</v>
      </c>
      <c r="B1010" s="88">
        <v>1995</v>
      </c>
      <c r="C1010" s="89" t="s">
        <v>2034</v>
      </c>
      <c r="D1010" s="88" t="s">
        <v>160</v>
      </c>
      <c r="F1010" s="70">
        <f t="shared" si="30"/>
        <v>1995</v>
      </c>
      <c r="G1010" s="70" t="s">
        <v>159</v>
      </c>
      <c r="H1010" s="70" t="str">
        <f t="shared" si="31"/>
        <v>DOM</v>
      </c>
    </row>
    <row r="1011" spans="1:8" ht="15" x14ac:dyDescent="0.25">
      <c r="A1011" s="88" t="s">
        <v>2018</v>
      </c>
      <c r="B1011" s="88">
        <v>1996</v>
      </c>
      <c r="C1011" s="89" t="s">
        <v>2033</v>
      </c>
      <c r="D1011" s="88" t="s">
        <v>160</v>
      </c>
      <c r="F1011" s="70">
        <f t="shared" si="30"/>
        <v>1996</v>
      </c>
      <c r="G1011" s="70" t="s">
        <v>159</v>
      </c>
      <c r="H1011" s="70" t="str">
        <f t="shared" si="31"/>
        <v>DOM</v>
      </c>
    </row>
    <row r="1012" spans="1:8" ht="15" x14ac:dyDescent="0.25">
      <c r="A1012" s="88" t="s">
        <v>2018</v>
      </c>
      <c r="B1012" s="88">
        <v>1996</v>
      </c>
      <c r="C1012" s="89" t="s">
        <v>2032</v>
      </c>
      <c r="D1012" s="88" t="s">
        <v>160</v>
      </c>
      <c r="F1012" s="70">
        <f t="shared" si="30"/>
        <v>1996</v>
      </c>
      <c r="G1012" s="70" t="s">
        <v>159</v>
      </c>
      <c r="H1012" s="70" t="str">
        <f t="shared" si="31"/>
        <v>DOM</v>
      </c>
    </row>
    <row r="1013" spans="1:8" ht="15" x14ac:dyDescent="0.25">
      <c r="A1013" s="88" t="s">
        <v>2018</v>
      </c>
      <c r="B1013" s="88">
        <v>1997</v>
      </c>
      <c r="C1013" s="89" t="s">
        <v>2031</v>
      </c>
      <c r="D1013" s="88" t="s">
        <v>160</v>
      </c>
      <c r="F1013" s="70">
        <f t="shared" si="30"/>
        <v>1997</v>
      </c>
      <c r="G1013" s="70" t="s">
        <v>159</v>
      </c>
      <c r="H1013" s="70" t="str">
        <f t="shared" si="31"/>
        <v>DOM</v>
      </c>
    </row>
    <row r="1014" spans="1:8" ht="15" x14ac:dyDescent="0.25">
      <c r="A1014" s="88" t="s">
        <v>2018</v>
      </c>
      <c r="B1014" s="88">
        <v>1997</v>
      </c>
      <c r="C1014" s="89" t="s">
        <v>2030</v>
      </c>
      <c r="D1014" s="88" t="s">
        <v>160</v>
      </c>
      <c r="F1014" s="70">
        <f t="shared" si="30"/>
        <v>1997</v>
      </c>
      <c r="G1014" s="70" t="s">
        <v>159</v>
      </c>
      <c r="H1014" s="70" t="str">
        <f t="shared" si="31"/>
        <v>DOM</v>
      </c>
    </row>
    <row r="1015" spans="1:8" ht="15" x14ac:dyDescent="0.25">
      <c r="A1015" s="88" t="s">
        <v>2018</v>
      </c>
      <c r="B1015" s="88">
        <v>1998</v>
      </c>
      <c r="C1015" s="89" t="s">
        <v>2029</v>
      </c>
      <c r="D1015" s="88" t="s">
        <v>160</v>
      </c>
      <c r="F1015" s="70">
        <f t="shared" si="30"/>
        <v>1998</v>
      </c>
      <c r="G1015" s="70" t="s">
        <v>159</v>
      </c>
      <c r="H1015" s="70" t="str">
        <f t="shared" si="31"/>
        <v>DOM</v>
      </c>
    </row>
    <row r="1016" spans="1:8" ht="15" x14ac:dyDescent="0.25">
      <c r="A1016" s="88" t="s">
        <v>2018</v>
      </c>
      <c r="B1016" s="88">
        <v>1998</v>
      </c>
      <c r="C1016" s="89" t="s">
        <v>2028</v>
      </c>
      <c r="D1016" s="88" t="s">
        <v>160</v>
      </c>
      <c r="F1016" s="70">
        <f t="shared" si="30"/>
        <v>1998</v>
      </c>
      <c r="G1016" s="70" t="s">
        <v>159</v>
      </c>
      <c r="H1016" s="70" t="str">
        <f t="shared" si="31"/>
        <v>DOM</v>
      </c>
    </row>
    <row r="1017" spans="1:8" ht="15" x14ac:dyDescent="0.25">
      <c r="A1017" s="88" t="s">
        <v>2018</v>
      </c>
      <c r="B1017" s="88">
        <v>2000</v>
      </c>
      <c r="C1017" s="89" t="s">
        <v>2027</v>
      </c>
      <c r="D1017" s="88" t="s">
        <v>160</v>
      </c>
      <c r="F1017" s="70">
        <f t="shared" si="30"/>
        <v>2000</v>
      </c>
      <c r="G1017" s="70" t="s">
        <v>159</v>
      </c>
      <c r="H1017" s="70" t="str">
        <f t="shared" si="31"/>
        <v>DOM</v>
      </c>
    </row>
    <row r="1018" spans="1:8" ht="15" x14ac:dyDescent="0.25">
      <c r="A1018" s="88" t="s">
        <v>2018</v>
      </c>
      <c r="B1018" s="88">
        <v>2000</v>
      </c>
      <c r="C1018" s="89" t="s">
        <v>2026</v>
      </c>
      <c r="D1018" s="88" t="s">
        <v>160</v>
      </c>
      <c r="F1018" s="70">
        <f t="shared" si="30"/>
        <v>2000</v>
      </c>
      <c r="G1018" s="70" t="s">
        <v>159</v>
      </c>
      <c r="H1018" s="70" t="str">
        <f t="shared" si="31"/>
        <v>DOM</v>
      </c>
    </row>
    <row r="1019" spans="1:8" ht="15" x14ac:dyDescent="0.25">
      <c r="A1019" s="88" t="s">
        <v>2018</v>
      </c>
      <c r="B1019" s="88">
        <v>2000</v>
      </c>
      <c r="C1019" s="89" t="s">
        <v>2025</v>
      </c>
      <c r="D1019" s="88" t="s">
        <v>160</v>
      </c>
      <c r="F1019" s="70">
        <f t="shared" si="30"/>
        <v>2000</v>
      </c>
      <c r="G1019" s="70" t="s">
        <v>159</v>
      </c>
      <c r="H1019" s="70" t="str">
        <f t="shared" si="31"/>
        <v>DOM</v>
      </c>
    </row>
    <row r="1020" spans="1:8" ht="15" x14ac:dyDescent="0.25">
      <c r="A1020" s="88" t="s">
        <v>2018</v>
      </c>
      <c r="B1020" s="88">
        <v>2000</v>
      </c>
      <c r="C1020" s="89" t="s">
        <v>2024</v>
      </c>
      <c r="D1020" s="88" t="s">
        <v>160</v>
      </c>
      <c r="F1020" s="70">
        <f t="shared" si="30"/>
        <v>2000</v>
      </c>
      <c r="G1020" s="70" t="s">
        <v>159</v>
      </c>
      <c r="H1020" s="70" t="str">
        <f t="shared" si="31"/>
        <v>DOM</v>
      </c>
    </row>
    <row r="1021" spans="1:8" ht="15" x14ac:dyDescent="0.25">
      <c r="A1021" s="88" t="s">
        <v>2018</v>
      </c>
      <c r="B1021" s="88">
        <v>2001</v>
      </c>
      <c r="C1021" s="89" t="s">
        <v>2023</v>
      </c>
      <c r="D1021" s="88" t="s">
        <v>160</v>
      </c>
      <c r="F1021" s="70">
        <f t="shared" si="30"/>
        <v>2001</v>
      </c>
      <c r="G1021" s="70" t="s">
        <v>159</v>
      </c>
      <c r="H1021" s="70" t="str">
        <f t="shared" si="31"/>
        <v>DOM</v>
      </c>
    </row>
    <row r="1022" spans="1:8" ht="15" x14ac:dyDescent="0.25">
      <c r="A1022" s="88" t="s">
        <v>2018</v>
      </c>
      <c r="B1022" s="88">
        <v>2001</v>
      </c>
      <c r="C1022" s="89" t="s">
        <v>2022</v>
      </c>
      <c r="D1022" s="88" t="s">
        <v>160</v>
      </c>
      <c r="F1022" s="70">
        <f t="shared" si="30"/>
        <v>2001</v>
      </c>
      <c r="G1022" s="70" t="s">
        <v>159</v>
      </c>
      <c r="H1022" s="70" t="str">
        <f t="shared" si="31"/>
        <v>DOM</v>
      </c>
    </row>
    <row r="1023" spans="1:8" ht="15" x14ac:dyDescent="0.25">
      <c r="A1023" s="88" t="s">
        <v>2018</v>
      </c>
      <c r="B1023" s="88">
        <v>2001</v>
      </c>
      <c r="C1023" s="89" t="s">
        <v>2021</v>
      </c>
      <c r="D1023" s="88" t="s">
        <v>160</v>
      </c>
      <c r="F1023" s="70">
        <f t="shared" si="30"/>
        <v>2001</v>
      </c>
      <c r="G1023" s="70" t="s">
        <v>159</v>
      </c>
      <c r="H1023" s="70" t="str">
        <f t="shared" si="31"/>
        <v>DOM</v>
      </c>
    </row>
    <row r="1024" spans="1:8" ht="15" x14ac:dyDescent="0.25">
      <c r="A1024" s="88" t="s">
        <v>2018</v>
      </c>
      <c r="B1024" s="88">
        <v>2001</v>
      </c>
      <c r="C1024" s="89" t="s">
        <v>2020</v>
      </c>
      <c r="D1024" s="88" t="s">
        <v>160</v>
      </c>
      <c r="F1024" s="70">
        <f t="shared" si="30"/>
        <v>2001</v>
      </c>
      <c r="G1024" s="70" t="s">
        <v>159</v>
      </c>
      <c r="H1024" s="70" t="str">
        <f t="shared" si="31"/>
        <v>DOM</v>
      </c>
    </row>
    <row r="1025" spans="1:8" ht="15" x14ac:dyDescent="0.25">
      <c r="A1025" s="88" t="s">
        <v>2018</v>
      </c>
      <c r="B1025" s="88">
        <v>2002</v>
      </c>
      <c r="C1025" s="89" t="s">
        <v>2019</v>
      </c>
      <c r="D1025" s="88" t="s">
        <v>160</v>
      </c>
      <c r="F1025" s="70">
        <f t="shared" si="30"/>
        <v>2002</v>
      </c>
      <c r="G1025" s="70" t="s">
        <v>159</v>
      </c>
      <c r="H1025" s="70" t="str">
        <f t="shared" si="31"/>
        <v>DOM</v>
      </c>
    </row>
    <row r="1026" spans="1:8" ht="15" x14ac:dyDescent="0.25">
      <c r="A1026" s="88" t="s">
        <v>2018</v>
      </c>
      <c r="B1026" s="88">
        <v>2002</v>
      </c>
      <c r="C1026" s="89" t="s">
        <v>2017</v>
      </c>
      <c r="D1026" s="88" t="s">
        <v>160</v>
      </c>
      <c r="F1026" s="70">
        <f t="shared" si="30"/>
        <v>2002</v>
      </c>
      <c r="G1026" s="70" t="s">
        <v>159</v>
      </c>
      <c r="H1026" s="70" t="str">
        <f t="shared" si="31"/>
        <v>DOM</v>
      </c>
    </row>
    <row r="1027" spans="1:8" ht="15" x14ac:dyDescent="0.25">
      <c r="A1027" s="88" t="s">
        <v>1863</v>
      </c>
      <c r="B1027" s="88">
        <v>1980</v>
      </c>
      <c r="C1027" s="89" t="s">
        <v>2016</v>
      </c>
      <c r="D1027" s="88" t="s">
        <v>160</v>
      </c>
      <c r="F1027" s="70">
        <f t="shared" si="30"/>
        <v>1980</v>
      </c>
      <c r="G1027" s="70" t="s">
        <v>159</v>
      </c>
      <c r="H1027" s="70" t="str">
        <f t="shared" si="31"/>
        <v>HAR</v>
      </c>
    </row>
    <row r="1028" spans="1:8" ht="15" x14ac:dyDescent="0.25">
      <c r="A1028" s="88" t="s">
        <v>1863</v>
      </c>
      <c r="B1028" s="88">
        <v>1980</v>
      </c>
      <c r="C1028" s="89" t="s">
        <v>2015</v>
      </c>
      <c r="D1028" s="88" t="s">
        <v>160</v>
      </c>
      <c r="F1028" s="70">
        <f t="shared" si="30"/>
        <v>1980</v>
      </c>
      <c r="G1028" s="70" t="s">
        <v>159</v>
      </c>
      <c r="H1028" s="70" t="str">
        <f t="shared" si="31"/>
        <v>HAR</v>
      </c>
    </row>
    <row r="1029" spans="1:8" ht="15" x14ac:dyDescent="0.25">
      <c r="A1029" s="88" t="s">
        <v>1863</v>
      </c>
      <c r="B1029" s="88">
        <v>1981</v>
      </c>
      <c r="C1029" s="89" t="s">
        <v>2014</v>
      </c>
      <c r="D1029" s="88" t="s">
        <v>160</v>
      </c>
      <c r="F1029" s="70">
        <f t="shared" si="30"/>
        <v>1981</v>
      </c>
      <c r="G1029" s="70" t="s">
        <v>159</v>
      </c>
      <c r="H1029" s="70" t="str">
        <f t="shared" si="31"/>
        <v>HAR</v>
      </c>
    </row>
    <row r="1030" spans="1:8" ht="15" x14ac:dyDescent="0.25">
      <c r="A1030" s="88" t="s">
        <v>1863</v>
      </c>
      <c r="B1030" s="88">
        <v>1982</v>
      </c>
      <c r="C1030" s="89" t="s">
        <v>2013</v>
      </c>
      <c r="D1030" s="88" t="s">
        <v>160</v>
      </c>
      <c r="F1030" s="70">
        <f t="shared" si="30"/>
        <v>1982</v>
      </c>
      <c r="G1030" s="70" t="s">
        <v>159</v>
      </c>
      <c r="H1030" s="70" t="str">
        <f t="shared" si="31"/>
        <v>HAR</v>
      </c>
    </row>
    <row r="1031" spans="1:8" ht="15" x14ac:dyDescent="0.25">
      <c r="A1031" s="88" t="s">
        <v>1863</v>
      </c>
      <c r="B1031" s="88">
        <v>1982</v>
      </c>
      <c r="C1031" s="89" t="s">
        <v>2012</v>
      </c>
      <c r="D1031" s="88" t="s">
        <v>160</v>
      </c>
      <c r="F1031" s="70">
        <f t="shared" si="30"/>
        <v>1982</v>
      </c>
      <c r="G1031" s="70" t="s">
        <v>159</v>
      </c>
      <c r="H1031" s="70" t="str">
        <f t="shared" si="31"/>
        <v>HAR</v>
      </c>
    </row>
    <row r="1032" spans="1:8" ht="15" x14ac:dyDescent="0.25">
      <c r="A1032" s="88" t="s">
        <v>1863</v>
      </c>
      <c r="B1032" s="88">
        <v>1982</v>
      </c>
      <c r="C1032" s="89" t="s">
        <v>2011</v>
      </c>
      <c r="D1032" s="88" t="s">
        <v>160</v>
      </c>
      <c r="F1032" s="70">
        <f t="shared" ref="F1032:F1095" si="32">+B1032</f>
        <v>1982</v>
      </c>
      <c r="G1032" s="70" t="s">
        <v>159</v>
      </c>
      <c r="H1032" s="70" t="str">
        <f t="shared" ref="H1032:H1095" si="33">A1032</f>
        <v>HAR</v>
      </c>
    </row>
    <row r="1033" spans="1:8" ht="15" x14ac:dyDescent="0.25">
      <c r="A1033" s="88" t="s">
        <v>1863</v>
      </c>
      <c r="B1033" s="88">
        <v>1982</v>
      </c>
      <c r="C1033" s="89" t="s">
        <v>2010</v>
      </c>
      <c r="D1033" s="88" t="s">
        <v>160</v>
      </c>
      <c r="F1033" s="70">
        <f t="shared" si="32"/>
        <v>1982</v>
      </c>
      <c r="G1033" s="70" t="s">
        <v>159</v>
      </c>
      <c r="H1033" s="70" t="str">
        <f t="shared" si="33"/>
        <v>HAR</v>
      </c>
    </row>
    <row r="1034" spans="1:8" ht="15" x14ac:dyDescent="0.25">
      <c r="A1034" s="88" t="s">
        <v>1863</v>
      </c>
      <c r="B1034" s="88">
        <v>1983</v>
      </c>
      <c r="C1034" s="89" t="s">
        <v>2009</v>
      </c>
      <c r="D1034" s="88" t="s">
        <v>160</v>
      </c>
      <c r="F1034" s="70">
        <f t="shared" si="32"/>
        <v>1983</v>
      </c>
      <c r="G1034" s="70" t="s">
        <v>159</v>
      </c>
      <c r="H1034" s="70" t="str">
        <f t="shared" si="33"/>
        <v>HAR</v>
      </c>
    </row>
    <row r="1035" spans="1:8" ht="15" x14ac:dyDescent="0.25">
      <c r="A1035" s="88" t="s">
        <v>1863</v>
      </c>
      <c r="B1035" s="88">
        <v>1983</v>
      </c>
      <c r="C1035" s="89" t="s">
        <v>2008</v>
      </c>
      <c r="D1035" s="88" t="s">
        <v>160</v>
      </c>
      <c r="F1035" s="70">
        <f t="shared" si="32"/>
        <v>1983</v>
      </c>
      <c r="G1035" s="70" t="s">
        <v>159</v>
      </c>
      <c r="H1035" s="70" t="str">
        <f t="shared" si="33"/>
        <v>HAR</v>
      </c>
    </row>
    <row r="1036" spans="1:8" ht="15" x14ac:dyDescent="0.25">
      <c r="A1036" s="88" t="s">
        <v>1863</v>
      </c>
      <c r="B1036" s="88">
        <v>1983</v>
      </c>
      <c r="C1036" s="89" t="s">
        <v>2007</v>
      </c>
      <c r="D1036" s="88" t="s">
        <v>160</v>
      </c>
      <c r="F1036" s="70">
        <f t="shared" si="32"/>
        <v>1983</v>
      </c>
      <c r="G1036" s="70" t="s">
        <v>159</v>
      </c>
      <c r="H1036" s="70" t="str">
        <f t="shared" si="33"/>
        <v>HAR</v>
      </c>
    </row>
    <row r="1037" spans="1:8" ht="15" x14ac:dyDescent="0.25">
      <c r="A1037" s="88" t="s">
        <v>1863</v>
      </c>
      <c r="B1037" s="88">
        <v>1983</v>
      </c>
      <c r="C1037" s="89" t="s">
        <v>2006</v>
      </c>
      <c r="D1037" s="88" t="s">
        <v>160</v>
      </c>
      <c r="F1037" s="70">
        <f t="shared" si="32"/>
        <v>1983</v>
      </c>
      <c r="G1037" s="70" t="s">
        <v>159</v>
      </c>
      <c r="H1037" s="70" t="str">
        <f t="shared" si="33"/>
        <v>HAR</v>
      </c>
    </row>
    <row r="1038" spans="1:8" ht="15" x14ac:dyDescent="0.25">
      <c r="A1038" s="88" t="s">
        <v>1863</v>
      </c>
      <c r="B1038" s="88">
        <v>1983</v>
      </c>
      <c r="C1038" s="89" t="s">
        <v>2005</v>
      </c>
      <c r="D1038" s="88" t="s">
        <v>160</v>
      </c>
      <c r="F1038" s="70">
        <f t="shared" si="32"/>
        <v>1983</v>
      </c>
      <c r="G1038" s="70" t="s">
        <v>159</v>
      </c>
      <c r="H1038" s="70" t="str">
        <f t="shared" si="33"/>
        <v>HAR</v>
      </c>
    </row>
    <row r="1039" spans="1:8" ht="15" x14ac:dyDescent="0.25">
      <c r="A1039" s="88" t="s">
        <v>1863</v>
      </c>
      <c r="B1039" s="88">
        <v>1983</v>
      </c>
      <c r="C1039" s="89" t="s">
        <v>2004</v>
      </c>
      <c r="D1039" s="88" t="s">
        <v>160</v>
      </c>
      <c r="F1039" s="70">
        <f t="shared" si="32"/>
        <v>1983</v>
      </c>
      <c r="G1039" s="70" t="s">
        <v>159</v>
      </c>
      <c r="H1039" s="70" t="str">
        <f t="shared" si="33"/>
        <v>HAR</v>
      </c>
    </row>
    <row r="1040" spans="1:8" ht="15" x14ac:dyDescent="0.25">
      <c r="A1040" s="88" t="s">
        <v>1863</v>
      </c>
      <c r="B1040" s="88">
        <v>1983</v>
      </c>
      <c r="C1040" s="89" t="s">
        <v>2003</v>
      </c>
      <c r="D1040" s="88" t="s">
        <v>160</v>
      </c>
      <c r="F1040" s="70">
        <f t="shared" si="32"/>
        <v>1983</v>
      </c>
      <c r="G1040" s="70" t="s">
        <v>159</v>
      </c>
      <c r="H1040" s="70" t="str">
        <f t="shared" si="33"/>
        <v>HAR</v>
      </c>
    </row>
    <row r="1041" spans="1:8" ht="15" x14ac:dyDescent="0.25">
      <c r="A1041" s="88" t="s">
        <v>1863</v>
      </c>
      <c r="B1041" s="88">
        <v>1984</v>
      </c>
      <c r="C1041" s="89" t="s">
        <v>2002</v>
      </c>
      <c r="D1041" s="88" t="s">
        <v>160</v>
      </c>
      <c r="F1041" s="70">
        <f t="shared" si="32"/>
        <v>1984</v>
      </c>
      <c r="G1041" s="70" t="s">
        <v>159</v>
      </c>
      <c r="H1041" s="70" t="str">
        <f t="shared" si="33"/>
        <v>HAR</v>
      </c>
    </row>
    <row r="1042" spans="1:8" ht="15" x14ac:dyDescent="0.25">
      <c r="A1042" s="88" t="s">
        <v>1863</v>
      </c>
      <c r="B1042" s="88">
        <v>1984</v>
      </c>
      <c r="C1042" s="89" t="s">
        <v>2001</v>
      </c>
      <c r="D1042" s="88" t="s">
        <v>160</v>
      </c>
      <c r="F1042" s="70">
        <f t="shared" si="32"/>
        <v>1984</v>
      </c>
      <c r="G1042" s="70" t="s">
        <v>159</v>
      </c>
      <c r="H1042" s="70" t="str">
        <f t="shared" si="33"/>
        <v>HAR</v>
      </c>
    </row>
    <row r="1043" spans="1:8" ht="15" x14ac:dyDescent="0.25">
      <c r="A1043" s="88" t="s">
        <v>1863</v>
      </c>
      <c r="B1043" s="88">
        <v>1984</v>
      </c>
      <c r="C1043" s="89" t="s">
        <v>2000</v>
      </c>
      <c r="D1043" s="88" t="s">
        <v>160</v>
      </c>
      <c r="F1043" s="70">
        <f t="shared" si="32"/>
        <v>1984</v>
      </c>
      <c r="G1043" s="70" t="s">
        <v>159</v>
      </c>
      <c r="H1043" s="70" t="str">
        <f t="shared" si="33"/>
        <v>HAR</v>
      </c>
    </row>
    <row r="1044" spans="1:8" ht="15" x14ac:dyDescent="0.25">
      <c r="A1044" s="88" t="s">
        <v>1863</v>
      </c>
      <c r="B1044" s="88">
        <v>1984</v>
      </c>
      <c r="C1044" s="89" t="s">
        <v>1999</v>
      </c>
      <c r="D1044" s="88" t="s">
        <v>160</v>
      </c>
      <c r="F1044" s="70">
        <f t="shared" si="32"/>
        <v>1984</v>
      </c>
      <c r="G1044" s="70" t="s">
        <v>159</v>
      </c>
      <c r="H1044" s="70" t="str">
        <f t="shared" si="33"/>
        <v>HAR</v>
      </c>
    </row>
    <row r="1045" spans="1:8" ht="15" x14ac:dyDescent="0.25">
      <c r="A1045" s="88" t="s">
        <v>1863</v>
      </c>
      <c r="B1045" s="88">
        <v>1984</v>
      </c>
      <c r="C1045" s="89" t="s">
        <v>1998</v>
      </c>
      <c r="D1045" s="88" t="s">
        <v>160</v>
      </c>
      <c r="F1045" s="70">
        <f t="shared" si="32"/>
        <v>1984</v>
      </c>
      <c r="G1045" s="70" t="s">
        <v>159</v>
      </c>
      <c r="H1045" s="70" t="str">
        <f t="shared" si="33"/>
        <v>HAR</v>
      </c>
    </row>
    <row r="1046" spans="1:8" ht="15" x14ac:dyDescent="0.25">
      <c r="A1046" s="88" t="s">
        <v>1863</v>
      </c>
      <c r="B1046" s="88">
        <v>1985</v>
      </c>
      <c r="C1046" s="89" t="s">
        <v>1997</v>
      </c>
      <c r="D1046" s="88" t="s">
        <v>160</v>
      </c>
      <c r="F1046" s="70">
        <f t="shared" si="32"/>
        <v>1985</v>
      </c>
      <c r="G1046" s="70" t="s">
        <v>159</v>
      </c>
      <c r="H1046" s="70" t="str">
        <f t="shared" si="33"/>
        <v>HAR</v>
      </c>
    </row>
    <row r="1047" spans="1:8" ht="15" x14ac:dyDescent="0.25">
      <c r="A1047" s="88" t="s">
        <v>1863</v>
      </c>
      <c r="B1047" s="88">
        <v>1985</v>
      </c>
      <c r="C1047" s="89" t="s">
        <v>1996</v>
      </c>
      <c r="D1047" s="88" t="s">
        <v>160</v>
      </c>
      <c r="F1047" s="70">
        <f t="shared" si="32"/>
        <v>1985</v>
      </c>
      <c r="G1047" s="70" t="s">
        <v>159</v>
      </c>
      <c r="H1047" s="70" t="str">
        <f t="shared" si="33"/>
        <v>HAR</v>
      </c>
    </row>
    <row r="1048" spans="1:8" ht="15" x14ac:dyDescent="0.25">
      <c r="A1048" s="88" t="s">
        <v>1863</v>
      </c>
      <c r="B1048" s="88">
        <v>1985</v>
      </c>
      <c r="C1048" s="89" t="s">
        <v>1995</v>
      </c>
      <c r="D1048" s="88" t="s">
        <v>160</v>
      </c>
      <c r="F1048" s="70">
        <f t="shared" si="32"/>
        <v>1985</v>
      </c>
      <c r="G1048" s="70" t="s">
        <v>159</v>
      </c>
      <c r="H1048" s="70" t="str">
        <f t="shared" si="33"/>
        <v>HAR</v>
      </c>
    </row>
    <row r="1049" spans="1:8" ht="15" x14ac:dyDescent="0.25">
      <c r="A1049" s="88" t="s">
        <v>1863</v>
      </c>
      <c r="B1049" s="88">
        <v>1985</v>
      </c>
      <c r="C1049" s="89" t="s">
        <v>1994</v>
      </c>
      <c r="D1049" s="88" t="s">
        <v>160</v>
      </c>
      <c r="F1049" s="70">
        <f t="shared" si="32"/>
        <v>1985</v>
      </c>
      <c r="G1049" s="70" t="s">
        <v>159</v>
      </c>
      <c r="H1049" s="70" t="str">
        <f t="shared" si="33"/>
        <v>HAR</v>
      </c>
    </row>
    <row r="1050" spans="1:8" ht="15" x14ac:dyDescent="0.25">
      <c r="A1050" s="88" t="s">
        <v>1863</v>
      </c>
      <c r="B1050" s="88">
        <v>1985</v>
      </c>
      <c r="C1050" s="89" t="s">
        <v>1993</v>
      </c>
      <c r="D1050" s="88" t="s">
        <v>160</v>
      </c>
      <c r="F1050" s="70">
        <f t="shared" si="32"/>
        <v>1985</v>
      </c>
      <c r="G1050" s="70" t="s">
        <v>159</v>
      </c>
      <c r="H1050" s="70" t="str">
        <f t="shared" si="33"/>
        <v>HAR</v>
      </c>
    </row>
    <row r="1051" spans="1:8" ht="15" x14ac:dyDescent="0.25">
      <c r="A1051" s="88" t="s">
        <v>1863</v>
      </c>
      <c r="B1051" s="88">
        <v>1985</v>
      </c>
      <c r="C1051" s="89" t="s">
        <v>1992</v>
      </c>
      <c r="D1051" s="88" t="s">
        <v>160</v>
      </c>
      <c r="F1051" s="70">
        <f t="shared" si="32"/>
        <v>1985</v>
      </c>
      <c r="G1051" s="70" t="s">
        <v>159</v>
      </c>
      <c r="H1051" s="70" t="str">
        <f t="shared" si="33"/>
        <v>HAR</v>
      </c>
    </row>
    <row r="1052" spans="1:8" ht="15" x14ac:dyDescent="0.25">
      <c r="A1052" s="88" t="s">
        <v>1863</v>
      </c>
      <c r="B1052" s="88">
        <v>1985</v>
      </c>
      <c r="C1052" s="89" t="s">
        <v>1991</v>
      </c>
      <c r="D1052" s="88" t="s">
        <v>160</v>
      </c>
      <c r="F1052" s="70">
        <f t="shared" si="32"/>
        <v>1985</v>
      </c>
      <c r="G1052" s="70" t="s">
        <v>159</v>
      </c>
      <c r="H1052" s="70" t="str">
        <f t="shared" si="33"/>
        <v>HAR</v>
      </c>
    </row>
    <row r="1053" spans="1:8" ht="15" x14ac:dyDescent="0.25">
      <c r="A1053" s="88" t="s">
        <v>1863</v>
      </c>
      <c r="B1053" s="88">
        <v>1985</v>
      </c>
      <c r="C1053" s="89" t="s">
        <v>1990</v>
      </c>
      <c r="D1053" s="88" t="s">
        <v>160</v>
      </c>
      <c r="F1053" s="70">
        <f t="shared" si="32"/>
        <v>1985</v>
      </c>
      <c r="G1053" s="70" t="s">
        <v>159</v>
      </c>
      <c r="H1053" s="70" t="str">
        <f t="shared" si="33"/>
        <v>HAR</v>
      </c>
    </row>
    <row r="1054" spans="1:8" ht="15" x14ac:dyDescent="0.25">
      <c r="A1054" s="88" t="s">
        <v>1863</v>
      </c>
      <c r="B1054" s="88">
        <v>1986</v>
      </c>
      <c r="C1054" s="89" t="s">
        <v>1989</v>
      </c>
      <c r="D1054" s="88" t="s">
        <v>160</v>
      </c>
      <c r="F1054" s="70">
        <f t="shared" si="32"/>
        <v>1986</v>
      </c>
      <c r="G1054" s="70" t="s">
        <v>159</v>
      </c>
      <c r="H1054" s="70" t="str">
        <f t="shared" si="33"/>
        <v>HAR</v>
      </c>
    </row>
    <row r="1055" spans="1:8" ht="15" x14ac:dyDescent="0.25">
      <c r="A1055" s="88" t="s">
        <v>1863</v>
      </c>
      <c r="B1055" s="88">
        <v>1986</v>
      </c>
      <c r="C1055" s="89" t="s">
        <v>1988</v>
      </c>
      <c r="D1055" s="88" t="s">
        <v>160</v>
      </c>
      <c r="F1055" s="70">
        <f t="shared" si="32"/>
        <v>1986</v>
      </c>
      <c r="G1055" s="70" t="s">
        <v>159</v>
      </c>
      <c r="H1055" s="70" t="str">
        <f t="shared" si="33"/>
        <v>HAR</v>
      </c>
    </row>
    <row r="1056" spans="1:8" ht="15" x14ac:dyDescent="0.25">
      <c r="A1056" s="88" t="s">
        <v>1863</v>
      </c>
      <c r="B1056" s="88">
        <v>1986</v>
      </c>
      <c r="C1056" s="89" t="s">
        <v>1987</v>
      </c>
      <c r="D1056" s="88" t="s">
        <v>160</v>
      </c>
      <c r="F1056" s="70">
        <f t="shared" si="32"/>
        <v>1986</v>
      </c>
      <c r="G1056" s="70" t="s">
        <v>159</v>
      </c>
      <c r="H1056" s="70" t="str">
        <f t="shared" si="33"/>
        <v>HAR</v>
      </c>
    </row>
    <row r="1057" spans="1:8" ht="15" x14ac:dyDescent="0.25">
      <c r="A1057" s="88" t="s">
        <v>1863</v>
      </c>
      <c r="B1057" s="88">
        <v>1986</v>
      </c>
      <c r="C1057" s="89" t="s">
        <v>1986</v>
      </c>
      <c r="D1057" s="88" t="s">
        <v>160</v>
      </c>
      <c r="F1057" s="70">
        <f t="shared" si="32"/>
        <v>1986</v>
      </c>
      <c r="G1057" s="70" t="s">
        <v>159</v>
      </c>
      <c r="H1057" s="70" t="str">
        <f t="shared" si="33"/>
        <v>HAR</v>
      </c>
    </row>
    <row r="1058" spans="1:8" ht="15" x14ac:dyDescent="0.25">
      <c r="A1058" s="88" t="s">
        <v>1863</v>
      </c>
      <c r="B1058" s="88">
        <v>1986</v>
      </c>
      <c r="C1058" s="89" t="s">
        <v>1985</v>
      </c>
      <c r="D1058" s="88" t="s">
        <v>160</v>
      </c>
      <c r="F1058" s="70">
        <f t="shared" si="32"/>
        <v>1986</v>
      </c>
      <c r="G1058" s="70" t="s">
        <v>159</v>
      </c>
      <c r="H1058" s="70" t="str">
        <f t="shared" si="33"/>
        <v>HAR</v>
      </c>
    </row>
    <row r="1059" spans="1:8" ht="15" x14ac:dyDescent="0.25">
      <c r="A1059" s="88" t="s">
        <v>1863</v>
      </c>
      <c r="B1059" s="88">
        <v>1986</v>
      </c>
      <c r="C1059" s="89" t="s">
        <v>1984</v>
      </c>
      <c r="D1059" s="88" t="s">
        <v>160</v>
      </c>
      <c r="F1059" s="70">
        <f t="shared" si="32"/>
        <v>1986</v>
      </c>
      <c r="G1059" s="70" t="s">
        <v>159</v>
      </c>
      <c r="H1059" s="70" t="str">
        <f t="shared" si="33"/>
        <v>HAR</v>
      </c>
    </row>
    <row r="1060" spans="1:8" ht="15" x14ac:dyDescent="0.25">
      <c r="A1060" s="88" t="s">
        <v>1863</v>
      </c>
      <c r="B1060" s="88">
        <v>1986</v>
      </c>
      <c r="C1060" s="89" t="s">
        <v>1983</v>
      </c>
      <c r="D1060" s="88" t="s">
        <v>160</v>
      </c>
      <c r="F1060" s="70">
        <f t="shared" si="32"/>
        <v>1986</v>
      </c>
      <c r="G1060" s="70" t="s">
        <v>159</v>
      </c>
      <c r="H1060" s="70" t="str">
        <f t="shared" si="33"/>
        <v>HAR</v>
      </c>
    </row>
    <row r="1061" spans="1:8" ht="15" x14ac:dyDescent="0.25">
      <c r="A1061" s="88" t="s">
        <v>1863</v>
      </c>
      <c r="B1061" s="88">
        <v>1986</v>
      </c>
      <c r="C1061" s="89" t="s">
        <v>1982</v>
      </c>
      <c r="D1061" s="88" t="s">
        <v>160</v>
      </c>
      <c r="F1061" s="70">
        <f t="shared" si="32"/>
        <v>1986</v>
      </c>
      <c r="G1061" s="70" t="s">
        <v>159</v>
      </c>
      <c r="H1061" s="70" t="str">
        <f t="shared" si="33"/>
        <v>HAR</v>
      </c>
    </row>
    <row r="1062" spans="1:8" ht="15" x14ac:dyDescent="0.25">
      <c r="A1062" s="88" t="s">
        <v>1863</v>
      </c>
      <c r="B1062" s="88">
        <v>1987</v>
      </c>
      <c r="C1062" s="89" t="s">
        <v>1981</v>
      </c>
      <c r="D1062" s="88" t="s">
        <v>160</v>
      </c>
      <c r="F1062" s="70">
        <f t="shared" si="32"/>
        <v>1987</v>
      </c>
      <c r="G1062" s="70" t="s">
        <v>159</v>
      </c>
      <c r="H1062" s="70" t="str">
        <f t="shared" si="33"/>
        <v>HAR</v>
      </c>
    </row>
    <row r="1063" spans="1:8" ht="15" x14ac:dyDescent="0.25">
      <c r="A1063" s="88" t="s">
        <v>1863</v>
      </c>
      <c r="B1063" s="88">
        <v>1987</v>
      </c>
      <c r="C1063" s="89" t="s">
        <v>1980</v>
      </c>
      <c r="D1063" s="88" t="s">
        <v>160</v>
      </c>
      <c r="F1063" s="70">
        <f t="shared" si="32"/>
        <v>1987</v>
      </c>
      <c r="G1063" s="70" t="s">
        <v>159</v>
      </c>
      <c r="H1063" s="70" t="str">
        <f t="shared" si="33"/>
        <v>HAR</v>
      </c>
    </row>
    <row r="1064" spans="1:8" ht="15" x14ac:dyDescent="0.25">
      <c r="A1064" s="88" t="s">
        <v>1863</v>
      </c>
      <c r="B1064" s="88">
        <v>1987</v>
      </c>
      <c r="C1064" s="89" t="s">
        <v>1979</v>
      </c>
      <c r="D1064" s="88" t="s">
        <v>160</v>
      </c>
      <c r="F1064" s="70">
        <f t="shared" si="32"/>
        <v>1987</v>
      </c>
      <c r="G1064" s="70" t="s">
        <v>159</v>
      </c>
      <c r="H1064" s="70" t="str">
        <f t="shared" si="33"/>
        <v>HAR</v>
      </c>
    </row>
    <row r="1065" spans="1:8" ht="15" x14ac:dyDescent="0.25">
      <c r="A1065" s="88" t="s">
        <v>1863</v>
      </c>
      <c r="B1065" s="88">
        <v>1987</v>
      </c>
      <c r="C1065" s="89" t="s">
        <v>1978</v>
      </c>
      <c r="D1065" s="88" t="s">
        <v>160</v>
      </c>
      <c r="F1065" s="70">
        <f t="shared" si="32"/>
        <v>1987</v>
      </c>
      <c r="G1065" s="70" t="s">
        <v>159</v>
      </c>
      <c r="H1065" s="70" t="str">
        <f t="shared" si="33"/>
        <v>HAR</v>
      </c>
    </row>
    <row r="1066" spans="1:8" ht="15" x14ac:dyDescent="0.25">
      <c r="A1066" s="88" t="s">
        <v>1863</v>
      </c>
      <c r="B1066" s="88">
        <v>1988</v>
      </c>
      <c r="C1066" s="89" t="s">
        <v>1977</v>
      </c>
      <c r="D1066" s="88" t="s">
        <v>160</v>
      </c>
      <c r="F1066" s="70">
        <f t="shared" si="32"/>
        <v>1988</v>
      </c>
      <c r="G1066" s="70" t="s">
        <v>159</v>
      </c>
      <c r="H1066" s="70" t="str">
        <f t="shared" si="33"/>
        <v>HAR</v>
      </c>
    </row>
    <row r="1067" spans="1:8" ht="15" x14ac:dyDescent="0.25">
      <c r="A1067" s="88" t="s">
        <v>1863</v>
      </c>
      <c r="B1067" s="88">
        <v>1988</v>
      </c>
      <c r="C1067" s="89" t="s">
        <v>1976</v>
      </c>
      <c r="D1067" s="88" t="s">
        <v>160</v>
      </c>
      <c r="F1067" s="70">
        <f t="shared" si="32"/>
        <v>1988</v>
      </c>
      <c r="G1067" s="70" t="s">
        <v>159</v>
      </c>
      <c r="H1067" s="70" t="str">
        <f t="shared" si="33"/>
        <v>HAR</v>
      </c>
    </row>
    <row r="1068" spans="1:8" ht="15" x14ac:dyDescent="0.25">
      <c r="A1068" s="88" t="s">
        <v>1863</v>
      </c>
      <c r="B1068" s="88">
        <v>1989</v>
      </c>
      <c r="C1068" s="89" t="s">
        <v>1975</v>
      </c>
      <c r="D1068" s="88" t="s">
        <v>160</v>
      </c>
      <c r="F1068" s="70">
        <f t="shared" si="32"/>
        <v>1989</v>
      </c>
      <c r="G1068" s="70" t="s">
        <v>159</v>
      </c>
      <c r="H1068" s="70" t="str">
        <f t="shared" si="33"/>
        <v>HAR</v>
      </c>
    </row>
    <row r="1069" spans="1:8" ht="15" x14ac:dyDescent="0.25">
      <c r="A1069" s="88" t="s">
        <v>1863</v>
      </c>
      <c r="B1069" s="88">
        <v>1989</v>
      </c>
      <c r="C1069" s="89" t="s">
        <v>1974</v>
      </c>
      <c r="D1069" s="88" t="s">
        <v>160</v>
      </c>
      <c r="F1069" s="70">
        <f t="shared" si="32"/>
        <v>1989</v>
      </c>
      <c r="G1069" s="70" t="s">
        <v>159</v>
      </c>
      <c r="H1069" s="70" t="str">
        <f t="shared" si="33"/>
        <v>HAR</v>
      </c>
    </row>
    <row r="1070" spans="1:8" ht="15" x14ac:dyDescent="0.25">
      <c r="A1070" s="88" t="s">
        <v>1863</v>
      </c>
      <c r="B1070" s="88">
        <v>1989</v>
      </c>
      <c r="C1070" s="89" t="s">
        <v>1973</v>
      </c>
      <c r="D1070" s="88" t="s">
        <v>160</v>
      </c>
      <c r="F1070" s="70">
        <f t="shared" si="32"/>
        <v>1989</v>
      </c>
      <c r="G1070" s="70" t="s">
        <v>159</v>
      </c>
      <c r="H1070" s="70" t="str">
        <f t="shared" si="33"/>
        <v>HAR</v>
      </c>
    </row>
    <row r="1071" spans="1:8" ht="15" x14ac:dyDescent="0.25">
      <c r="A1071" s="88" t="s">
        <v>1863</v>
      </c>
      <c r="B1071" s="88">
        <v>1990</v>
      </c>
      <c r="C1071" s="89" t="s">
        <v>1972</v>
      </c>
      <c r="D1071" s="88" t="s">
        <v>160</v>
      </c>
      <c r="F1071" s="70">
        <f t="shared" si="32"/>
        <v>1990</v>
      </c>
      <c r="G1071" s="70" t="s">
        <v>159</v>
      </c>
      <c r="H1071" s="70" t="str">
        <f t="shared" si="33"/>
        <v>HAR</v>
      </c>
    </row>
    <row r="1072" spans="1:8" ht="15" x14ac:dyDescent="0.25">
      <c r="A1072" s="88" t="s">
        <v>1863</v>
      </c>
      <c r="B1072" s="88">
        <v>1990</v>
      </c>
      <c r="C1072" s="89" t="s">
        <v>1971</v>
      </c>
      <c r="D1072" s="88" t="s">
        <v>160</v>
      </c>
      <c r="F1072" s="70">
        <f t="shared" si="32"/>
        <v>1990</v>
      </c>
      <c r="G1072" s="70" t="s">
        <v>159</v>
      </c>
      <c r="H1072" s="70" t="str">
        <f t="shared" si="33"/>
        <v>HAR</v>
      </c>
    </row>
    <row r="1073" spans="1:8" ht="15" x14ac:dyDescent="0.25">
      <c r="A1073" s="88" t="s">
        <v>1863</v>
      </c>
      <c r="B1073" s="88">
        <v>1991</v>
      </c>
      <c r="C1073" s="89" t="s">
        <v>1970</v>
      </c>
      <c r="D1073" s="88" t="s">
        <v>160</v>
      </c>
      <c r="F1073" s="70">
        <f t="shared" si="32"/>
        <v>1991</v>
      </c>
      <c r="G1073" s="70" t="s">
        <v>159</v>
      </c>
      <c r="H1073" s="70" t="str">
        <f t="shared" si="33"/>
        <v>HAR</v>
      </c>
    </row>
    <row r="1074" spans="1:8" ht="15" x14ac:dyDescent="0.25">
      <c r="A1074" s="88" t="s">
        <v>1863</v>
      </c>
      <c r="B1074" s="88">
        <v>1991</v>
      </c>
      <c r="C1074" s="89" t="s">
        <v>1969</v>
      </c>
      <c r="D1074" s="88" t="s">
        <v>160</v>
      </c>
      <c r="F1074" s="70">
        <f t="shared" si="32"/>
        <v>1991</v>
      </c>
      <c r="G1074" s="70" t="s">
        <v>159</v>
      </c>
      <c r="H1074" s="70" t="str">
        <f t="shared" si="33"/>
        <v>HAR</v>
      </c>
    </row>
    <row r="1075" spans="1:8" ht="15" x14ac:dyDescent="0.25">
      <c r="A1075" s="88" t="s">
        <v>1863</v>
      </c>
      <c r="B1075" s="88">
        <v>1992</v>
      </c>
      <c r="C1075" s="89" t="s">
        <v>1968</v>
      </c>
      <c r="D1075" s="88" t="s">
        <v>160</v>
      </c>
      <c r="F1075" s="70">
        <f t="shared" si="32"/>
        <v>1992</v>
      </c>
      <c r="G1075" s="70" t="s">
        <v>159</v>
      </c>
      <c r="H1075" s="70" t="str">
        <f t="shared" si="33"/>
        <v>HAR</v>
      </c>
    </row>
    <row r="1076" spans="1:8" ht="15" x14ac:dyDescent="0.25">
      <c r="A1076" s="88" t="s">
        <v>1863</v>
      </c>
      <c r="B1076" s="88">
        <v>1992</v>
      </c>
      <c r="C1076" s="89" t="s">
        <v>1967</v>
      </c>
      <c r="D1076" s="88" t="s">
        <v>160</v>
      </c>
      <c r="F1076" s="70">
        <f t="shared" si="32"/>
        <v>1992</v>
      </c>
      <c r="G1076" s="70" t="s">
        <v>159</v>
      </c>
      <c r="H1076" s="70" t="str">
        <f t="shared" si="33"/>
        <v>HAR</v>
      </c>
    </row>
    <row r="1077" spans="1:8" ht="15" x14ac:dyDescent="0.25">
      <c r="A1077" s="88" t="s">
        <v>1863</v>
      </c>
      <c r="B1077" s="88">
        <v>1992</v>
      </c>
      <c r="C1077" s="89" t="s">
        <v>1966</v>
      </c>
      <c r="D1077" s="88" t="s">
        <v>160</v>
      </c>
      <c r="F1077" s="70">
        <f t="shared" si="32"/>
        <v>1992</v>
      </c>
      <c r="G1077" s="70" t="s">
        <v>159</v>
      </c>
      <c r="H1077" s="70" t="str">
        <f t="shared" si="33"/>
        <v>HAR</v>
      </c>
    </row>
    <row r="1078" spans="1:8" ht="15" x14ac:dyDescent="0.25">
      <c r="A1078" s="88" t="s">
        <v>1863</v>
      </c>
      <c r="B1078" s="88">
        <v>1993</v>
      </c>
      <c r="C1078" s="89" t="s">
        <v>1965</v>
      </c>
      <c r="D1078" s="88" t="s">
        <v>160</v>
      </c>
      <c r="F1078" s="70">
        <f t="shared" si="32"/>
        <v>1993</v>
      </c>
      <c r="G1078" s="70" t="s">
        <v>159</v>
      </c>
      <c r="H1078" s="70" t="str">
        <f t="shared" si="33"/>
        <v>HAR</v>
      </c>
    </row>
    <row r="1079" spans="1:8" ht="15" x14ac:dyDescent="0.25">
      <c r="A1079" s="88" t="s">
        <v>1863</v>
      </c>
      <c r="B1079" s="88">
        <v>1993</v>
      </c>
      <c r="C1079" s="89" t="s">
        <v>1964</v>
      </c>
      <c r="D1079" s="88" t="s">
        <v>160</v>
      </c>
      <c r="F1079" s="70">
        <f t="shared" si="32"/>
        <v>1993</v>
      </c>
      <c r="G1079" s="70" t="s">
        <v>159</v>
      </c>
      <c r="H1079" s="70" t="str">
        <f t="shared" si="33"/>
        <v>HAR</v>
      </c>
    </row>
    <row r="1080" spans="1:8" ht="15" x14ac:dyDescent="0.25">
      <c r="A1080" s="88" t="s">
        <v>1863</v>
      </c>
      <c r="B1080" s="88">
        <v>1993</v>
      </c>
      <c r="C1080" s="89" t="s">
        <v>1963</v>
      </c>
      <c r="D1080" s="88" t="s">
        <v>160</v>
      </c>
      <c r="F1080" s="70">
        <f t="shared" si="32"/>
        <v>1993</v>
      </c>
      <c r="G1080" s="70" t="s">
        <v>159</v>
      </c>
      <c r="H1080" s="70" t="str">
        <f t="shared" si="33"/>
        <v>HAR</v>
      </c>
    </row>
    <row r="1081" spans="1:8" ht="15" x14ac:dyDescent="0.25">
      <c r="A1081" s="88" t="s">
        <v>1863</v>
      </c>
      <c r="B1081" s="88">
        <v>1994</v>
      </c>
      <c r="C1081" s="89" t="s">
        <v>1962</v>
      </c>
      <c r="D1081" s="88" t="s">
        <v>160</v>
      </c>
      <c r="F1081" s="70">
        <f t="shared" si="32"/>
        <v>1994</v>
      </c>
      <c r="G1081" s="70" t="s">
        <v>159</v>
      </c>
      <c r="H1081" s="70" t="str">
        <f t="shared" si="33"/>
        <v>HAR</v>
      </c>
    </row>
    <row r="1082" spans="1:8" ht="15" x14ac:dyDescent="0.25">
      <c r="A1082" s="88" t="s">
        <v>1863</v>
      </c>
      <c r="B1082" s="88">
        <v>1994</v>
      </c>
      <c r="C1082" s="89" t="s">
        <v>1961</v>
      </c>
      <c r="D1082" s="88" t="s">
        <v>160</v>
      </c>
      <c r="F1082" s="70">
        <f t="shared" si="32"/>
        <v>1994</v>
      </c>
      <c r="G1082" s="70" t="s">
        <v>159</v>
      </c>
      <c r="H1082" s="70" t="str">
        <f t="shared" si="33"/>
        <v>HAR</v>
      </c>
    </row>
    <row r="1083" spans="1:8" ht="15" x14ac:dyDescent="0.25">
      <c r="A1083" s="88" t="s">
        <v>1863</v>
      </c>
      <c r="B1083" s="88">
        <v>1994</v>
      </c>
      <c r="C1083" s="89" t="s">
        <v>1960</v>
      </c>
      <c r="D1083" s="88" t="s">
        <v>160</v>
      </c>
      <c r="F1083" s="70">
        <f t="shared" si="32"/>
        <v>1994</v>
      </c>
      <c r="G1083" s="70" t="s">
        <v>159</v>
      </c>
      <c r="H1083" s="70" t="str">
        <f t="shared" si="33"/>
        <v>HAR</v>
      </c>
    </row>
    <row r="1084" spans="1:8" ht="15" x14ac:dyDescent="0.25">
      <c r="A1084" s="88" t="s">
        <v>1863</v>
      </c>
      <c r="B1084" s="88">
        <v>1995</v>
      </c>
      <c r="C1084" s="89" t="s">
        <v>1959</v>
      </c>
      <c r="D1084" s="88" t="s">
        <v>160</v>
      </c>
      <c r="F1084" s="70">
        <f t="shared" si="32"/>
        <v>1995</v>
      </c>
      <c r="G1084" s="70" t="s">
        <v>159</v>
      </c>
      <c r="H1084" s="70" t="str">
        <f t="shared" si="33"/>
        <v>HAR</v>
      </c>
    </row>
    <row r="1085" spans="1:8" ht="15" x14ac:dyDescent="0.25">
      <c r="A1085" s="88" t="s">
        <v>1863</v>
      </c>
      <c r="B1085" s="88">
        <v>1995</v>
      </c>
      <c r="C1085" s="89" t="s">
        <v>1958</v>
      </c>
      <c r="D1085" s="88" t="s">
        <v>160</v>
      </c>
      <c r="F1085" s="70">
        <f t="shared" si="32"/>
        <v>1995</v>
      </c>
      <c r="G1085" s="70" t="s">
        <v>159</v>
      </c>
      <c r="H1085" s="70" t="str">
        <f t="shared" si="33"/>
        <v>HAR</v>
      </c>
    </row>
    <row r="1086" spans="1:8" ht="15" x14ac:dyDescent="0.25">
      <c r="A1086" s="88" t="s">
        <v>1863</v>
      </c>
      <c r="B1086" s="88">
        <v>1995</v>
      </c>
      <c r="C1086" s="89" t="s">
        <v>1957</v>
      </c>
      <c r="D1086" s="88" t="s">
        <v>160</v>
      </c>
      <c r="F1086" s="70">
        <f t="shared" si="32"/>
        <v>1995</v>
      </c>
      <c r="G1086" s="70" t="s">
        <v>159</v>
      </c>
      <c r="H1086" s="70" t="str">
        <f t="shared" si="33"/>
        <v>HAR</v>
      </c>
    </row>
    <row r="1087" spans="1:8" ht="15" x14ac:dyDescent="0.25">
      <c r="A1087" s="88" t="s">
        <v>1863</v>
      </c>
      <c r="B1087" s="88">
        <v>1996</v>
      </c>
      <c r="C1087" s="89" t="s">
        <v>1956</v>
      </c>
      <c r="D1087" s="88" t="s">
        <v>160</v>
      </c>
      <c r="F1087" s="70">
        <f t="shared" si="32"/>
        <v>1996</v>
      </c>
      <c r="G1087" s="70" t="s">
        <v>159</v>
      </c>
      <c r="H1087" s="70" t="str">
        <f t="shared" si="33"/>
        <v>HAR</v>
      </c>
    </row>
    <row r="1088" spans="1:8" ht="15" x14ac:dyDescent="0.25">
      <c r="A1088" s="88" t="s">
        <v>1863</v>
      </c>
      <c r="B1088" s="88">
        <v>1996</v>
      </c>
      <c r="C1088" s="89" t="s">
        <v>1955</v>
      </c>
      <c r="D1088" s="88" t="s">
        <v>160</v>
      </c>
      <c r="F1088" s="70">
        <f t="shared" si="32"/>
        <v>1996</v>
      </c>
      <c r="G1088" s="70" t="s">
        <v>159</v>
      </c>
      <c r="H1088" s="70" t="str">
        <f t="shared" si="33"/>
        <v>HAR</v>
      </c>
    </row>
    <row r="1089" spans="1:8" ht="15" x14ac:dyDescent="0.25">
      <c r="A1089" s="88" t="s">
        <v>1863</v>
      </c>
      <c r="B1089" s="88">
        <v>1996</v>
      </c>
      <c r="C1089" s="89" t="s">
        <v>1954</v>
      </c>
      <c r="D1089" s="88" t="s">
        <v>160</v>
      </c>
      <c r="F1089" s="70">
        <f t="shared" si="32"/>
        <v>1996</v>
      </c>
      <c r="G1089" s="70" t="s">
        <v>159</v>
      </c>
      <c r="H1089" s="70" t="str">
        <f t="shared" si="33"/>
        <v>HAR</v>
      </c>
    </row>
    <row r="1090" spans="1:8" ht="15" x14ac:dyDescent="0.25">
      <c r="A1090" s="88" t="s">
        <v>1863</v>
      </c>
      <c r="B1090" s="88">
        <v>1997</v>
      </c>
      <c r="C1090" s="89" t="s">
        <v>1953</v>
      </c>
      <c r="D1090" s="88" t="s">
        <v>160</v>
      </c>
      <c r="F1090" s="70">
        <f t="shared" si="32"/>
        <v>1997</v>
      </c>
      <c r="G1090" s="70" t="s">
        <v>159</v>
      </c>
      <c r="H1090" s="70" t="str">
        <f t="shared" si="33"/>
        <v>HAR</v>
      </c>
    </row>
    <row r="1091" spans="1:8" ht="15" x14ac:dyDescent="0.25">
      <c r="A1091" s="88" t="s">
        <v>1863</v>
      </c>
      <c r="B1091" s="88">
        <v>1997</v>
      </c>
      <c r="C1091" s="89" t="s">
        <v>1952</v>
      </c>
      <c r="D1091" s="88" t="s">
        <v>160</v>
      </c>
      <c r="F1091" s="70">
        <f t="shared" si="32"/>
        <v>1997</v>
      </c>
      <c r="G1091" s="70" t="s">
        <v>159</v>
      </c>
      <c r="H1091" s="70" t="str">
        <f t="shared" si="33"/>
        <v>HAR</v>
      </c>
    </row>
    <row r="1092" spans="1:8" ht="15" x14ac:dyDescent="0.25">
      <c r="A1092" s="88" t="s">
        <v>1863</v>
      </c>
      <c r="B1092" s="88">
        <v>1997</v>
      </c>
      <c r="C1092" s="89" t="s">
        <v>1951</v>
      </c>
      <c r="D1092" s="88" t="s">
        <v>160</v>
      </c>
      <c r="F1092" s="70">
        <f t="shared" si="32"/>
        <v>1997</v>
      </c>
      <c r="G1092" s="70" t="s">
        <v>159</v>
      </c>
      <c r="H1092" s="70" t="str">
        <f t="shared" si="33"/>
        <v>HAR</v>
      </c>
    </row>
    <row r="1093" spans="1:8" ht="15" x14ac:dyDescent="0.25">
      <c r="A1093" s="88" t="s">
        <v>1863</v>
      </c>
      <c r="B1093" s="88">
        <v>1998</v>
      </c>
      <c r="C1093" s="89" t="s">
        <v>1950</v>
      </c>
      <c r="D1093" s="88" t="s">
        <v>160</v>
      </c>
      <c r="F1093" s="70">
        <f t="shared" si="32"/>
        <v>1998</v>
      </c>
      <c r="G1093" s="70" t="s">
        <v>159</v>
      </c>
      <c r="H1093" s="70" t="str">
        <f t="shared" si="33"/>
        <v>HAR</v>
      </c>
    </row>
    <row r="1094" spans="1:8" ht="15" x14ac:dyDescent="0.25">
      <c r="A1094" s="88" t="s">
        <v>1863</v>
      </c>
      <c r="B1094" s="88">
        <v>1998</v>
      </c>
      <c r="C1094" s="89" t="s">
        <v>1949</v>
      </c>
      <c r="D1094" s="88" t="s">
        <v>160</v>
      </c>
      <c r="F1094" s="70">
        <f t="shared" si="32"/>
        <v>1998</v>
      </c>
      <c r="G1094" s="70" t="s">
        <v>159</v>
      </c>
      <c r="H1094" s="70" t="str">
        <f t="shared" si="33"/>
        <v>HAR</v>
      </c>
    </row>
    <row r="1095" spans="1:8" ht="15" x14ac:dyDescent="0.25">
      <c r="A1095" s="88" t="s">
        <v>1863</v>
      </c>
      <c r="B1095" s="88">
        <v>1998</v>
      </c>
      <c r="C1095" s="89" t="s">
        <v>1948</v>
      </c>
      <c r="D1095" s="88" t="s">
        <v>160</v>
      </c>
      <c r="F1095" s="70">
        <f t="shared" si="32"/>
        <v>1998</v>
      </c>
      <c r="G1095" s="70" t="s">
        <v>159</v>
      </c>
      <c r="H1095" s="70" t="str">
        <f t="shared" si="33"/>
        <v>HAR</v>
      </c>
    </row>
    <row r="1096" spans="1:8" ht="15" x14ac:dyDescent="0.25">
      <c r="A1096" s="88" t="s">
        <v>1863</v>
      </c>
      <c r="B1096" s="88">
        <v>1998</v>
      </c>
      <c r="C1096" s="89" t="s">
        <v>1947</v>
      </c>
      <c r="D1096" s="88" t="s">
        <v>160</v>
      </c>
      <c r="F1096" s="70">
        <f t="shared" ref="F1096:F1159" si="34">+B1096</f>
        <v>1998</v>
      </c>
      <c r="G1096" s="70" t="s">
        <v>159</v>
      </c>
      <c r="H1096" s="70" t="str">
        <f t="shared" ref="H1096:H1159" si="35">A1096</f>
        <v>HAR</v>
      </c>
    </row>
    <row r="1097" spans="1:8" ht="15" x14ac:dyDescent="0.25">
      <c r="A1097" s="88" t="s">
        <v>1863</v>
      </c>
      <c r="B1097" s="88">
        <v>1998</v>
      </c>
      <c r="C1097" s="89" t="s">
        <v>1946</v>
      </c>
      <c r="D1097" s="88" t="s">
        <v>160</v>
      </c>
      <c r="F1097" s="70">
        <f t="shared" si="34"/>
        <v>1998</v>
      </c>
      <c r="G1097" s="70" t="s">
        <v>159</v>
      </c>
      <c r="H1097" s="70" t="str">
        <f t="shared" si="35"/>
        <v>HAR</v>
      </c>
    </row>
    <row r="1098" spans="1:8" ht="15" x14ac:dyDescent="0.25">
      <c r="A1098" s="88" t="s">
        <v>1863</v>
      </c>
      <c r="B1098" s="88">
        <v>1999</v>
      </c>
      <c r="C1098" s="89" t="s">
        <v>1945</v>
      </c>
      <c r="D1098" s="88" t="s">
        <v>160</v>
      </c>
      <c r="F1098" s="70">
        <f t="shared" si="34"/>
        <v>1999</v>
      </c>
      <c r="G1098" s="70" t="s">
        <v>159</v>
      </c>
      <c r="H1098" s="70" t="str">
        <f t="shared" si="35"/>
        <v>HAR</v>
      </c>
    </row>
    <row r="1099" spans="1:8" ht="15" x14ac:dyDescent="0.25">
      <c r="A1099" s="88" t="s">
        <v>1863</v>
      </c>
      <c r="B1099" s="88">
        <v>1999</v>
      </c>
      <c r="C1099" s="89" t="s">
        <v>1944</v>
      </c>
      <c r="D1099" s="88" t="s">
        <v>160</v>
      </c>
      <c r="F1099" s="70">
        <f t="shared" si="34"/>
        <v>1999</v>
      </c>
      <c r="G1099" s="70" t="s">
        <v>159</v>
      </c>
      <c r="H1099" s="70" t="str">
        <f t="shared" si="35"/>
        <v>HAR</v>
      </c>
    </row>
    <row r="1100" spans="1:8" ht="15" x14ac:dyDescent="0.25">
      <c r="A1100" s="88" t="s">
        <v>1863</v>
      </c>
      <c r="B1100" s="88">
        <v>1999</v>
      </c>
      <c r="C1100" s="89" t="s">
        <v>1943</v>
      </c>
      <c r="D1100" s="88" t="s">
        <v>160</v>
      </c>
      <c r="F1100" s="70">
        <f t="shared" si="34"/>
        <v>1999</v>
      </c>
      <c r="G1100" s="70" t="s">
        <v>159</v>
      </c>
      <c r="H1100" s="70" t="str">
        <f t="shared" si="35"/>
        <v>HAR</v>
      </c>
    </row>
    <row r="1101" spans="1:8" ht="15" x14ac:dyDescent="0.25">
      <c r="A1101" s="88" t="s">
        <v>1863</v>
      </c>
      <c r="B1101" s="88">
        <v>1999</v>
      </c>
      <c r="C1101" s="89" t="s">
        <v>1942</v>
      </c>
      <c r="D1101" s="88" t="s">
        <v>160</v>
      </c>
      <c r="F1101" s="70">
        <f t="shared" si="34"/>
        <v>1999</v>
      </c>
      <c r="G1101" s="70" t="s">
        <v>159</v>
      </c>
      <c r="H1101" s="70" t="str">
        <f t="shared" si="35"/>
        <v>HAR</v>
      </c>
    </row>
    <row r="1102" spans="1:8" ht="15" x14ac:dyDescent="0.25">
      <c r="A1102" s="88" t="s">
        <v>1863</v>
      </c>
      <c r="B1102" s="88">
        <v>2000</v>
      </c>
      <c r="C1102" s="89" t="s">
        <v>1941</v>
      </c>
      <c r="D1102" s="88" t="s">
        <v>160</v>
      </c>
      <c r="F1102" s="70">
        <f t="shared" si="34"/>
        <v>2000</v>
      </c>
      <c r="G1102" s="70" t="s">
        <v>159</v>
      </c>
      <c r="H1102" s="70" t="str">
        <f t="shared" si="35"/>
        <v>HAR</v>
      </c>
    </row>
    <row r="1103" spans="1:8" ht="15" x14ac:dyDescent="0.25">
      <c r="A1103" s="88" t="s">
        <v>1863</v>
      </c>
      <c r="B1103" s="88">
        <v>2000</v>
      </c>
      <c r="C1103" s="89" t="s">
        <v>1940</v>
      </c>
      <c r="D1103" s="88" t="s">
        <v>160</v>
      </c>
      <c r="F1103" s="70">
        <f t="shared" si="34"/>
        <v>2000</v>
      </c>
      <c r="G1103" s="70" t="s">
        <v>159</v>
      </c>
      <c r="H1103" s="70" t="str">
        <f t="shared" si="35"/>
        <v>HAR</v>
      </c>
    </row>
    <row r="1104" spans="1:8" ht="15" x14ac:dyDescent="0.25">
      <c r="A1104" s="88" t="s">
        <v>1863</v>
      </c>
      <c r="B1104" s="88">
        <v>2001</v>
      </c>
      <c r="C1104" s="89" t="s">
        <v>1939</v>
      </c>
      <c r="D1104" s="88" t="s">
        <v>160</v>
      </c>
      <c r="F1104" s="70">
        <f t="shared" si="34"/>
        <v>2001</v>
      </c>
      <c r="G1104" s="70" t="s">
        <v>159</v>
      </c>
      <c r="H1104" s="70" t="str">
        <f t="shared" si="35"/>
        <v>HAR</v>
      </c>
    </row>
    <row r="1105" spans="1:8" ht="15" x14ac:dyDescent="0.25">
      <c r="A1105" s="88" t="s">
        <v>1863</v>
      </c>
      <c r="B1105" s="88">
        <v>2001</v>
      </c>
      <c r="C1105" s="89" t="s">
        <v>1938</v>
      </c>
      <c r="D1105" s="88" t="s">
        <v>160</v>
      </c>
      <c r="F1105" s="70">
        <f t="shared" si="34"/>
        <v>2001</v>
      </c>
      <c r="G1105" s="70" t="s">
        <v>159</v>
      </c>
      <c r="H1105" s="70" t="str">
        <f t="shared" si="35"/>
        <v>HAR</v>
      </c>
    </row>
    <row r="1106" spans="1:8" ht="15" x14ac:dyDescent="0.25">
      <c r="A1106" s="88" t="s">
        <v>1863</v>
      </c>
      <c r="B1106" s="88">
        <v>2002</v>
      </c>
      <c r="C1106" s="89" t="s">
        <v>1937</v>
      </c>
      <c r="D1106" s="88" t="s">
        <v>160</v>
      </c>
      <c r="F1106" s="70">
        <f t="shared" si="34"/>
        <v>2002</v>
      </c>
      <c r="G1106" s="70" t="s">
        <v>159</v>
      </c>
      <c r="H1106" s="70" t="str">
        <f t="shared" si="35"/>
        <v>HAR</v>
      </c>
    </row>
    <row r="1107" spans="1:8" ht="15" x14ac:dyDescent="0.25">
      <c r="A1107" s="88" t="s">
        <v>1863</v>
      </c>
      <c r="B1107" s="88">
        <v>2002</v>
      </c>
      <c r="C1107" s="89" t="s">
        <v>1936</v>
      </c>
      <c r="D1107" s="88" t="s">
        <v>160</v>
      </c>
      <c r="F1107" s="70">
        <f t="shared" si="34"/>
        <v>2002</v>
      </c>
      <c r="G1107" s="70" t="s">
        <v>159</v>
      </c>
      <c r="H1107" s="70" t="str">
        <f t="shared" si="35"/>
        <v>HAR</v>
      </c>
    </row>
    <row r="1108" spans="1:8" ht="15" x14ac:dyDescent="0.25">
      <c r="A1108" s="88" t="s">
        <v>1863</v>
      </c>
      <c r="B1108" s="88">
        <v>2003</v>
      </c>
      <c r="C1108" s="89" t="s">
        <v>1935</v>
      </c>
      <c r="D1108" s="88" t="s">
        <v>160</v>
      </c>
      <c r="F1108" s="70">
        <f t="shared" si="34"/>
        <v>2003</v>
      </c>
      <c r="G1108" s="70" t="s">
        <v>159</v>
      </c>
      <c r="H1108" s="70" t="str">
        <f t="shared" si="35"/>
        <v>HAR</v>
      </c>
    </row>
    <row r="1109" spans="1:8" ht="15" x14ac:dyDescent="0.25">
      <c r="A1109" s="88" t="s">
        <v>1863</v>
      </c>
      <c r="B1109" s="88">
        <v>2003</v>
      </c>
      <c r="C1109" s="89" t="s">
        <v>1934</v>
      </c>
      <c r="D1109" s="88" t="s">
        <v>160</v>
      </c>
      <c r="F1109" s="70">
        <f t="shared" si="34"/>
        <v>2003</v>
      </c>
      <c r="G1109" s="70" t="s">
        <v>159</v>
      </c>
      <c r="H1109" s="70" t="str">
        <f t="shared" si="35"/>
        <v>HAR</v>
      </c>
    </row>
    <row r="1110" spans="1:8" ht="15" x14ac:dyDescent="0.25">
      <c r="A1110" s="88" t="s">
        <v>1863</v>
      </c>
      <c r="B1110" s="88">
        <v>2005</v>
      </c>
      <c r="C1110" s="89" t="s">
        <v>1933</v>
      </c>
      <c r="D1110" s="88" t="s">
        <v>160</v>
      </c>
      <c r="F1110" s="70">
        <f t="shared" si="34"/>
        <v>2005</v>
      </c>
      <c r="G1110" s="70" t="s">
        <v>159</v>
      </c>
      <c r="H1110" s="70" t="str">
        <f t="shared" si="35"/>
        <v>HAR</v>
      </c>
    </row>
    <row r="1111" spans="1:8" ht="15" x14ac:dyDescent="0.25">
      <c r="A1111" s="88" t="s">
        <v>1863</v>
      </c>
      <c r="B1111" s="88">
        <v>2005</v>
      </c>
      <c r="C1111" s="89" t="s">
        <v>1932</v>
      </c>
      <c r="D1111" s="88" t="s">
        <v>160</v>
      </c>
      <c r="F1111" s="70">
        <f t="shared" si="34"/>
        <v>2005</v>
      </c>
      <c r="G1111" s="70" t="s">
        <v>159</v>
      </c>
      <c r="H1111" s="70" t="str">
        <f t="shared" si="35"/>
        <v>HAR</v>
      </c>
    </row>
    <row r="1112" spans="1:8" ht="15" x14ac:dyDescent="0.25">
      <c r="A1112" s="88" t="s">
        <v>1863</v>
      </c>
      <c r="B1112" s="88">
        <v>2006</v>
      </c>
      <c r="C1112" s="89" t="s">
        <v>1931</v>
      </c>
      <c r="D1112" s="88" t="s">
        <v>160</v>
      </c>
      <c r="F1112" s="70">
        <f t="shared" si="34"/>
        <v>2006</v>
      </c>
      <c r="G1112" s="70" t="s">
        <v>159</v>
      </c>
      <c r="H1112" s="70" t="str">
        <f t="shared" si="35"/>
        <v>HAR</v>
      </c>
    </row>
    <row r="1113" spans="1:8" ht="15" x14ac:dyDescent="0.25">
      <c r="A1113" s="88" t="s">
        <v>1863</v>
      </c>
      <c r="B1113" s="88">
        <v>2006</v>
      </c>
      <c r="C1113" s="89" t="s">
        <v>1930</v>
      </c>
      <c r="D1113" s="88" t="s">
        <v>160</v>
      </c>
      <c r="F1113" s="70">
        <f t="shared" si="34"/>
        <v>2006</v>
      </c>
      <c r="G1113" s="70" t="s">
        <v>159</v>
      </c>
      <c r="H1113" s="70" t="str">
        <f t="shared" si="35"/>
        <v>HAR</v>
      </c>
    </row>
    <row r="1114" spans="1:8" ht="15" x14ac:dyDescent="0.25">
      <c r="A1114" s="88" t="s">
        <v>1863</v>
      </c>
      <c r="B1114" s="88">
        <v>2006</v>
      </c>
      <c r="C1114" s="89" t="s">
        <v>1929</v>
      </c>
      <c r="D1114" s="88" t="s">
        <v>160</v>
      </c>
      <c r="F1114" s="70">
        <f t="shared" si="34"/>
        <v>2006</v>
      </c>
      <c r="G1114" s="70" t="s">
        <v>159</v>
      </c>
      <c r="H1114" s="70" t="str">
        <f t="shared" si="35"/>
        <v>HAR</v>
      </c>
    </row>
    <row r="1115" spans="1:8" ht="15" x14ac:dyDescent="0.25">
      <c r="A1115" s="88" t="s">
        <v>1863</v>
      </c>
      <c r="B1115" s="88">
        <v>2006</v>
      </c>
      <c r="C1115" s="89" t="s">
        <v>1928</v>
      </c>
      <c r="D1115" s="88" t="s">
        <v>160</v>
      </c>
      <c r="F1115" s="70">
        <f t="shared" si="34"/>
        <v>2006</v>
      </c>
      <c r="G1115" s="70" t="s">
        <v>159</v>
      </c>
      <c r="H1115" s="70" t="str">
        <f t="shared" si="35"/>
        <v>HAR</v>
      </c>
    </row>
    <row r="1116" spans="1:8" ht="15" x14ac:dyDescent="0.25">
      <c r="A1116" s="88" t="s">
        <v>1863</v>
      </c>
      <c r="B1116" s="88">
        <v>2006</v>
      </c>
      <c r="C1116" s="89" t="s">
        <v>1927</v>
      </c>
      <c r="D1116" s="88" t="s">
        <v>160</v>
      </c>
      <c r="F1116" s="70">
        <f t="shared" si="34"/>
        <v>2006</v>
      </c>
      <c r="G1116" s="70" t="s">
        <v>159</v>
      </c>
      <c r="H1116" s="70" t="str">
        <f t="shared" si="35"/>
        <v>HAR</v>
      </c>
    </row>
    <row r="1117" spans="1:8" ht="15" x14ac:dyDescent="0.25">
      <c r="A1117" s="88" t="s">
        <v>1863</v>
      </c>
      <c r="B1117" s="88">
        <v>2006</v>
      </c>
      <c r="C1117" s="89" t="s">
        <v>1926</v>
      </c>
      <c r="D1117" s="88" t="s">
        <v>160</v>
      </c>
      <c r="F1117" s="70">
        <f t="shared" si="34"/>
        <v>2006</v>
      </c>
      <c r="G1117" s="70" t="s">
        <v>159</v>
      </c>
      <c r="H1117" s="70" t="str">
        <f t="shared" si="35"/>
        <v>HAR</v>
      </c>
    </row>
    <row r="1118" spans="1:8" ht="15" x14ac:dyDescent="0.25">
      <c r="A1118" s="88" t="s">
        <v>1863</v>
      </c>
      <c r="B1118" s="88">
        <v>2006</v>
      </c>
      <c r="C1118" s="89" t="s">
        <v>1925</v>
      </c>
      <c r="D1118" s="88" t="s">
        <v>160</v>
      </c>
      <c r="F1118" s="70">
        <f t="shared" si="34"/>
        <v>2006</v>
      </c>
      <c r="G1118" s="70" t="s">
        <v>159</v>
      </c>
      <c r="H1118" s="70" t="str">
        <f t="shared" si="35"/>
        <v>HAR</v>
      </c>
    </row>
    <row r="1119" spans="1:8" ht="15" x14ac:dyDescent="0.25">
      <c r="A1119" s="88" t="s">
        <v>1863</v>
      </c>
      <c r="B1119" s="88">
        <v>2007</v>
      </c>
      <c r="C1119" s="89" t="s">
        <v>1924</v>
      </c>
      <c r="D1119" s="88" t="s">
        <v>160</v>
      </c>
      <c r="F1119" s="70">
        <f t="shared" si="34"/>
        <v>2007</v>
      </c>
      <c r="G1119" s="70" t="s">
        <v>159</v>
      </c>
      <c r="H1119" s="70" t="str">
        <f t="shared" si="35"/>
        <v>HAR</v>
      </c>
    </row>
    <row r="1120" spans="1:8" ht="15" x14ac:dyDescent="0.25">
      <c r="A1120" s="88" t="s">
        <v>1863</v>
      </c>
      <c r="B1120" s="88">
        <v>2007</v>
      </c>
      <c r="C1120" s="89" t="s">
        <v>1923</v>
      </c>
      <c r="D1120" s="88" t="s">
        <v>160</v>
      </c>
      <c r="F1120" s="70">
        <f t="shared" si="34"/>
        <v>2007</v>
      </c>
      <c r="G1120" s="70" t="s">
        <v>159</v>
      </c>
      <c r="H1120" s="70" t="str">
        <f t="shared" si="35"/>
        <v>HAR</v>
      </c>
    </row>
    <row r="1121" spans="1:8" ht="15" x14ac:dyDescent="0.25">
      <c r="A1121" s="88" t="s">
        <v>1863</v>
      </c>
      <c r="B1121" s="88">
        <v>2007</v>
      </c>
      <c r="C1121" s="89" t="s">
        <v>1922</v>
      </c>
      <c r="D1121" s="88" t="s">
        <v>160</v>
      </c>
      <c r="F1121" s="70">
        <f t="shared" si="34"/>
        <v>2007</v>
      </c>
      <c r="G1121" s="70" t="s">
        <v>159</v>
      </c>
      <c r="H1121" s="70" t="str">
        <f t="shared" si="35"/>
        <v>HAR</v>
      </c>
    </row>
    <row r="1122" spans="1:8" ht="15" x14ac:dyDescent="0.25">
      <c r="A1122" s="88" t="s">
        <v>1863</v>
      </c>
      <c r="B1122" s="88">
        <v>2007</v>
      </c>
      <c r="C1122" s="89" t="s">
        <v>1921</v>
      </c>
      <c r="D1122" s="88" t="s">
        <v>160</v>
      </c>
      <c r="F1122" s="70">
        <f t="shared" si="34"/>
        <v>2007</v>
      </c>
      <c r="G1122" s="70" t="s">
        <v>159</v>
      </c>
      <c r="H1122" s="70" t="str">
        <f t="shared" si="35"/>
        <v>HAR</v>
      </c>
    </row>
    <row r="1123" spans="1:8" ht="15" x14ac:dyDescent="0.25">
      <c r="A1123" s="88" t="s">
        <v>1863</v>
      </c>
      <c r="B1123" s="88">
        <v>2007</v>
      </c>
      <c r="C1123" s="89" t="s">
        <v>1920</v>
      </c>
      <c r="D1123" s="88" t="s">
        <v>160</v>
      </c>
      <c r="F1123" s="70">
        <f t="shared" si="34"/>
        <v>2007</v>
      </c>
      <c r="G1123" s="70" t="s">
        <v>159</v>
      </c>
      <c r="H1123" s="70" t="str">
        <f t="shared" si="35"/>
        <v>HAR</v>
      </c>
    </row>
    <row r="1124" spans="1:8" ht="15" x14ac:dyDescent="0.25">
      <c r="A1124" s="88" t="s">
        <v>1863</v>
      </c>
      <c r="B1124" s="88">
        <v>2007</v>
      </c>
      <c r="C1124" s="89" t="s">
        <v>1919</v>
      </c>
      <c r="D1124" s="88" t="s">
        <v>160</v>
      </c>
      <c r="F1124" s="70">
        <f t="shared" si="34"/>
        <v>2007</v>
      </c>
      <c r="G1124" s="70" t="s">
        <v>159</v>
      </c>
      <c r="H1124" s="70" t="str">
        <f t="shared" si="35"/>
        <v>HAR</v>
      </c>
    </row>
    <row r="1125" spans="1:8" ht="15" x14ac:dyDescent="0.25">
      <c r="A1125" s="88" t="s">
        <v>1863</v>
      </c>
      <c r="B1125" s="88">
        <v>2007</v>
      </c>
      <c r="C1125" s="89" t="s">
        <v>1918</v>
      </c>
      <c r="D1125" s="88" t="s">
        <v>160</v>
      </c>
      <c r="F1125" s="70">
        <f t="shared" si="34"/>
        <v>2007</v>
      </c>
      <c r="G1125" s="70" t="s">
        <v>159</v>
      </c>
      <c r="H1125" s="70" t="str">
        <f t="shared" si="35"/>
        <v>HAR</v>
      </c>
    </row>
    <row r="1126" spans="1:8" ht="15" x14ac:dyDescent="0.25">
      <c r="A1126" s="88" t="s">
        <v>1863</v>
      </c>
      <c r="B1126" s="88">
        <v>2007</v>
      </c>
      <c r="C1126" s="89" t="s">
        <v>1917</v>
      </c>
      <c r="D1126" s="88" t="s">
        <v>160</v>
      </c>
      <c r="F1126" s="70">
        <f t="shared" si="34"/>
        <v>2007</v>
      </c>
      <c r="G1126" s="70" t="s">
        <v>159</v>
      </c>
      <c r="H1126" s="70" t="str">
        <f t="shared" si="35"/>
        <v>HAR</v>
      </c>
    </row>
    <row r="1127" spans="1:8" ht="15" x14ac:dyDescent="0.25">
      <c r="A1127" s="88" t="s">
        <v>1863</v>
      </c>
      <c r="B1127" s="88">
        <v>2008</v>
      </c>
      <c r="C1127" s="89" t="s">
        <v>1916</v>
      </c>
      <c r="D1127" s="88" t="s">
        <v>160</v>
      </c>
      <c r="F1127" s="70">
        <f t="shared" si="34"/>
        <v>2008</v>
      </c>
      <c r="G1127" s="70" t="s">
        <v>159</v>
      </c>
      <c r="H1127" s="70" t="str">
        <f t="shared" si="35"/>
        <v>HAR</v>
      </c>
    </row>
    <row r="1128" spans="1:8" ht="15" x14ac:dyDescent="0.25">
      <c r="A1128" s="88" t="s">
        <v>1863</v>
      </c>
      <c r="B1128" s="88">
        <v>2008</v>
      </c>
      <c r="C1128" s="89" t="s">
        <v>1915</v>
      </c>
      <c r="D1128" s="88" t="s">
        <v>160</v>
      </c>
      <c r="F1128" s="70">
        <f t="shared" si="34"/>
        <v>2008</v>
      </c>
      <c r="G1128" s="70" t="s">
        <v>159</v>
      </c>
      <c r="H1128" s="70" t="str">
        <f t="shared" si="35"/>
        <v>HAR</v>
      </c>
    </row>
    <row r="1129" spans="1:8" ht="15" x14ac:dyDescent="0.25">
      <c r="A1129" s="88" t="s">
        <v>1863</v>
      </c>
      <c r="B1129" s="88">
        <v>2008</v>
      </c>
      <c r="C1129" s="89" t="s">
        <v>1914</v>
      </c>
      <c r="D1129" s="88" t="s">
        <v>160</v>
      </c>
      <c r="F1129" s="70">
        <f t="shared" si="34"/>
        <v>2008</v>
      </c>
      <c r="G1129" s="70" t="s">
        <v>159</v>
      </c>
      <c r="H1129" s="70" t="str">
        <f t="shared" si="35"/>
        <v>HAR</v>
      </c>
    </row>
    <row r="1130" spans="1:8" ht="15" x14ac:dyDescent="0.25">
      <c r="A1130" s="88" t="s">
        <v>1863</v>
      </c>
      <c r="B1130" s="88">
        <v>2008</v>
      </c>
      <c r="C1130" s="89" t="s">
        <v>1913</v>
      </c>
      <c r="D1130" s="88" t="s">
        <v>160</v>
      </c>
      <c r="F1130" s="70">
        <f t="shared" si="34"/>
        <v>2008</v>
      </c>
      <c r="G1130" s="70" t="s">
        <v>159</v>
      </c>
      <c r="H1130" s="70" t="str">
        <f t="shared" si="35"/>
        <v>HAR</v>
      </c>
    </row>
    <row r="1131" spans="1:8" ht="15" x14ac:dyDescent="0.25">
      <c r="A1131" s="88" t="s">
        <v>1863</v>
      </c>
      <c r="B1131" s="88">
        <v>2009</v>
      </c>
      <c r="C1131" s="89" t="s">
        <v>1912</v>
      </c>
      <c r="D1131" s="88" t="s">
        <v>160</v>
      </c>
      <c r="F1131" s="70">
        <f t="shared" si="34"/>
        <v>2009</v>
      </c>
      <c r="G1131" s="70" t="s">
        <v>159</v>
      </c>
      <c r="H1131" s="70" t="str">
        <f t="shared" si="35"/>
        <v>HAR</v>
      </c>
    </row>
    <row r="1132" spans="1:8" ht="15" x14ac:dyDescent="0.25">
      <c r="A1132" s="88" t="s">
        <v>1863</v>
      </c>
      <c r="B1132" s="88">
        <v>2009</v>
      </c>
      <c r="C1132" s="89" t="s">
        <v>1911</v>
      </c>
      <c r="D1132" s="88" t="s">
        <v>160</v>
      </c>
      <c r="F1132" s="70">
        <f t="shared" si="34"/>
        <v>2009</v>
      </c>
      <c r="G1132" s="70" t="s">
        <v>159</v>
      </c>
      <c r="H1132" s="70" t="str">
        <f t="shared" si="35"/>
        <v>HAR</v>
      </c>
    </row>
    <row r="1133" spans="1:8" ht="15" x14ac:dyDescent="0.25">
      <c r="A1133" s="88" t="s">
        <v>1863</v>
      </c>
      <c r="B1133" s="88">
        <v>2009</v>
      </c>
      <c r="C1133" s="89" t="s">
        <v>1910</v>
      </c>
      <c r="D1133" s="88" t="s">
        <v>160</v>
      </c>
      <c r="F1133" s="70">
        <f t="shared" si="34"/>
        <v>2009</v>
      </c>
      <c r="G1133" s="70" t="s">
        <v>159</v>
      </c>
      <c r="H1133" s="70" t="str">
        <f t="shared" si="35"/>
        <v>HAR</v>
      </c>
    </row>
    <row r="1134" spans="1:8" ht="15" x14ac:dyDescent="0.25">
      <c r="A1134" s="88" t="s">
        <v>1863</v>
      </c>
      <c r="B1134" s="88">
        <v>2009</v>
      </c>
      <c r="C1134" s="89" t="s">
        <v>1909</v>
      </c>
      <c r="D1134" s="88" t="s">
        <v>160</v>
      </c>
      <c r="F1134" s="70">
        <f t="shared" si="34"/>
        <v>2009</v>
      </c>
      <c r="G1134" s="70" t="s">
        <v>159</v>
      </c>
      <c r="H1134" s="70" t="str">
        <f t="shared" si="35"/>
        <v>HAR</v>
      </c>
    </row>
    <row r="1135" spans="1:8" ht="15" x14ac:dyDescent="0.25">
      <c r="A1135" s="88" t="s">
        <v>1863</v>
      </c>
      <c r="B1135" s="88">
        <v>2010</v>
      </c>
      <c r="C1135" s="89" t="s">
        <v>1908</v>
      </c>
      <c r="D1135" s="88" t="s">
        <v>160</v>
      </c>
      <c r="F1135" s="70">
        <f t="shared" si="34"/>
        <v>2010</v>
      </c>
      <c r="G1135" s="70" t="s">
        <v>159</v>
      </c>
      <c r="H1135" s="70" t="str">
        <f t="shared" si="35"/>
        <v>HAR</v>
      </c>
    </row>
    <row r="1136" spans="1:8" ht="15" x14ac:dyDescent="0.25">
      <c r="A1136" s="88" t="s">
        <v>1863</v>
      </c>
      <c r="B1136" s="88">
        <v>2010</v>
      </c>
      <c r="C1136" s="89" t="s">
        <v>1907</v>
      </c>
      <c r="D1136" s="88" t="s">
        <v>160</v>
      </c>
      <c r="F1136" s="70">
        <f t="shared" si="34"/>
        <v>2010</v>
      </c>
      <c r="G1136" s="70" t="s">
        <v>159</v>
      </c>
      <c r="H1136" s="70" t="str">
        <f t="shared" si="35"/>
        <v>HAR</v>
      </c>
    </row>
    <row r="1137" spans="1:8" ht="15" x14ac:dyDescent="0.25">
      <c r="A1137" s="88" t="s">
        <v>1863</v>
      </c>
      <c r="B1137" s="88">
        <v>2010</v>
      </c>
      <c r="C1137" s="89" t="s">
        <v>1906</v>
      </c>
      <c r="D1137" s="88" t="s">
        <v>160</v>
      </c>
      <c r="F1137" s="70">
        <f t="shared" si="34"/>
        <v>2010</v>
      </c>
      <c r="G1137" s="70" t="s">
        <v>159</v>
      </c>
      <c r="H1137" s="70" t="str">
        <f t="shared" si="35"/>
        <v>HAR</v>
      </c>
    </row>
    <row r="1138" spans="1:8" ht="15" x14ac:dyDescent="0.25">
      <c r="A1138" s="88" t="s">
        <v>1863</v>
      </c>
      <c r="B1138" s="88">
        <v>2010</v>
      </c>
      <c r="C1138" s="89" t="s">
        <v>1905</v>
      </c>
      <c r="D1138" s="88" t="s">
        <v>160</v>
      </c>
      <c r="F1138" s="70">
        <f t="shared" si="34"/>
        <v>2010</v>
      </c>
      <c r="G1138" s="70" t="s">
        <v>159</v>
      </c>
      <c r="H1138" s="70" t="str">
        <f t="shared" si="35"/>
        <v>HAR</v>
      </c>
    </row>
    <row r="1139" spans="1:8" ht="15" x14ac:dyDescent="0.25">
      <c r="A1139" s="88" t="s">
        <v>1863</v>
      </c>
      <c r="B1139" s="88">
        <v>2011</v>
      </c>
      <c r="C1139" s="89" t="s">
        <v>1904</v>
      </c>
      <c r="D1139" s="88" t="s">
        <v>160</v>
      </c>
      <c r="F1139" s="70">
        <f t="shared" si="34"/>
        <v>2011</v>
      </c>
      <c r="G1139" s="70" t="s">
        <v>159</v>
      </c>
      <c r="H1139" s="70" t="str">
        <f t="shared" si="35"/>
        <v>HAR</v>
      </c>
    </row>
    <row r="1140" spans="1:8" ht="15" x14ac:dyDescent="0.25">
      <c r="A1140" s="88" t="s">
        <v>1863</v>
      </c>
      <c r="B1140" s="88">
        <v>2011</v>
      </c>
      <c r="C1140" s="89" t="s">
        <v>1903</v>
      </c>
      <c r="D1140" s="88" t="s">
        <v>160</v>
      </c>
      <c r="F1140" s="70">
        <f t="shared" si="34"/>
        <v>2011</v>
      </c>
      <c r="G1140" s="70" t="s">
        <v>159</v>
      </c>
      <c r="H1140" s="70" t="str">
        <f t="shared" si="35"/>
        <v>HAR</v>
      </c>
    </row>
    <row r="1141" spans="1:8" ht="15" x14ac:dyDescent="0.25">
      <c r="A1141" s="88" t="s">
        <v>1863</v>
      </c>
      <c r="B1141" s="88">
        <v>2011</v>
      </c>
      <c r="C1141" s="89" t="s">
        <v>1902</v>
      </c>
      <c r="D1141" s="88" t="s">
        <v>160</v>
      </c>
      <c r="F1141" s="70">
        <f t="shared" si="34"/>
        <v>2011</v>
      </c>
      <c r="G1141" s="70" t="s">
        <v>159</v>
      </c>
      <c r="H1141" s="70" t="str">
        <f t="shared" si="35"/>
        <v>HAR</v>
      </c>
    </row>
    <row r="1142" spans="1:8" ht="15" x14ac:dyDescent="0.25">
      <c r="A1142" s="88" t="s">
        <v>1863</v>
      </c>
      <c r="B1142" s="88">
        <v>2011</v>
      </c>
      <c r="C1142" s="89" t="s">
        <v>1901</v>
      </c>
      <c r="D1142" s="88" t="s">
        <v>160</v>
      </c>
      <c r="F1142" s="70">
        <f t="shared" si="34"/>
        <v>2011</v>
      </c>
      <c r="G1142" s="70" t="s">
        <v>159</v>
      </c>
      <c r="H1142" s="70" t="str">
        <f t="shared" si="35"/>
        <v>HAR</v>
      </c>
    </row>
    <row r="1143" spans="1:8" ht="15" x14ac:dyDescent="0.25">
      <c r="A1143" s="88" t="s">
        <v>1863</v>
      </c>
      <c r="B1143" s="88">
        <v>2011</v>
      </c>
      <c r="C1143" s="89" t="s">
        <v>1900</v>
      </c>
      <c r="D1143" s="88" t="s">
        <v>160</v>
      </c>
      <c r="F1143" s="70">
        <f t="shared" si="34"/>
        <v>2011</v>
      </c>
      <c r="G1143" s="70" t="s">
        <v>159</v>
      </c>
      <c r="H1143" s="70" t="str">
        <f t="shared" si="35"/>
        <v>HAR</v>
      </c>
    </row>
    <row r="1144" spans="1:8" ht="15" x14ac:dyDescent="0.25">
      <c r="A1144" s="88" t="s">
        <v>1863</v>
      </c>
      <c r="B1144" s="88">
        <v>2011</v>
      </c>
      <c r="C1144" s="89" t="s">
        <v>1899</v>
      </c>
      <c r="D1144" s="88" t="s">
        <v>160</v>
      </c>
      <c r="F1144" s="70">
        <f t="shared" si="34"/>
        <v>2011</v>
      </c>
      <c r="G1144" s="70" t="s">
        <v>159</v>
      </c>
      <c r="H1144" s="70" t="str">
        <f t="shared" si="35"/>
        <v>HAR</v>
      </c>
    </row>
    <row r="1145" spans="1:8" ht="15" x14ac:dyDescent="0.25">
      <c r="A1145" s="88" t="s">
        <v>1863</v>
      </c>
      <c r="B1145" s="88">
        <v>2011</v>
      </c>
      <c r="C1145" s="89" t="s">
        <v>1898</v>
      </c>
      <c r="D1145" s="88" t="s">
        <v>160</v>
      </c>
      <c r="F1145" s="70">
        <f t="shared" si="34"/>
        <v>2011</v>
      </c>
      <c r="G1145" s="70" t="s">
        <v>159</v>
      </c>
      <c r="H1145" s="70" t="str">
        <f t="shared" si="35"/>
        <v>HAR</v>
      </c>
    </row>
    <row r="1146" spans="1:8" ht="15" x14ac:dyDescent="0.25">
      <c r="A1146" s="88" t="s">
        <v>1863</v>
      </c>
      <c r="B1146" s="88">
        <v>2012</v>
      </c>
      <c r="C1146" s="89" t="s">
        <v>1897</v>
      </c>
      <c r="D1146" s="88" t="s">
        <v>160</v>
      </c>
      <c r="F1146" s="70">
        <f t="shared" si="34"/>
        <v>2012</v>
      </c>
      <c r="G1146" s="70" t="s">
        <v>159</v>
      </c>
      <c r="H1146" s="70" t="str">
        <f t="shared" si="35"/>
        <v>HAR</v>
      </c>
    </row>
    <row r="1147" spans="1:8" ht="15" x14ac:dyDescent="0.25">
      <c r="A1147" s="88" t="s">
        <v>1863</v>
      </c>
      <c r="B1147" s="88">
        <v>2012</v>
      </c>
      <c r="C1147" s="89" t="s">
        <v>1896</v>
      </c>
      <c r="D1147" s="88" t="s">
        <v>160</v>
      </c>
      <c r="F1147" s="70">
        <f t="shared" si="34"/>
        <v>2012</v>
      </c>
      <c r="G1147" s="70" t="s">
        <v>159</v>
      </c>
      <c r="H1147" s="70" t="str">
        <f t="shared" si="35"/>
        <v>HAR</v>
      </c>
    </row>
    <row r="1148" spans="1:8" ht="15" x14ac:dyDescent="0.25">
      <c r="A1148" s="88" t="s">
        <v>1863</v>
      </c>
      <c r="B1148" s="88">
        <v>2012</v>
      </c>
      <c r="C1148" s="89" t="s">
        <v>1895</v>
      </c>
      <c r="D1148" s="88" t="s">
        <v>160</v>
      </c>
      <c r="F1148" s="70">
        <f t="shared" si="34"/>
        <v>2012</v>
      </c>
      <c r="G1148" s="70" t="s">
        <v>159</v>
      </c>
      <c r="H1148" s="70" t="str">
        <f t="shared" si="35"/>
        <v>HAR</v>
      </c>
    </row>
    <row r="1149" spans="1:8" ht="15" x14ac:dyDescent="0.25">
      <c r="A1149" s="88" t="s">
        <v>1863</v>
      </c>
      <c r="B1149" s="88">
        <v>2012</v>
      </c>
      <c r="C1149" s="89" t="s">
        <v>1894</v>
      </c>
      <c r="D1149" s="88" t="s">
        <v>160</v>
      </c>
      <c r="F1149" s="70">
        <f t="shared" si="34"/>
        <v>2012</v>
      </c>
      <c r="G1149" s="70" t="s">
        <v>159</v>
      </c>
      <c r="H1149" s="70" t="str">
        <f t="shared" si="35"/>
        <v>HAR</v>
      </c>
    </row>
    <row r="1150" spans="1:8" ht="15" x14ac:dyDescent="0.25">
      <c r="A1150" s="88" t="s">
        <v>1863</v>
      </c>
      <c r="B1150" s="88">
        <v>2012</v>
      </c>
      <c r="C1150" s="89" t="s">
        <v>1893</v>
      </c>
      <c r="D1150" s="88" t="s">
        <v>160</v>
      </c>
      <c r="F1150" s="70">
        <f t="shared" si="34"/>
        <v>2012</v>
      </c>
      <c r="G1150" s="70" t="s">
        <v>159</v>
      </c>
      <c r="H1150" s="70" t="str">
        <f t="shared" si="35"/>
        <v>HAR</v>
      </c>
    </row>
    <row r="1151" spans="1:8" ht="15" x14ac:dyDescent="0.25">
      <c r="A1151" s="88" t="s">
        <v>1863</v>
      </c>
      <c r="B1151" s="88">
        <v>2012</v>
      </c>
      <c r="C1151" s="89" t="s">
        <v>1892</v>
      </c>
      <c r="D1151" s="88" t="s">
        <v>160</v>
      </c>
      <c r="F1151" s="70">
        <f t="shared" si="34"/>
        <v>2012</v>
      </c>
      <c r="G1151" s="70" t="s">
        <v>159</v>
      </c>
      <c r="H1151" s="70" t="str">
        <f t="shared" si="35"/>
        <v>HAR</v>
      </c>
    </row>
    <row r="1152" spans="1:8" ht="15" x14ac:dyDescent="0.25">
      <c r="A1152" s="68" t="s">
        <v>1863</v>
      </c>
      <c r="B1152" s="68">
        <v>2013</v>
      </c>
      <c r="C1152" s="86" t="s">
        <v>1891</v>
      </c>
      <c r="D1152" s="69">
        <v>5000</v>
      </c>
      <c r="F1152" s="70">
        <f t="shared" si="34"/>
        <v>2013</v>
      </c>
      <c r="G1152" s="70" t="s">
        <v>159</v>
      </c>
      <c r="H1152" s="70" t="str">
        <f t="shared" si="35"/>
        <v>HAR</v>
      </c>
    </row>
    <row r="1153" spans="1:8" ht="15" x14ac:dyDescent="0.25">
      <c r="A1153" s="68" t="s">
        <v>1863</v>
      </c>
      <c r="B1153" s="68">
        <v>2013</v>
      </c>
      <c r="C1153" s="86" t="s">
        <v>1890</v>
      </c>
      <c r="D1153" s="69">
        <v>5000</v>
      </c>
      <c r="F1153" s="70">
        <f t="shared" si="34"/>
        <v>2013</v>
      </c>
      <c r="G1153" s="70" t="s">
        <v>159</v>
      </c>
      <c r="H1153" s="70" t="str">
        <f t="shared" si="35"/>
        <v>HAR</v>
      </c>
    </row>
    <row r="1154" spans="1:8" ht="15" x14ac:dyDescent="0.25">
      <c r="A1154" s="68" t="s">
        <v>1863</v>
      </c>
      <c r="B1154" s="68">
        <v>2013</v>
      </c>
      <c r="C1154" s="86" t="s">
        <v>1889</v>
      </c>
      <c r="D1154" s="69">
        <v>5000</v>
      </c>
      <c r="F1154" s="70">
        <f t="shared" si="34"/>
        <v>2013</v>
      </c>
      <c r="G1154" s="70" t="s">
        <v>159</v>
      </c>
      <c r="H1154" s="70" t="str">
        <f t="shared" si="35"/>
        <v>HAR</v>
      </c>
    </row>
    <row r="1155" spans="1:8" ht="15" x14ac:dyDescent="0.25">
      <c r="A1155" s="68" t="s">
        <v>1863</v>
      </c>
      <c r="B1155" s="68">
        <v>2013</v>
      </c>
      <c r="C1155" s="86" t="s">
        <v>1888</v>
      </c>
      <c r="D1155" s="69">
        <v>5000</v>
      </c>
      <c r="F1155" s="70">
        <f t="shared" si="34"/>
        <v>2013</v>
      </c>
      <c r="G1155" s="70" t="s">
        <v>159</v>
      </c>
      <c r="H1155" s="70" t="str">
        <f t="shared" si="35"/>
        <v>HAR</v>
      </c>
    </row>
    <row r="1156" spans="1:8" ht="15" x14ac:dyDescent="0.25">
      <c r="A1156" s="68" t="s">
        <v>1863</v>
      </c>
      <c r="B1156" s="68">
        <v>2013</v>
      </c>
      <c r="C1156" s="86" t="s">
        <v>1887</v>
      </c>
      <c r="D1156" s="69">
        <v>5000</v>
      </c>
      <c r="F1156" s="70">
        <f t="shared" si="34"/>
        <v>2013</v>
      </c>
      <c r="G1156" s="70" t="s">
        <v>159</v>
      </c>
      <c r="H1156" s="70" t="str">
        <f t="shared" si="35"/>
        <v>HAR</v>
      </c>
    </row>
    <row r="1157" spans="1:8" ht="15" x14ac:dyDescent="0.25">
      <c r="A1157" s="68" t="s">
        <v>1863</v>
      </c>
      <c r="B1157" s="68">
        <v>2014</v>
      </c>
      <c r="C1157" s="86" t="s">
        <v>1886</v>
      </c>
      <c r="D1157" s="69">
        <v>5000</v>
      </c>
      <c r="F1157" s="70">
        <f t="shared" si="34"/>
        <v>2014</v>
      </c>
      <c r="G1157" s="70" t="s">
        <v>159</v>
      </c>
      <c r="H1157" s="70" t="str">
        <f t="shared" si="35"/>
        <v>HAR</v>
      </c>
    </row>
    <row r="1158" spans="1:8" ht="15" x14ac:dyDescent="0.25">
      <c r="A1158" s="68" t="s">
        <v>1863</v>
      </c>
      <c r="B1158" s="68">
        <v>2014</v>
      </c>
      <c r="C1158" s="86" t="s">
        <v>1885</v>
      </c>
      <c r="D1158" s="69">
        <v>5000</v>
      </c>
      <c r="F1158" s="70">
        <f t="shared" si="34"/>
        <v>2014</v>
      </c>
      <c r="G1158" s="70" t="s">
        <v>159</v>
      </c>
      <c r="H1158" s="70" t="str">
        <f t="shared" si="35"/>
        <v>HAR</v>
      </c>
    </row>
    <row r="1159" spans="1:8" ht="15" x14ac:dyDescent="0.25">
      <c r="A1159" s="68" t="s">
        <v>1863</v>
      </c>
      <c r="B1159" s="68">
        <v>2014</v>
      </c>
      <c r="C1159" s="86" t="s">
        <v>1884</v>
      </c>
      <c r="D1159" s="69">
        <v>5000</v>
      </c>
      <c r="F1159" s="70">
        <f t="shared" si="34"/>
        <v>2014</v>
      </c>
      <c r="G1159" s="70" t="s">
        <v>159</v>
      </c>
      <c r="H1159" s="70" t="str">
        <f t="shared" si="35"/>
        <v>HAR</v>
      </c>
    </row>
    <row r="1160" spans="1:8" ht="15" x14ac:dyDescent="0.25">
      <c r="A1160" s="68" t="s">
        <v>1863</v>
      </c>
      <c r="B1160" s="68">
        <v>2014</v>
      </c>
      <c r="C1160" s="86" t="s">
        <v>1883</v>
      </c>
      <c r="D1160" s="69">
        <v>5000</v>
      </c>
      <c r="F1160" s="70">
        <f t="shared" ref="F1160:F1223" si="36">+B1160</f>
        <v>2014</v>
      </c>
      <c r="G1160" s="70" t="s">
        <v>159</v>
      </c>
      <c r="H1160" s="70" t="str">
        <f t="shared" ref="H1160:H1223" si="37">A1160</f>
        <v>HAR</v>
      </c>
    </row>
    <row r="1161" spans="1:8" ht="15" x14ac:dyDescent="0.25">
      <c r="A1161" s="68" t="s">
        <v>1863</v>
      </c>
      <c r="B1161" s="68">
        <v>2014</v>
      </c>
      <c r="C1161" s="86" t="s">
        <v>1882</v>
      </c>
      <c r="D1161" s="69">
        <v>5000</v>
      </c>
      <c r="F1161" s="70">
        <f t="shared" si="36"/>
        <v>2014</v>
      </c>
      <c r="G1161" s="70" t="s">
        <v>159</v>
      </c>
      <c r="H1161" s="70" t="str">
        <f t="shared" si="37"/>
        <v>HAR</v>
      </c>
    </row>
    <row r="1162" spans="1:8" ht="15" x14ac:dyDescent="0.25">
      <c r="A1162" s="68" t="s">
        <v>1863</v>
      </c>
      <c r="B1162" s="68">
        <v>2014</v>
      </c>
      <c r="C1162" s="86" t="s">
        <v>1881</v>
      </c>
      <c r="D1162" s="69">
        <v>5000</v>
      </c>
      <c r="F1162" s="70">
        <f t="shared" si="36"/>
        <v>2014</v>
      </c>
      <c r="G1162" s="70" t="s">
        <v>159</v>
      </c>
      <c r="H1162" s="70" t="str">
        <f t="shared" si="37"/>
        <v>HAR</v>
      </c>
    </row>
    <row r="1163" spans="1:8" ht="15" x14ac:dyDescent="0.25">
      <c r="A1163" s="68" t="s">
        <v>1863</v>
      </c>
      <c r="B1163" s="68">
        <v>2015</v>
      </c>
      <c r="C1163" s="86" t="s">
        <v>1880</v>
      </c>
      <c r="D1163" s="69">
        <v>5000</v>
      </c>
      <c r="F1163" s="70">
        <f t="shared" si="36"/>
        <v>2015</v>
      </c>
      <c r="G1163" s="70" t="s">
        <v>159</v>
      </c>
      <c r="H1163" s="70" t="str">
        <f t="shared" si="37"/>
        <v>HAR</v>
      </c>
    </row>
    <row r="1164" spans="1:8" ht="15" x14ac:dyDescent="0.25">
      <c r="A1164" s="68" t="s">
        <v>1863</v>
      </c>
      <c r="B1164" s="68">
        <v>2015</v>
      </c>
      <c r="C1164" s="86" t="s">
        <v>1879</v>
      </c>
      <c r="D1164" s="69">
        <v>5000</v>
      </c>
      <c r="F1164" s="70">
        <f t="shared" si="36"/>
        <v>2015</v>
      </c>
      <c r="G1164" s="70" t="s">
        <v>159</v>
      </c>
      <c r="H1164" s="70" t="str">
        <f t="shared" si="37"/>
        <v>HAR</v>
      </c>
    </row>
    <row r="1165" spans="1:8" ht="15" x14ac:dyDescent="0.25">
      <c r="A1165" s="68" t="s">
        <v>1863</v>
      </c>
      <c r="B1165" s="68">
        <v>2016</v>
      </c>
      <c r="C1165" s="76" t="s">
        <v>1878</v>
      </c>
      <c r="D1165" s="69">
        <v>5000</v>
      </c>
      <c r="F1165" s="70">
        <f t="shared" si="36"/>
        <v>2016</v>
      </c>
      <c r="G1165" s="70" t="s">
        <v>159</v>
      </c>
      <c r="H1165" s="70" t="str">
        <f t="shared" si="37"/>
        <v>HAR</v>
      </c>
    </row>
    <row r="1166" spans="1:8" ht="15" x14ac:dyDescent="0.25">
      <c r="A1166" s="68" t="s">
        <v>1863</v>
      </c>
      <c r="B1166" s="68">
        <v>2016</v>
      </c>
      <c r="C1166" s="76" t="s">
        <v>1877</v>
      </c>
      <c r="D1166" s="69">
        <v>5000</v>
      </c>
      <c r="F1166" s="70">
        <f t="shared" si="36"/>
        <v>2016</v>
      </c>
      <c r="G1166" s="70" t="s">
        <v>159</v>
      </c>
      <c r="H1166" s="70" t="str">
        <f t="shared" si="37"/>
        <v>HAR</v>
      </c>
    </row>
    <row r="1167" spans="1:8" ht="15" x14ac:dyDescent="0.25">
      <c r="A1167" s="68" t="s">
        <v>1863</v>
      </c>
      <c r="B1167" s="68">
        <v>2016</v>
      </c>
      <c r="C1167" s="76" t="s">
        <v>1876</v>
      </c>
      <c r="D1167" s="69">
        <v>5000</v>
      </c>
      <c r="F1167" s="70">
        <f t="shared" si="36"/>
        <v>2016</v>
      </c>
      <c r="G1167" s="70" t="s">
        <v>159</v>
      </c>
      <c r="H1167" s="70" t="str">
        <f t="shared" si="37"/>
        <v>HAR</v>
      </c>
    </row>
    <row r="1168" spans="1:8" ht="15" x14ac:dyDescent="0.25">
      <c r="A1168" s="68" t="s">
        <v>1863</v>
      </c>
      <c r="B1168" s="68">
        <v>2016</v>
      </c>
      <c r="C1168" s="76" t="s">
        <v>1875</v>
      </c>
      <c r="D1168" s="69">
        <v>5000</v>
      </c>
      <c r="F1168" s="70">
        <f t="shared" si="36"/>
        <v>2016</v>
      </c>
      <c r="G1168" s="70" t="s">
        <v>159</v>
      </c>
      <c r="H1168" s="70" t="str">
        <f t="shared" si="37"/>
        <v>HAR</v>
      </c>
    </row>
    <row r="1169" spans="1:8" ht="15" x14ac:dyDescent="0.25">
      <c r="A1169" s="85" t="s">
        <v>1863</v>
      </c>
      <c r="B1169" s="85">
        <v>2017</v>
      </c>
      <c r="C1169" s="87" t="s">
        <v>1874</v>
      </c>
      <c r="D1169" s="83" t="s">
        <v>160</v>
      </c>
      <c r="F1169" s="70">
        <f t="shared" si="36"/>
        <v>2017</v>
      </c>
      <c r="G1169" s="70" t="s">
        <v>159</v>
      </c>
      <c r="H1169" s="70" t="str">
        <f t="shared" si="37"/>
        <v>HAR</v>
      </c>
    </row>
    <row r="1170" spans="1:8" ht="15" x14ac:dyDescent="0.25">
      <c r="A1170" s="85" t="s">
        <v>1863</v>
      </c>
      <c r="B1170" s="85">
        <v>2017</v>
      </c>
      <c r="C1170" s="87" t="s">
        <v>1873</v>
      </c>
      <c r="D1170" s="83" t="s">
        <v>160</v>
      </c>
      <c r="F1170" s="70">
        <f t="shared" si="36"/>
        <v>2017</v>
      </c>
      <c r="G1170" s="70" t="s">
        <v>159</v>
      </c>
      <c r="H1170" s="70" t="str">
        <f t="shared" si="37"/>
        <v>HAR</v>
      </c>
    </row>
    <row r="1171" spans="1:8" ht="15" x14ac:dyDescent="0.25">
      <c r="A1171" s="85" t="s">
        <v>1863</v>
      </c>
      <c r="B1171" s="85">
        <v>2017</v>
      </c>
      <c r="C1171" s="87" t="s">
        <v>1872</v>
      </c>
      <c r="D1171" s="83" t="s">
        <v>160</v>
      </c>
      <c r="F1171" s="70">
        <f t="shared" si="36"/>
        <v>2017</v>
      </c>
      <c r="G1171" s="70" t="s">
        <v>159</v>
      </c>
      <c r="H1171" s="70" t="str">
        <f t="shared" si="37"/>
        <v>HAR</v>
      </c>
    </row>
    <row r="1172" spans="1:8" ht="15" x14ac:dyDescent="0.25">
      <c r="A1172" s="85" t="s">
        <v>1863</v>
      </c>
      <c r="B1172" s="85">
        <v>2017</v>
      </c>
      <c r="C1172" s="87" t="s">
        <v>1871</v>
      </c>
      <c r="D1172" s="83" t="s">
        <v>160</v>
      </c>
      <c r="F1172" s="70">
        <f t="shared" si="36"/>
        <v>2017</v>
      </c>
      <c r="G1172" s="70" t="s">
        <v>159</v>
      </c>
      <c r="H1172" s="70" t="str">
        <f t="shared" si="37"/>
        <v>HAR</v>
      </c>
    </row>
    <row r="1173" spans="1:8" ht="15" x14ac:dyDescent="0.25">
      <c r="A1173" s="85" t="s">
        <v>1863</v>
      </c>
      <c r="B1173" s="85">
        <v>2017</v>
      </c>
      <c r="C1173" s="87" t="s">
        <v>1870</v>
      </c>
      <c r="D1173" s="83" t="s">
        <v>160</v>
      </c>
      <c r="F1173" s="70">
        <f t="shared" si="36"/>
        <v>2017</v>
      </c>
      <c r="G1173" s="70" t="s">
        <v>159</v>
      </c>
      <c r="H1173" s="70" t="str">
        <f t="shared" si="37"/>
        <v>HAR</v>
      </c>
    </row>
    <row r="1174" spans="1:8" ht="15" x14ac:dyDescent="0.25">
      <c r="A1174" s="85" t="s">
        <v>1863</v>
      </c>
      <c r="B1174" s="85">
        <v>2017</v>
      </c>
      <c r="C1174" s="87" t="s">
        <v>1869</v>
      </c>
      <c r="D1174" s="83" t="s">
        <v>160</v>
      </c>
      <c r="F1174" s="70">
        <f t="shared" si="36"/>
        <v>2017</v>
      </c>
      <c r="G1174" s="70" t="s">
        <v>159</v>
      </c>
      <c r="H1174" s="70" t="str">
        <f t="shared" si="37"/>
        <v>HAR</v>
      </c>
    </row>
    <row r="1175" spans="1:8" ht="15" x14ac:dyDescent="0.25">
      <c r="A1175" s="75" t="s">
        <v>1863</v>
      </c>
      <c r="B1175" s="75">
        <v>2018</v>
      </c>
      <c r="C1175" s="72" t="s">
        <v>1868</v>
      </c>
      <c r="D1175" s="82" t="s">
        <v>160</v>
      </c>
      <c r="F1175" s="70">
        <f t="shared" si="36"/>
        <v>2018</v>
      </c>
      <c r="G1175" s="70" t="s">
        <v>159</v>
      </c>
      <c r="H1175" s="70" t="str">
        <f t="shared" si="37"/>
        <v>HAR</v>
      </c>
    </row>
    <row r="1176" spans="1:8" ht="15" x14ac:dyDescent="0.25">
      <c r="A1176" s="75" t="s">
        <v>1863</v>
      </c>
      <c r="B1176" s="75">
        <v>2018</v>
      </c>
      <c r="C1176" s="72" t="s">
        <v>1867</v>
      </c>
      <c r="D1176" s="82" t="s">
        <v>160</v>
      </c>
      <c r="F1176" s="70">
        <f t="shared" si="36"/>
        <v>2018</v>
      </c>
      <c r="G1176" s="70" t="s">
        <v>159</v>
      </c>
      <c r="H1176" s="70" t="str">
        <f t="shared" si="37"/>
        <v>HAR</v>
      </c>
    </row>
    <row r="1177" spans="1:8" ht="15" x14ac:dyDescent="0.25">
      <c r="A1177" s="75" t="s">
        <v>1863</v>
      </c>
      <c r="B1177" s="75">
        <v>2018</v>
      </c>
      <c r="C1177" s="72" t="s">
        <v>1866</v>
      </c>
      <c r="D1177" s="82" t="s">
        <v>160</v>
      </c>
      <c r="F1177" s="70">
        <f t="shared" si="36"/>
        <v>2018</v>
      </c>
      <c r="G1177" s="70" t="s">
        <v>159</v>
      </c>
      <c r="H1177" s="70" t="str">
        <f t="shared" si="37"/>
        <v>HAR</v>
      </c>
    </row>
    <row r="1178" spans="1:8" ht="15" x14ac:dyDescent="0.25">
      <c r="A1178" s="75" t="s">
        <v>1863</v>
      </c>
      <c r="B1178" s="75">
        <v>2018</v>
      </c>
      <c r="C1178" s="72" t="s">
        <v>1865</v>
      </c>
      <c r="D1178" s="82" t="s">
        <v>160</v>
      </c>
      <c r="F1178" s="70">
        <f t="shared" si="36"/>
        <v>2018</v>
      </c>
      <c r="G1178" s="70" t="s">
        <v>159</v>
      </c>
      <c r="H1178" s="70" t="str">
        <f t="shared" si="37"/>
        <v>HAR</v>
      </c>
    </row>
    <row r="1179" spans="1:8" ht="15" x14ac:dyDescent="0.25">
      <c r="A1179" s="75" t="s">
        <v>1863</v>
      </c>
      <c r="B1179" s="75">
        <v>2018</v>
      </c>
      <c r="C1179" s="72" t="s">
        <v>1864</v>
      </c>
      <c r="D1179" s="82" t="s">
        <v>160</v>
      </c>
      <c r="F1179" s="70">
        <f t="shared" si="36"/>
        <v>2018</v>
      </c>
      <c r="G1179" s="70" t="s">
        <v>159</v>
      </c>
      <c r="H1179" s="70" t="str">
        <f t="shared" si="37"/>
        <v>HAR</v>
      </c>
    </row>
    <row r="1180" spans="1:8" ht="15" x14ac:dyDescent="0.25">
      <c r="A1180" s="75" t="s">
        <v>1863</v>
      </c>
      <c r="B1180" s="75">
        <v>2018</v>
      </c>
      <c r="C1180" s="72" t="s">
        <v>1862</v>
      </c>
      <c r="D1180" s="82" t="s">
        <v>160</v>
      </c>
      <c r="F1180" s="70">
        <f t="shared" si="36"/>
        <v>2018</v>
      </c>
      <c r="G1180" s="70" t="s">
        <v>159</v>
      </c>
      <c r="H1180" s="70" t="str">
        <f t="shared" si="37"/>
        <v>HAR</v>
      </c>
    </row>
    <row r="1181" spans="1:8" ht="15" x14ac:dyDescent="0.25">
      <c r="A1181" s="88" t="s">
        <v>1857</v>
      </c>
      <c r="B1181" s="88">
        <v>1976</v>
      </c>
      <c r="C1181" s="89" t="s">
        <v>1861</v>
      </c>
      <c r="D1181" s="83" t="s">
        <v>160</v>
      </c>
      <c r="F1181" s="70">
        <f t="shared" si="36"/>
        <v>1976</v>
      </c>
      <c r="G1181" s="70" t="s">
        <v>159</v>
      </c>
      <c r="H1181" s="70" t="str">
        <f t="shared" si="37"/>
        <v>KIT</v>
      </c>
    </row>
    <row r="1182" spans="1:8" ht="15" x14ac:dyDescent="0.25">
      <c r="A1182" s="88" t="s">
        <v>1857</v>
      </c>
      <c r="B1182" s="88">
        <v>1977</v>
      </c>
      <c r="C1182" s="89" t="s">
        <v>1860</v>
      </c>
      <c r="D1182" s="88" t="s">
        <v>160</v>
      </c>
      <c r="F1182" s="70">
        <f t="shared" si="36"/>
        <v>1977</v>
      </c>
      <c r="G1182" s="70" t="s">
        <v>159</v>
      </c>
      <c r="H1182" s="70" t="str">
        <f t="shared" si="37"/>
        <v>KIT</v>
      </c>
    </row>
    <row r="1183" spans="1:8" ht="15" x14ac:dyDescent="0.25">
      <c r="A1183" s="88" t="s">
        <v>1857</v>
      </c>
      <c r="B1183" s="88">
        <v>1977</v>
      </c>
      <c r="C1183" s="89" t="s">
        <v>1859</v>
      </c>
      <c r="D1183" s="88" t="s">
        <v>160</v>
      </c>
      <c r="F1183" s="70">
        <f t="shared" si="36"/>
        <v>1977</v>
      </c>
      <c r="G1183" s="70" t="s">
        <v>159</v>
      </c>
      <c r="H1183" s="70" t="str">
        <f t="shared" si="37"/>
        <v>KIT</v>
      </c>
    </row>
    <row r="1184" spans="1:8" ht="15" x14ac:dyDescent="0.25">
      <c r="A1184" s="88" t="s">
        <v>1857</v>
      </c>
      <c r="B1184" s="88">
        <v>1978</v>
      </c>
      <c r="C1184" s="89" t="s">
        <v>1858</v>
      </c>
      <c r="D1184" s="88" t="s">
        <v>160</v>
      </c>
      <c r="F1184" s="70">
        <f t="shared" si="36"/>
        <v>1978</v>
      </c>
      <c r="G1184" s="70" t="s">
        <v>159</v>
      </c>
      <c r="H1184" s="70" t="str">
        <f t="shared" si="37"/>
        <v>KIT</v>
      </c>
    </row>
    <row r="1185" spans="1:8" ht="15" x14ac:dyDescent="0.25">
      <c r="A1185" s="88" t="s">
        <v>1857</v>
      </c>
      <c r="B1185" s="88">
        <v>1979</v>
      </c>
      <c r="C1185" s="89" t="s">
        <v>1856</v>
      </c>
      <c r="D1185" s="88" t="s">
        <v>160</v>
      </c>
      <c r="F1185" s="70">
        <f t="shared" si="36"/>
        <v>1979</v>
      </c>
      <c r="G1185" s="70" t="s">
        <v>159</v>
      </c>
      <c r="H1185" s="70" t="str">
        <f t="shared" si="37"/>
        <v>KIT</v>
      </c>
    </row>
    <row r="1186" spans="1:8" ht="15" x14ac:dyDescent="0.25">
      <c r="A1186" s="88" t="s">
        <v>1622</v>
      </c>
      <c r="B1186" s="88">
        <v>1976</v>
      </c>
      <c r="C1186" s="89" t="s">
        <v>1855</v>
      </c>
      <c r="D1186" s="88" t="s">
        <v>160</v>
      </c>
      <c r="F1186" s="70">
        <f t="shared" si="36"/>
        <v>1976</v>
      </c>
      <c r="G1186" s="70" t="s">
        <v>159</v>
      </c>
      <c r="H1186" s="70" t="str">
        <f t="shared" si="37"/>
        <v>KLM</v>
      </c>
    </row>
    <row r="1187" spans="1:8" ht="15" x14ac:dyDescent="0.25">
      <c r="A1187" s="88" t="s">
        <v>1622</v>
      </c>
      <c r="B1187" s="88">
        <v>1977</v>
      </c>
      <c r="C1187" s="89" t="s">
        <v>1854</v>
      </c>
      <c r="D1187" s="88" t="s">
        <v>160</v>
      </c>
      <c r="F1187" s="70">
        <f t="shared" si="36"/>
        <v>1977</v>
      </c>
      <c r="G1187" s="70" t="s">
        <v>159</v>
      </c>
      <c r="H1187" s="70" t="str">
        <f t="shared" si="37"/>
        <v>KLM</v>
      </c>
    </row>
    <row r="1188" spans="1:8" ht="15" x14ac:dyDescent="0.25">
      <c r="A1188" s="88" t="s">
        <v>1622</v>
      </c>
      <c r="B1188" s="88">
        <v>1979</v>
      </c>
      <c r="C1188" s="89" t="s">
        <v>1853</v>
      </c>
      <c r="D1188" s="88" t="s">
        <v>160</v>
      </c>
      <c r="F1188" s="70">
        <f t="shared" si="36"/>
        <v>1979</v>
      </c>
      <c r="G1188" s="70" t="s">
        <v>159</v>
      </c>
      <c r="H1188" s="70" t="str">
        <f t="shared" si="37"/>
        <v>KLM</v>
      </c>
    </row>
    <row r="1189" spans="1:8" ht="15" x14ac:dyDescent="0.25">
      <c r="A1189" s="88" t="s">
        <v>1622</v>
      </c>
      <c r="B1189" s="88">
        <v>1980</v>
      </c>
      <c r="C1189" s="89" t="s">
        <v>1852</v>
      </c>
      <c r="D1189" s="88" t="s">
        <v>160</v>
      </c>
      <c r="F1189" s="70">
        <f t="shared" si="36"/>
        <v>1980</v>
      </c>
      <c r="G1189" s="70" t="s">
        <v>159</v>
      </c>
      <c r="H1189" s="70" t="str">
        <f t="shared" si="37"/>
        <v>KLM</v>
      </c>
    </row>
    <row r="1190" spans="1:8" ht="15" x14ac:dyDescent="0.25">
      <c r="A1190" s="88" t="s">
        <v>1622</v>
      </c>
      <c r="B1190" s="88">
        <v>1981</v>
      </c>
      <c r="C1190" s="89" t="s">
        <v>1851</v>
      </c>
      <c r="D1190" s="88" t="s">
        <v>160</v>
      </c>
      <c r="F1190" s="70">
        <f t="shared" si="36"/>
        <v>1981</v>
      </c>
      <c r="G1190" s="70" t="s">
        <v>159</v>
      </c>
      <c r="H1190" s="70" t="str">
        <f t="shared" si="37"/>
        <v>KLM</v>
      </c>
    </row>
    <row r="1191" spans="1:8" ht="15" x14ac:dyDescent="0.25">
      <c r="A1191" s="88" t="s">
        <v>1622</v>
      </c>
      <c r="B1191" s="88">
        <v>1981</v>
      </c>
      <c r="C1191" s="89" t="s">
        <v>1850</v>
      </c>
      <c r="D1191" s="88" t="s">
        <v>160</v>
      </c>
      <c r="F1191" s="70">
        <f t="shared" si="36"/>
        <v>1981</v>
      </c>
      <c r="G1191" s="70" t="s">
        <v>159</v>
      </c>
      <c r="H1191" s="70" t="str">
        <f t="shared" si="37"/>
        <v>KLM</v>
      </c>
    </row>
    <row r="1192" spans="1:8" ht="15" x14ac:dyDescent="0.25">
      <c r="A1192" s="88" t="s">
        <v>1622</v>
      </c>
      <c r="B1192" s="88">
        <v>1983</v>
      </c>
      <c r="C1192" s="89" t="s">
        <v>1849</v>
      </c>
      <c r="D1192" s="88" t="s">
        <v>160</v>
      </c>
      <c r="F1192" s="70">
        <f t="shared" si="36"/>
        <v>1983</v>
      </c>
      <c r="G1192" s="70" t="s">
        <v>159</v>
      </c>
      <c r="H1192" s="70" t="str">
        <f t="shared" si="37"/>
        <v>KLM</v>
      </c>
    </row>
    <row r="1193" spans="1:8" ht="15" x14ac:dyDescent="0.25">
      <c r="A1193" s="88" t="s">
        <v>1622</v>
      </c>
      <c r="B1193" s="88">
        <v>1984</v>
      </c>
      <c r="C1193" s="89" t="s">
        <v>1848</v>
      </c>
      <c r="D1193" s="88" t="s">
        <v>160</v>
      </c>
      <c r="F1193" s="70">
        <f t="shared" si="36"/>
        <v>1984</v>
      </c>
      <c r="G1193" s="70" t="s">
        <v>159</v>
      </c>
      <c r="H1193" s="70" t="str">
        <f t="shared" si="37"/>
        <v>KLM</v>
      </c>
    </row>
    <row r="1194" spans="1:8" ht="15" x14ac:dyDescent="0.25">
      <c r="A1194" s="88" t="s">
        <v>1622</v>
      </c>
      <c r="B1194" s="88">
        <v>1984</v>
      </c>
      <c r="C1194" s="89" t="s">
        <v>1847</v>
      </c>
      <c r="D1194" s="88" t="s">
        <v>160</v>
      </c>
      <c r="F1194" s="70">
        <f t="shared" si="36"/>
        <v>1984</v>
      </c>
      <c r="G1194" s="70" t="s">
        <v>159</v>
      </c>
      <c r="H1194" s="70" t="str">
        <f t="shared" si="37"/>
        <v>KLM</v>
      </c>
    </row>
    <row r="1195" spans="1:8" ht="15" x14ac:dyDescent="0.25">
      <c r="A1195" s="88" t="s">
        <v>1622</v>
      </c>
      <c r="B1195" s="88">
        <v>1984</v>
      </c>
      <c r="C1195" s="89" t="s">
        <v>1846</v>
      </c>
      <c r="D1195" s="88" t="s">
        <v>160</v>
      </c>
      <c r="F1195" s="70">
        <f t="shared" si="36"/>
        <v>1984</v>
      </c>
      <c r="G1195" s="70" t="s">
        <v>159</v>
      </c>
      <c r="H1195" s="70" t="str">
        <f t="shared" si="37"/>
        <v>KLM</v>
      </c>
    </row>
    <row r="1196" spans="1:8" ht="15" x14ac:dyDescent="0.25">
      <c r="A1196" s="88" t="s">
        <v>1622</v>
      </c>
      <c r="B1196" s="88">
        <v>1984</v>
      </c>
      <c r="C1196" s="89" t="s">
        <v>1845</v>
      </c>
      <c r="D1196" s="88" t="s">
        <v>160</v>
      </c>
      <c r="F1196" s="70">
        <f t="shared" si="36"/>
        <v>1984</v>
      </c>
      <c r="G1196" s="70" t="s">
        <v>159</v>
      </c>
      <c r="H1196" s="70" t="str">
        <f t="shared" si="37"/>
        <v>KLM</v>
      </c>
    </row>
    <row r="1197" spans="1:8" ht="15" x14ac:dyDescent="0.25">
      <c r="A1197" s="88" t="s">
        <v>1622</v>
      </c>
      <c r="B1197" s="88">
        <v>1984</v>
      </c>
      <c r="C1197" s="89" t="s">
        <v>1844</v>
      </c>
      <c r="D1197" s="88" t="s">
        <v>160</v>
      </c>
      <c r="F1197" s="70">
        <f t="shared" si="36"/>
        <v>1984</v>
      </c>
      <c r="G1197" s="70" t="s">
        <v>159</v>
      </c>
      <c r="H1197" s="70" t="str">
        <f t="shared" si="37"/>
        <v>KLM</v>
      </c>
    </row>
    <row r="1198" spans="1:8" ht="15" x14ac:dyDescent="0.25">
      <c r="A1198" s="88" t="s">
        <v>1622</v>
      </c>
      <c r="B1198" s="88">
        <v>1984</v>
      </c>
      <c r="C1198" s="89" t="s">
        <v>1843</v>
      </c>
      <c r="D1198" s="88" t="s">
        <v>160</v>
      </c>
      <c r="F1198" s="70">
        <f t="shared" si="36"/>
        <v>1984</v>
      </c>
      <c r="G1198" s="70" t="s">
        <v>159</v>
      </c>
      <c r="H1198" s="70" t="str">
        <f t="shared" si="37"/>
        <v>KLM</v>
      </c>
    </row>
    <row r="1199" spans="1:8" ht="15" x14ac:dyDescent="0.25">
      <c r="A1199" s="88" t="s">
        <v>1622</v>
      </c>
      <c r="B1199" s="88">
        <v>1984</v>
      </c>
      <c r="C1199" s="89" t="s">
        <v>1842</v>
      </c>
      <c r="D1199" s="88" t="s">
        <v>160</v>
      </c>
      <c r="F1199" s="70">
        <f t="shared" si="36"/>
        <v>1984</v>
      </c>
      <c r="G1199" s="70" t="s">
        <v>159</v>
      </c>
      <c r="H1199" s="70" t="str">
        <f t="shared" si="37"/>
        <v>KLM</v>
      </c>
    </row>
    <row r="1200" spans="1:8" ht="15" x14ac:dyDescent="0.25">
      <c r="A1200" s="88" t="s">
        <v>1622</v>
      </c>
      <c r="B1200" s="88">
        <v>1984</v>
      </c>
      <c r="C1200" s="89" t="s">
        <v>1841</v>
      </c>
      <c r="D1200" s="88" t="s">
        <v>160</v>
      </c>
      <c r="F1200" s="70">
        <f t="shared" si="36"/>
        <v>1984</v>
      </c>
      <c r="G1200" s="70" t="s">
        <v>159</v>
      </c>
      <c r="H1200" s="70" t="str">
        <f t="shared" si="37"/>
        <v>KLM</v>
      </c>
    </row>
    <row r="1201" spans="1:8" ht="15" x14ac:dyDescent="0.25">
      <c r="A1201" s="88" t="s">
        <v>1622</v>
      </c>
      <c r="B1201" s="88">
        <v>1985</v>
      </c>
      <c r="C1201" s="89" t="s">
        <v>1840</v>
      </c>
      <c r="D1201" s="88" t="s">
        <v>160</v>
      </c>
      <c r="F1201" s="70">
        <f t="shared" si="36"/>
        <v>1985</v>
      </c>
      <c r="G1201" s="70" t="s">
        <v>159</v>
      </c>
      <c r="H1201" s="70" t="str">
        <f t="shared" si="37"/>
        <v>KLM</v>
      </c>
    </row>
    <row r="1202" spans="1:8" ht="15" x14ac:dyDescent="0.25">
      <c r="A1202" s="88" t="s">
        <v>1622</v>
      </c>
      <c r="B1202" s="88">
        <v>1985</v>
      </c>
      <c r="C1202" s="89" t="s">
        <v>1839</v>
      </c>
      <c r="D1202" s="88" t="s">
        <v>160</v>
      </c>
      <c r="F1202" s="70">
        <f t="shared" si="36"/>
        <v>1985</v>
      </c>
      <c r="G1202" s="70" t="s">
        <v>159</v>
      </c>
      <c r="H1202" s="70" t="str">
        <f t="shared" si="37"/>
        <v>KLM</v>
      </c>
    </row>
    <row r="1203" spans="1:8" ht="15" x14ac:dyDescent="0.25">
      <c r="A1203" s="88" t="s">
        <v>1622</v>
      </c>
      <c r="B1203" s="88">
        <v>1985</v>
      </c>
      <c r="C1203" s="89" t="s">
        <v>1838</v>
      </c>
      <c r="D1203" s="88" t="s">
        <v>160</v>
      </c>
      <c r="F1203" s="70">
        <f t="shared" si="36"/>
        <v>1985</v>
      </c>
      <c r="G1203" s="70" t="s">
        <v>159</v>
      </c>
      <c r="H1203" s="70" t="str">
        <f t="shared" si="37"/>
        <v>KLM</v>
      </c>
    </row>
    <row r="1204" spans="1:8" ht="15" x14ac:dyDescent="0.25">
      <c r="A1204" s="88" t="s">
        <v>1622</v>
      </c>
      <c r="B1204" s="88">
        <v>1985</v>
      </c>
      <c r="C1204" s="89" t="s">
        <v>1837</v>
      </c>
      <c r="D1204" s="88" t="s">
        <v>160</v>
      </c>
      <c r="F1204" s="70">
        <f t="shared" si="36"/>
        <v>1985</v>
      </c>
      <c r="G1204" s="70" t="s">
        <v>159</v>
      </c>
      <c r="H1204" s="70" t="str">
        <f t="shared" si="37"/>
        <v>KLM</v>
      </c>
    </row>
    <row r="1205" spans="1:8" ht="15" x14ac:dyDescent="0.25">
      <c r="A1205" s="88" t="s">
        <v>1622</v>
      </c>
      <c r="B1205" s="88">
        <v>1986</v>
      </c>
      <c r="C1205" s="89" t="s">
        <v>1836</v>
      </c>
      <c r="D1205" s="88" t="s">
        <v>160</v>
      </c>
      <c r="F1205" s="70">
        <f t="shared" si="36"/>
        <v>1986</v>
      </c>
      <c r="G1205" s="70" t="s">
        <v>159</v>
      </c>
      <c r="H1205" s="70" t="str">
        <f t="shared" si="37"/>
        <v>KLM</v>
      </c>
    </row>
    <row r="1206" spans="1:8" ht="15" x14ac:dyDescent="0.25">
      <c r="A1206" s="88" t="s">
        <v>1622</v>
      </c>
      <c r="B1206" s="88">
        <v>1986</v>
      </c>
      <c r="C1206" s="89" t="s">
        <v>1835</v>
      </c>
      <c r="D1206" s="88" t="s">
        <v>160</v>
      </c>
      <c r="F1206" s="70">
        <f t="shared" si="36"/>
        <v>1986</v>
      </c>
      <c r="G1206" s="70" t="s">
        <v>159</v>
      </c>
      <c r="H1206" s="70" t="str">
        <f t="shared" si="37"/>
        <v>KLM</v>
      </c>
    </row>
    <row r="1207" spans="1:8" ht="15" x14ac:dyDescent="0.25">
      <c r="A1207" s="88" t="s">
        <v>1622</v>
      </c>
      <c r="B1207" s="88">
        <v>1986</v>
      </c>
      <c r="C1207" s="89" t="s">
        <v>1834</v>
      </c>
      <c r="D1207" s="88" t="s">
        <v>160</v>
      </c>
      <c r="F1207" s="70">
        <f t="shared" si="36"/>
        <v>1986</v>
      </c>
      <c r="G1207" s="70" t="s">
        <v>159</v>
      </c>
      <c r="H1207" s="70" t="str">
        <f t="shared" si="37"/>
        <v>KLM</v>
      </c>
    </row>
    <row r="1208" spans="1:8" ht="15" x14ac:dyDescent="0.25">
      <c r="A1208" s="88" t="s">
        <v>1622</v>
      </c>
      <c r="B1208" s="88">
        <v>1986</v>
      </c>
      <c r="C1208" s="89" t="s">
        <v>1833</v>
      </c>
      <c r="D1208" s="88" t="s">
        <v>160</v>
      </c>
      <c r="F1208" s="70">
        <f t="shared" si="36"/>
        <v>1986</v>
      </c>
      <c r="G1208" s="70" t="s">
        <v>159</v>
      </c>
      <c r="H1208" s="70" t="str">
        <f t="shared" si="37"/>
        <v>KLM</v>
      </c>
    </row>
    <row r="1209" spans="1:8" ht="15" x14ac:dyDescent="0.25">
      <c r="A1209" s="88" t="s">
        <v>1622</v>
      </c>
      <c r="B1209" s="88">
        <v>1986</v>
      </c>
      <c r="C1209" s="89" t="s">
        <v>1832</v>
      </c>
      <c r="D1209" s="88" t="s">
        <v>160</v>
      </c>
      <c r="F1209" s="70">
        <f t="shared" si="36"/>
        <v>1986</v>
      </c>
      <c r="G1209" s="70" t="s">
        <v>159</v>
      </c>
      <c r="H1209" s="70" t="str">
        <f t="shared" si="37"/>
        <v>KLM</v>
      </c>
    </row>
    <row r="1210" spans="1:8" ht="15" x14ac:dyDescent="0.25">
      <c r="A1210" s="88" t="s">
        <v>1622</v>
      </c>
      <c r="B1210" s="88">
        <v>1987</v>
      </c>
      <c r="C1210" s="89" t="s">
        <v>1831</v>
      </c>
      <c r="D1210" s="88" t="s">
        <v>160</v>
      </c>
      <c r="F1210" s="70">
        <f t="shared" si="36"/>
        <v>1987</v>
      </c>
      <c r="G1210" s="70" t="s">
        <v>159</v>
      </c>
      <c r="H1210" s="70" t="str">
        <f t="shared" si="37"/>
        <v>KLM</v>
      </c>
    </row>
    <row r="1211" spans="1:8" ht="15" x14ac:dyDescent="0.25">
      <c r="A1211" s="88" t="s">
        <v>1622</v>
      </c>
      <c r="B1211" s="88">
        <v>1987</v>
      </c>
      <c r="C1211" s="89" t="s">
        <v>1830</v>
      </c>
      <c r="D1211" s="88" t="s">
        <v>160</v>
      </c>
      <c r="F1211" s="70">
        <f t="shared" si="36"/>
        <v>1987</v>
      </c>
      <c r="G1211" s="70" t="s">
        <v>159</v>
      </c>
      <c r="H1211" s="70" t="str">
        <f t="shared" si="37"/>
        <v>KLM</v>
      </c>
    </row>
    <row r="1212" spans="1:8" ht="15" x14ac:dyDescent="0.25">
      <c r="A1212" s="88" t="s">
        <v>1622</v>
      </c>
      <c r="B1212" s="88">
        <v>1987</v>
      </c>
      <c r="C1212" s="89" t="s">
        <v>1829</v>
      </c>
      <c r="D1212" s="88" t="s">
        <v>160</v>
      </c>
      <c r="F1212" s="70">
        <f t="shared" si="36"/>
        <v>1987</v>
      </c>
      <c r="G1212" s="70" t="s">
        <v>159</v>
      </c>
      <c r="H1212" s="70" t="str">
        <f t="shared" si="37"/>
        <v>KLM</v>
      </c>
    </row>
    <row r="1213" spans="1:8" ht="15" x14ac:dyDescent="0.25">
      <c r="A1213" s="88" t="s">
        <v>1622</v>
      </c>
      <c r="B1213" s="88">
        <v>1987</v>
      </c>
      <c r="C1213" s="89" t="s">
        <v>1828</v>
      </c>
      <c r="D1213" s="88" t="s">
        <v>160</v>
      </c>
      <c r="F1213" s="70">
        <f t="shared" si="36"/>
        <v>1987</v>
      </c>
      <c r="G1213" s="70" t="s">
        <v>159</v>
      </c>
      <c r="H1213" s="70" t="str">
        <f t="shared" si="37"/>
        <v>KLM</v>
      </c>
    </row>
    <row r="1214" spans="1:8" ht="15" x14ac:dyDescent="0.25">
      <c r="A1214" s="88" t="s">
        <v>1622</v>
      </c>
      <c r="B1214" s="88">
        <v>1987</v>
      </c>
      <c r="C1214" s="89" t="s">
        <v>1827</v>
      </c>
      <c r="D1214" s="88" t="s">
        <v>160</v>
      </c>
      <c r="F1214" s="70">
        <f t="shared" si="36"/>
        <v>1987</v>
      </c>
      <c r="G1214" s="70" t="s">
        <v>159</v>
      </c>
      <c r="H1214" s="70" t="str">
        <f t="shared" si="37"/>
        <v>KLM</v>
      </c>
    </row>
    <row r="1215" spans="1:8" ht="15" x14ac:dyDescent="0.25">
      <c r="A1215" s="88" t="s">
        <v>1622</v>
      </c>
      <c r="B1215" s="88">
        <v>1987</v>
      </c>
      <c r="C1215" s="89" t="s">
        <v>1826</v>
      </c>
      <c r="D1215" s="88" t="s">
        <v>160</v>
      </c>
      <c r="F1215" s="70">
        <f t="shared" si="36"/>
        <v>1987</v>
      </c>
      <c r="G1215" s="70" t="s">
        <v>159</v>
      </c>
      <c r="H1215" s="70" t="str">
        <f t="shared" si="37"/>
        <v>KLM</v>
      </c>
    </row>
    <row r="1216" spans="1:8" ht="15" x14ac:dyDescent="0.25">
      <c r="A1216" s="88" t="s">
        <v>1622</v>
      </c>
      <c r="B1216" s="88">
        <v>1988</v>
      </c>
      <c r="C1216" s="89" t="s">
        <v>1825</v>
      </c>
      <c r="D1216" s="88" t="s">
        <v>160</v>
      </c>
      <c r="F1216" s="70">
        <f t="shared" si="36"/>
        <v>1988</v>
      </c>
      <c r="G1216" s="70" t="s">
        <v>159</v>
      </c>
      <c r="H1216" s="70" t="str">
        <f t="shared" si="37"/>
        <v>KLM</v>
      </c>
    </row>
    <row r="1217" spans="1:8" ht="15" x14ac:dyDescent="0.25">
      <c r="A1217" s="88" t="s">
        <v>1622</v>
      </c>
      <c r="B1217" s="88">
        <v>1988</v>
      </c>
      <c r="C1217" s="89" t="s">
        <v>1824</v>
      </c>
      <c r="D1217" s="88" t="s">
        <v>160</v>
      </c>
      <c r="F1217" s="70">
        <f t="shared" si="36"/>
        <v>1988</v>
      </c>
      <c r="G1217" s="70" t="s">
        <v>159</v>
      </c>
      <c r="H1217" s="70" t="str">
        <f t="shared" si="37"/>
        <v>KLM</v>
      </c>
    </row>
    <row r="1218" spans="1:8" ht="15" x14ac:dyDescent="0.25">
      <c r="A1218" s="88" t="s">
        <v>1622</v>
      </c>
      <c r="B1218" s="88">
        <v>1988</v>
      </c>
      <c r="C1218" s="89" t="s">
        <v>1823</v>
      </c>
      <c r="D1218" s="88" t="s">
        <v>160</v>
      </c>
      <c r="F1218" s="70">
        <f t="shared" si="36"/>
        <v>1988</v>
      </c>
      <c r="G1218" s="70" t="s">
        <v>159</v>
      </c>
      <c r="H1218" s="70" t="str">
        <f t="shared" si="37"/>
        <v>KLM</v>
      </c>
    </row>
    <row r="1219" spans="1:8" ht="15" x14ac:dyDescent="0.25">
      <c r="A1219" s="88" t="s">
        <v>1622</v>
      </c>
      <c r="B1219" s="88">
        <v>1988</v>
      </c>
      <c r="C1219" s="89" t="s">
        <v>1822</v>
      </c>
      <c r="D1219" s="88" t="s">
        <v>160</v>
      </c>
      <c r="F1219" s="70">
        <f t="shared" si="36"/>
        <v>1988</v>
      </c>
      <c r="G1219" s="70" t="s">
        <v>159</v>
      </c>
      <c r="H1219" s="70" t="str">
        <f t="shared" si="37"/>
        <v>KLM</v>
      </c>
    </row>
    <row r="1220" spans="1:8" ht="15" x14ac:dyDescent="0.25">
      <c r="A1220" s="88" t="s">
        <v>1622</v>
      </c>
      <c r="B1220" s="88">
        <v>1988</v>
      </c>
      <c r="C1220" s="89" t="s">
        <v>1821</v>
      </c>
      <c r="D1220" s="88" t="s">
        <v>160</v>
      </c>
      <c r="F1220" s="70">
        <f t="shared" si="36"/>
        <v>1988</v>
      </c>
      <c r="G1220" s="70" t="s">
        <v>159</v>
      </c>
      <c r="H1220" s="70" t="str">
        <f t="shared" si="37"/>
        <v>KLM</v>
      </c>
    </row>
    <row r="1221" spans="1:8" ht="15" x14ac:dyDescent="0.25">
      <c r="A1221" s="88" t="s">
        <v>1622</v>
      </c>
      <c r="B1221" s="88">
        <v>1988</v>
      </c>
      <c r="C1221" s="89" t="s">
        <v>1820</v>
      </c>
      <c r="D1221" s="88" t="s">
        <v>160</v>
      </c>
      <c r="F1221" s="70">
        <f t="shared" si="36"/>
        <v>1988</v>
      </c>
      <c r="G1221" s="70" t="s">
        <v>159</v>
      </c>
      <c r="H1221" s="70" t="str">
        <f t="shared" si="37"/>
        <v>KLM</v>
      </c>
    </row>
    <row r="1222" spans="1:8" ht="15" x14ac:dyDescent="0.25">
      <c r="A1222" s="88" t="s">
        <v>1622</v>
      </c>
      <c r="B1222" s="88">
        <v>1988</v>
      </c>
      <c r="C1222" s="89" t="s">
        <v>1819</v>
      </c>
      <c r="D1222" s="88" t="s">
        <v>160</v>
      </c>
      <c r="F1222" s="70">
        <f t="shared" si="36"/>
        <v>1988</v>
      </c>
      <c r="G1222" s="70" t="s">
        <v>159</v>
      </c>
      <c r="H1222" s="70" t="str">
        <f t="shared" si="37"/>
        <v>KLM</v>
      </c>
    </row>
    <row r="1223" spans="1:8" ht="15" x14ac:dyDescent="0.25">
      <c r="A1223" s="88" t="s">
        <v>1622</v>
      </c>
      <c r="B1223" s="88">
        <v>1989</v>
      </c>
      <c r="C1223" s="89" t="s">
        <v>1818</v>
      </c>
      <c r="D1223" s="88" t="s">
        <v>160</v>
      </c>
      <c r="F1223" s="70">
        <f t="shared" si="36"/>
        <v>1989</v>
      </c>
      <c r="G1223" s="70" t="s">
        <v>159</v>
      </c>
      <c r="H1223" s="70" t="str">
        <f t="shared" si="37"/>
        <v>KLM</v>
      </c>
    </row>
    <row r="1224" spans="1:8" ht="15" x14ac:dyDescent="0.25">
      <c r="A1224" s="88" t="s">
        <v>1622</v>
      </c>
      <c r="B1224" s="88">
        <v>1989</v>
      </c>
      <c r="C1224" s="89" t="s">
        <v>1817</v>
      </c>
      <c r="D1224" s="88" t="s">
        <v>160</v>
      </c>
      <c r="F1224" s="70">
        <f t="shared" ref="F1224:F1287" si="38">+B1224</f>
        <v>1989</v>
      </c>
      <c r="G1224" s="70" t="s">
        <v>159</v>
      </c>
      <c r="H1224" s="70" t="str">
        <f t="shared" ref="H1224:H1287" si="39">A1224</f>
        <v>KLM</v>
      </c>
    </row>
    <row r="1225" spans="1:8" ht="15" x14ac:dyDescent="0.25">
      <c r="A1225" s="88" t="s">
        <v>1622</v>
      </c>
      <c r="B1225" s="88">
        <v>1989</v>
      </c>
      <c r="C1225" s="89" t="s">
        <v>1816</v>
      </c>
      <c r="D1225" s="88" t="s">
        <v>160</v>
      </c>
      <c r="F1225" s="70">
        <f t="shared" si="38"/>
        <v>1989</v>
      </c>
      <c r="G1225" s="70" t="s">
        <v>159</v>
      </c>
      <c r="H1225" s="70" t="str">
        <f t="shared" si="39"/>
        <v>KLM</v>
      </c>
    </row>
    <row r="1226" spans="1:8" ht="15" x14ac:dyDescent="0.25">
      <c r="A1226" s="88" t="s">
        <v>1622</v>
      </c>
      <c r="B1226" s="88">
        <v>1989</v>
      </c>
      <c r="C1226" s="89" t="s">
        <v>1815</v>
      </c>
      <c r="D1226" s="88" t="s">
        <v>160</v>
      </c>
      <c r="F1226" s="70">
        <f t="shared" si="38"/>
        <v>1989</v>
      </c>
      <c r="G1226" s="70" t="s">
        <v>159</v>
      </c>
      <c r="H1226" s="70" t="str">
        <f t="shared" si="39"/>
        <v>KLM</v>
      </c>
    </row>
    <row r="1227" spans="1:8" ht="15" x14ac:dyDescent="0.25">
      <c r="A1227" s="88" t="s">
        <v>1622</v>
      </c>
      <c r="B1227" s="88">
        <v>1989</v>
      </c>
      <c r="C1227" s="89" t="s">
        <v>1814</v>
      </c>
      <c r="D1227" s="88" t="s">
        <v>160</v>
      </c>
      <c r="F1227" s="70">
        <f t="shared" si="38"/>
        <v>1989</v>
      </c>
      <c r="G1227" s="70" t="s">
        <v>159</v>
      </c>
      <c r="H1227" s="70" t="str">
        <f t="shared" si="39"/>
        <v>KLM</v>
      </c>
    </row>
    <row r="1228" spans="1:8" ht="15" x14ac:dyDescent="0.25">
      <c r="A1228" s="88" t="s">
        <v>1622</v>
      </c>
      <c r="B1228" s="88">
        <v>1989</v>
      </c>
      <c r="C1228" s="89" t="s">
        <v>1813</v>
      </c>
      <c r="D1228" s="88" t="s">
        <v>160</v>
      </c>
      <c r="F1228" s="70">
        <f t="shared" si="38"/>
        <v>1989</v>
      </c>
      <c r="G1228" s="70" t="s">
        <v>159</v>
      </c>
      <c r="H1228" s="70" t="str">
        <f t="shared" si="39"/>
        <v>KLM</v>
      </c>
    </row>
    <row r="1229" spans="1:8" ht="15" x14ac:dyDescent="0.25">
      <c r="A1229" s="88" t="s">
        <v>1622</v>
      </c>
      <c r="B1229" s="88">
        <v>1989</v>
      </c>
      <c r="C1229" s="89" t="s">
        <v>1812</v>
      </c>
      <c r="D1229" s="88" t="s">
        <v>160</v>
      </c>
      <c r="F1229" s="70">
        <f t="shared" si="38"/>
        <v>1989</v>
      </c>
      <c r="G1229" s="70" t="s">
        <v>159</v>
      </c>
      <c r="H1229" s="70" t="str">
        <f t="shared" si="39"/>
        <v>KLM</v>
      </c>
    </row>
    <row r="1230" spans="1:8" ht="15" x14ac:dyDescent="0.25">
      <c r="A1230" s="88" t="s">
        <v>1622</v>
      </c>
      <c r="B1230" s="88">
        <v>1989</v>
      </c>
      <c r="C1230" s="89" t="s">
        <v>1811</v>
      </c>
      <c r="D1230" s="88" t="s">
        <v>160</v>
      </c>
      <c r="F1230" s="70">
        <f t="shared" si="38"/>
        <v>1989</v>
      </c>
      <c r="G1230" s="70" t="s">
        <v>159</v>
      </c>
      <c r="H1230" s="70" t="str">
        <f t="shared" si="39"/>
        <v>KLM</v>
      </c>
    </row>
    <row r="1231" spans="1:8" ht="15" x14ac:dyDescent="0.25">
      <c r="A1231" s="88" t="s">
        <v>1622</v>
      </c>
      <c r="B1231" s="88">
        <v>1989</v>
      </c>
      <c r="C1231" s="89" t="s">
        <v>1810</v>
      </c>
      <c r="D1231" s="88" t="s">
        <v>160</v>
      </c>
      <c r="F1231" s="70">
        <f t="shared" si="38"/>
        <v>1989</v>
      </c>
      <c r="G1231" s="70" t="s">
        <v>159</v>
      </c>
      <c r="H1231" s="70" t="str">
        <f t="shared" si="39"/>
        <v>KLM</v>
      </c>
    </row>
    <row r="1232" spans="1:8" ht="15" x14ac:dyDescent="0.25">
      <c r="A1232" s="88" t="s">
        <v>1622</v>
      </c>
      <c r="B1232" s="88">
        <v>1990</v>
      </c>
      <c r="C1232" s="89" t="s">
        <v>1809</v>
      </c>
      <c r="D1232" s="88" t="s">
        <v>160</v>
      </c>
      <c r="F1232" s="70">
        <f t="shared" si="38"/>
        <v>1990</v>
      </c>
      <c r="G1232" s="70" t="s">
        <v>159</v>
      </c>
      <c r="H1232" s="70" t="str">
        <f t="shared" si="39"/>
        <v>KLM</v>
      </c>
    </row>
    <row r="1233" spans="1:8" ht="15" x14ac:dyDescent="0.25">
      <c r="A1233" s="88" t="s">
        <v>1622</v>
      </c>
      <c r="B1233" s="88">
        <v>1990</v>
      </c>
      <c r="C1233" s="89" t="s">
        <v>1808</v>
      </c>
      <c r="D1233" s="88" t="s">
        <v>160</v>
      </c>
      <c r="F1233" s="70">
        <f t="shared" si="38"/>
        <v>1990</v>
      </c>
      <c r="G1233" s="70" t="s">
        <v>159</v>
      </c>
      <c r="H1233" s="70" t="str">
        <f t="shared" si="39"/>
        <v>KLM</v>
      </c>
    </row>
    <row r="1234" spans="1:8" ht="15" x14ac:dyDescent="0.25">
      <c r="A1234" s="88" t="s">
        <v>1622</v>
      </c>
      <c r="B1234" s="88">
        <v>1990</v>
      </c>
      <c r="C1234" s="89" t="s">
        <v>1807</v>
      </c>
      <c r="D1234" s="88" t="s">
        <v>160</v>
      </c>
      <c r="F1234" s="70">
        <f t="shared" si="38"/>
        <v>1990</v>
      </c>
      <c r="G1234" s="70" t="s">
        <v>159</v>
      </c>
      <c r="H1234" s="70" t="str">
        <f t="shared" si="39"/>
        <v>KLM</v>
      </c>
    </row>
    <row r="1235" spans="1:8" ht="15" x14ac:dyDescent="0.25">
      <c r="A1235" s="88" t="s">
        <v>1622</v>
      </c>
      <c r="B1235" s="88">
        <v>1990</v>
      </c>
      <c r="C1235" s="89" t="s">
        <v>1806</v>
      </c>
      <c r="D1235" s="88" t="s">
        <v>160</v>
      </c>
      <c r="F1235" s="70">
        <f t="shared" si="38"/>
        <v>1990</v>
      </c>
      <c r="G1235" s="70" t="s">
        <v>159</v>
      </c>
      <c r="H1235" s="70" t="str">
        <f t="shared" si="39"/>
        <v>KLM</v>
      </c>
    </row>
    <row r="1236" spans="1:8" ht="15" x14ac:dyDescent="0.25">
      <c r="A1236" s="88" t="s">
        <v>1622</v>
      </c>
      <c r="B1236" s="88">
        <v>1990</v>
      </c>
      <c r="C1236" s="89" t="s">
        <v>1805</v>
      </c>
      <c r="D1236" s="88" t="s">
        <v>160</v>
      </c>
      <c r="F1236" s="70">
        <f t="shared" si="38"/>
        <v>1990</v>
      </c>
      <c r="G1236" s="70" t="s">
        <v>159</v>
      </c>
      <c r="H1236" s="70" t="str">
        <f t="shared" si="39"/>
        <v>KLM</v>
      </c>
    </row>
    <row r="1237" spans="1:8" ht="15" x14ac:dyDescent="0.25">
      <c r="A1237" s="88" t="s">
        <v>1622</v>
      </c>
      <c r="B1237" s="88">
        <v>1990</v>
      </c>
      <c r="C1237" s="89" t="s">
        <v>1804</v>
      </c>
      <c r="D1237" s="88" t="s">
        <v>160</v>
      </c>
      <c r="F1237" s="70">
        <f t="shared" si="38"/>
        <v>1990</v>
      </c>
      <c r="G1237" s="70" t="s">
        <v>159</v>
      </c>
      <c r="H1237" s="70" t="str">
        <f t="shared" si="39"/>
        <v>KLM</v>
      </c>
    </row>
    <row r="1238" spans="1:8" ht="15" x14ac:dyDescent="0.25">
      <c r="A1238" s="88" t="s">
        <v>1622</v>
      </c>
      <c r="B1238" s="88">
        <v>1990</v>
      </c>
      <c r="C1238" s="89" t="s">
        <v>1803</v>
      </c>
      <c r="D1238" s="88" t="s">
        <v>160</v>
      </c>
      <c r="F1238" s="70">
        <f t="shared" si="38"/>
        <v>1990</v>
      </c>
      <c r="G1238" s="70" t="s">
        <v>159</v>
      </c>
      <c r="H1238" s="70" t="str">
        <f t="shared" si="39"/>
        <v>KLM</v>
      </c>
    </row>
    <row r="1239" spans="1:8" ht="15" x14ac:dyDescent="0.25">
      <c r="A1239" s="88" t="s">
        <v>1622</v>
      </c>
      <c r="B1239" s="88">
        <v>1990</v>
      </c>
      <c r="C1239" s="89" t="s">
        <v>1802</v>
      </c>
      <c r="D1239" s="88" t="s">
        <v>160</v>
      </c>
      <c r="F1239" s="70">
        <f t="shared" si="38"/>
        <v>1990</v>
      </c>
      <c r="G1239" s="70" t="s">
        <v>159</v>
      </c>
      <c r="H1239" s="70" t="str">
        <f t="shared" si="39"/>
        <v>KLM</v>
      </c>
    </row>
    <row r="1240" spans="1:8" ht="15" x14ac:dyDescent="0.25">
      <c r="A1240" s="88" t="s">
        <v>1622</v>
      </c>
      <c r="B1240" s="88">
        <v>1991</v>
      </c>
      <c r="C1240" s="89" t="s">
        <v>1801</v>
      </c>
      <c r="D1240" s="88" t="s">
        <v>160</v>
      </c>
      <c r="F1240" s="70">
        <f t="shared" si="38"/>
        <v>1991</v>
      </c>
      <c r="G1240" s="70" t="s">
        <v>159</v>
      </c>
      <c r="H1240" s="70" t="str">
        <f t="shared" si="39"/>
        <v>KLM</v>
      </c>
    </row>
    <row r="1241" spans="1:8" ht="15" x14ac:dyDescent="0.25">
      <c r="A1241" s="88" t="s">
        <v>1622</v>
      </c>
      <c r="B1241" s="88">
        <v>1991</v>
      </c>
      <c r="C1241" s="89" t="s">
        <v>1800</v>
      </c>
      <c r="D1241" s="88" t="s">
        <v>160</v>
      </c>
      <c r="F1241" s="70">
        <f t="shared" si="38"/>
        <v>1991</v>
      </c>
      <c r="G1241" s="70" t="s">
        <v>159</v>
      </c>
      <c r="H1241" s="70" t="str">
        <f t="shared" si="39"/>
        <v>KLM</v>
      </c>
    </row>
    <row r="1242" spans="1:8" ht="15" x14ac:dyDescent="0.25">
      <c r="A1242" s="88" t="s">
        <v>1622</v>
      </c>
      <c r="B1242" s="88">
        <v>1991</v>
      </c>
      <c r="C1242" s="89" t="s">
        <v>1799</v>
      </c>
      <c r="D1242" s="88" t="s">
        <v>160</v>
      </c>
      <c r="F1242" s="70">
        <f t="shared" si="38"/>
        <v>1991</v>
      </c>
      <c r="G1242" s="70" t="s">
        <v>159</v>
      </c>
      <c r="H1242" s="70" t="str">
        <f t="shared" si="39"/>
        <v>KLM</v>
      </c>
    </row>
    <row r="1243" spans="1:8" ht="15" x14ac:dyDescent="0.25">
      <c r="A1243" s="88" t="s">
        <v>1622</v>
      </c>
      <c r="B1243" s="88">
        <v>1992</v>
      </c>
      <c r="C1243" s="89" t="s">
        <v>1798</v>
      </c>
      <c r="D1243" s="88" t="s">
        <v>160</v>
      </c>
      <c r="F1243" s="70">
        <f t="shared" si="38"/>
        <v>1992</v>
      </c>
      <c r="G1243" s="70" t="s">
        <v>159</v>
      </c>
      <c r="H1243" s="70" t="str">
        <f t="shared" si="39"/>
        <v>KLM</v>
      </c>
    </row>
    <row r="1244" spans="1:8" ht="15" x14ac:dyDescent="0.25">
      <c r="A1244" s="88" t="s">
        <v>1622</v>
      </c>
      <c r="B1244" s="88">
        <v>1992</v>
      </c>
      <c r="C1244" s="89" t="s">
        <v>1797</v>
      </c>
      <c r="D1244" s="88" t="s">
        <v>160</v>
      </c>
      <c r="F1244" s="70">
        <f t="shared" si="38"/>
        <v>1992</v>
      </c>
      <c r="G1244" s="70" t="s">
        <v>159</v>
      </c>
      <c r="H1244" s="70" t="str">
        <f t="shared" si="39"/>
        <v>KLM</v>
      </c>
    </row>
    <row r="1245" spans="1:8" ht="15" x14ac:dyDescent="0.25">
      <c r="A1245" s="88" t="s">
        <v>1622</v>
      </c>
      <c r="B1245" s="88">
        <v>1992</v>
      </c>
      <c r="C1245" s="89" t="s">
        <v>1796</v>
      </c>
      <c r="D1245" s="88" t="s">
        <v>160</v>
      </c>
      <c r="F1245" s="70">
        <f t="shared" si="38"/>
        <v>1992</v>
      </c>
      <c r="G1245" s="70" t="s">
        <v>159</v>
      </c>
      <c r="H1245" s="70" t="str">
        <f t="shared" si="39"/>
        <v>KLM</v>
      </c>
    </row>
    <row r="1246" spans="1:8" ht="15" x14ac:dyDescent="0.25">
      <c r="A1246" s="88" t="s">
        <v>1622</v>
      </c>
      <c r="B1246" s="88">
        <v>1992</v>
      </c>
      <c r="C1246" s="89" t="s">
        <v>1795</v>
      </c>
      <c r="D1246" s="88" t="s">
        <v>160</v>
      </c>
      <c r="F1246" s="70">
        <f t="shared" si="38"/>
        <v>1992</v>
      </c>
      <c r="G1246" s="70" t="s">
        <v>159</v>
      </c>
      <c r="H1246" s="70" t="str">
        <f t="shared" si="39"/>
        <v>KLM</v>
      </c>
    </row>
    <row r="1247" spans="1:8" ht="15" x14ac:dyDescent="0.25">
      <c r="A1247" s="88" t="s">
        <v>1622</v>
      </c>
      <c r="B1247" s="88">
        <v>1992</v>
      </c>
      <c r="C1247" s="89" t="s">
        <v>1794</v>
      </c>
      <c r="D1247" s="88" t="s">
        <v>160</v>
      </c>
      <c r="F1247" s="70">
        <f t="shared" si="38"/>
        <v>1992</v>
      </c>
      <c r="G1247" s="70" t="s">
        <v>159</v>
      </c>
      <c r="H1247" s="70" t="str">
        <f t="shared" si="39"/>
        <v>KLM</v>
      </c>
    </row>
    <row r="1248" spans="1:8" ht="15" x14ac:dyDescent="0.25">
      <c r="A1248" s="88" t="s">
        <v>1622</v>
      </c>
      <c r="B1248" s="88">
        <v>1992</v>
      </c>
      <c r="C1248" s="89" t="s">
        <v>1793</v>
      </c>
      <c r="D1248" s="88" t="s">
        <v>160</v>
      </c>
      <c r="F1248" s="70">
        <f t="shared" si="38"/>
        <v>1992</v>
      </c>
      <c r="G1248" s="70" t="s">
        <v>159</v>
      </c>
      <c r="H1248" s="70" t="str">
        <f t="shared" si="39"/>
        <v>KLM</v>
      </c>
    </row>
    <row r="1249" spans="1:8" ht="15" x14ac:dyDescent="0.25">
      <c r="A1249" s="88" t="s">
        <v>1622</v>
      </c>
      <c r="B1249" s="88">
        <v>1992</v>
      </c>
      <c r="C1249" s="89" t="s">
        <v>1792</v>
      </c>
      <c r="D1249" s="88" t="s">
        <v>160</v>
      </c>
      <c r="F1249" s="70">
        <f t="shared" si="38"/>
        <v>1992</v>
      </c>
      <c r="G1249" s="70" t="s">
        <v>159</v>
      </c>
      <c r="H1249" s="70" t="str">
        <f t="shared" si="39"/>
        <v>KLM</v>
      </c>
    </row>
    <row r="1250" spans="1:8" ht="15" x14ac:dyDescent="0.25">
      <c r="A1250" s="88" t="s">
        <v>1622</v>
      </c>
      <c r="B1250" s="88">
        <v>1993</v>
      </c>
      <c r="C1250" s="89" t="s">
        <v>1791</v>
      </c>
      <c r="D1250" s="88" t="s">
        <v>160</v>
      </c>
      <c r="F1250" s="70">
        <f t="shared" si="38"/>
        <v>1993</v>
      </c>
      <c r="G1250" s="70" t="s">
        <v>159</v>
      </c>
      <c r="H1250" s="70" t="str">
        <f t="shared" si="39"/>
        <v>KLM</v>
      </c>
    </row>
    <row r="1251" spans="1:8" ht="15" x14ac:dyDescent="0.25">
      <c r="A1251" s="88" t="s">
        <v>1622</v>
      </c>
      <c r="B1251" s="88">
        <v>1993</v>
      </c>
      <c r="C1251" s="89" t="s">
        <v>1790</v>
      </c>
      <c r="D1251" s="88" t="s">
        <v>160</v>
      </c>
      <c r="F1251" s="70">
        <f t="shared" si="38"/>
        <v>1993</v>
      </c>
      <c r="G1251" s="70" t="s">
        <v>159</v>
      </c>
      <c r="H1251" s="70" t="str">
        <f t="shared" si="39"/>
        <v>KLM</v>
      </c>
    </row>
    <row r="1252" spans="1:8" ht="15" x14ac:dyDescent="0.25">
      <c r="A1252" s="88" t="s">
        <v>1622</v>
      </c>
      <c r="B1252" s="88">
        <v>1993</v>
      </c>
      <c r="C1252" s="89" t="s">
        <v>1789</v>
      </c>
      <c r="D1252" s="88" t="s">
        <v>160</v>
      </c>
      <c r="F1252" s="70">
        <f t="shared" si="38"/>
        <v>1993</v>
      </c>
      <c r="G1252" s="70" t="s">
        <v>159</v>
      </c>
      <c r="H1252" s="70" t="str">
        <f t="shared" si="39"/>
        <v>KLM</v>
      </c>
    </row>
    <row r="1253" spans="1:8" ht="15" x14ac:dyDescent="0.25">
      <c r="A1253" s="88" t="s">
        <v>1622</v>
      </c>
      <c r="B1253" s="88">
        <v>1994</v>
      </c>
      <c r="C1253" s="89" t="s">
        <v>1788</v>
      </c>
      <c r="D1253" s="88" t="s">
        <v>160</v>
      </c>
      <c r="F1253" s="70">
        <f t="shared" si="38"/>
        <v>1994</v>
      </c>
      <c r="G1253" s="70" t="s">
        <v>159</v>
      </c>
      <c r="H1253" s="70" t="str">
        <f t="shared" si="39"/>
        <v>KLM</v>
      </c>
    </row>
    <row r="1254" spans="1:8" ht="15" x14ac:dyDescent="0.25">
      <c r="A1254" s="88" t="s">
        <v>1622</v>
      </c>
      <c r="B1254" s="88">
        <v>1994</v>
      </c>
      <c r="C1254" s="89" t="s">
        <v>1787</v>
      </c>
      <c r="D1254" s="88" t="s">
        <v>160</v>
      </c>
      <c r="F1254" s="70">
        <f t="shared" si="38"/>
        <v>1994</v>
      </c>
      <c r="G1254" s="70" t="s">
        <v>159</v>
      </c>
      <c r="H1254" s="70" t="str">
        <f t="shared" si="39"/>
        <v>KLM</v>
      </c>
    </row>
    <row r="1255" spans="1:8" ht="15" x14ac:dyDescent="0.25">
      <c r="A1255" s="88" t="s">
        <v>1622</v>
      </c>
      <c r="B1255" s="88">
        <v>1994</v>
      </c>
      <c r="C1255" s="89" t="s">
        <v>1786</v>
      </c>
      <c r="D1255" s="88" t="s">
        <v>160</v>
      </c>
      <c r="F1255" s="70">
        <f t="shared" si="38"/>
        <v>1994</v>
      </c>
      <c r="G1255" s="70" t="s">
        <v>159</v>
      </c>
      <c r="H1255" s="70" t="str">
        <f t="shared" si="39"/>
        <v>KLM</v>
      </c>
    </row>
    <row r="1256" spans="1:8" ht="15" x14ac:dyDescent="0.25">
      <c r="A1256" s="88" t="s">
        <v>1622</v>
      </c>
      <c r="B1256" s="88">
        <v>1994</v>
      </c>
      <c r="C1256" s="89" t="s">
        <v>1785</v>
      </c>
      <c r="D1256" s="88" t="s">
        <v>160</v>
      </c>
      <c r="F1256" s="70">
        <f t="shared" si="38"/>
        <v>1994</v>
      </c>
      <c r="G1256" s="70" t="s">
        <v>159</v>
      </c>
      <c r="H1256" s="70" t="str">
        <f t="shared" si="39"/>
        <v>KLM</v>
      </c>
    </row>
    <row r="1257" spans="1:8" ht="15" x14ac:dyDescent="0.25">
      <c r="A1257" s="88" t="s">
        <v>1622</v>
      </c>
      <c r="B1257" s="88">
        <v>1994</v>
      </c>
      <c r="C1257" s="89" t="s">
        <v>1784</v>
      </c>
      <c r="D1257" s="88" t="s">
        <v>160</v>
      </c>
      <c r="F1257" s="70">
        <f t="shared" si="38"/>
        <v>1994</v>
      </c>
      <c r="G1257" s="70" t="s">
        <v>159</v>
      </c>
      <c r="H1257" s="70" t="str">
        <f t="shared" si="39"/>
        <v>KLM</v>
      </c>
    </row>
    <row r="1258" spans="1:8" ht="15" x14ac:dyDescent="0.25">
      <c r="A1258" s="88" t="s">
        <v>1622</v>
      </c>
      <c r="B1258" s="88">
        <v>1994</v>
      </c>
      <c r="C1258" s="89" t="s">
        <v>1783</v>
      </c>
      <c r="D1258" s="88" t="s">
        <v>160</v>
      </c>
      <c r="F1258" s="70">
        <f t="shared" si="38"/>
        <v>1994</v>
      </c>
      <c r="G1258" s="70" t="s">
        <v>159</v>
      </c>
      <c r="H1258" s="70" t="str">
        <f t="shared" si="39"/>
        <v>KLM</v>
      </c>
    </row>
    <row r="1259" spans="1:8" ht="15" x14ac:dyDescent="0.25">
      <c r="A1259" s="88" t="s">
        <v>1622</v>
      </c>
      <c r="B1259" s="88">
        <v>1994</v>
      </c>
      <c r="C1259" s="89" t="s">
        <v>1782</v>
      </c>
      <c r="D1259" s="88" t="s">
        <v>160</v>
      </c>
      <c r="F1259" s="70">
        <f t="shared" si="38"/>
        <v>1994</v>
      </c>
      <c r="G1259" s="70" t="s">
        <v>159</v>
      </c>
      <c r="H1259" s="70" t="str">
        <f t="shared" si="39"/>
        <v>KLM</v>
      </c>
    </row>
    <row r="1260" spans="1:8" ht="15" x14ac:dyDescent="0.25">
      <c r="A1260" s="88" t="s">
        <v>1622</v>
      </c>
      <c r="B1260" s="88">
        <v>1994</v>
      </c>
      <c r="C1260" s="89" t="s">
        <v>1781</v>
      </c>
      <c r="D1260" s="88" t="s">
        <v>160</v>
      </c>
      <c r="F1260" s="70">
        <f t="shared" si="38"/>
        <v>1994</v>
      </c>
      <c r="G1260" s="70" t="s">
        <v>159</v>
      </c>
      <c r="H1260" s="70" t="str">
        <f t="shared" si="39"/>
        <v>KLM</v>
      </c>
    </row>
    <row r="1261" spans="1:8" ht="15" x14ac:dyDescent="0.25">
      <c r="A1261" s="88" t="s">
        <v>1622</v>
      </c>
      <c r="B1261" s="88">
        <v>1995</v>
      </c>
      <c r="C1261" s="89" t="s">
        <v>1780</v>
      </c>
      <c r="D1261" s="88" t="s">
        <v>160</v>
      </c>
      <c r="F1261" s="70">
        <f t="shared" si="38"/>
        <v>1995</v>
      </c>
      <c r="G1261" s="70" t="s">
        <v>159</v>
      </c>
      <c r="H1261" s="70" t="str">
        <f t="shared" si="39"/>
        <v>KLM</v>
      </c>
    </row>
    <row r="1262" spans="1:8" ht="15" x14ac:dyDescent="0.25">
      <c r="A1262" s="88" t="s">
        <v>1622</v>
      </c>
      <c r="B1262" s="88">
        <v>1995</v>
      </c>
      <c r="C1262" s="89" t="s">
        <v>1779</v>
      </c>
      <c r="D1262" s="88" t="s">
        <v>160</v>
      </c>
      <c r="F1262" s="70">
        <f t="shared" si="38"/>
        <v>1995</v>
      </c>
      <c r="G1262" s="70" t="s">
        <v>159</v>
      </c>
      <c r="H1262" s="70" t="str">
        <f t="shared" si="39"/>
        <v>KLM</v>
      </c>
    </row>
    <row r="1263" spans="1:8" ht="15" x14ac:dyDescent="0.25">
      <c r="A1263" s="88" t="s">
        <v>1622</v>
      </c>
      <c r="B1263" s="88">
        <v>1995</v>
      </c>
      <c r="C1263" s="89" t="s">
        <v>1778</v>
      </c>
      <c r="D1263" s="88" t="s">
        <v>160</v>
      </c>
      <c r="F1263" s="70">
        <f t="shared" si="38"/>
        <v>1995</v>
      </c>
      <c r="G1263" s="70" t="s">
        <v>159</v>
      </c>
      <c r="H1263" s="70" t="str">
        <f t="shared" si="39"/>
        <v>KLM</v>
      </c>
    </row>
    <row r="1264" spans="1:8" ht="15" x14ac:dyDescent="0.25">
      <c r="A1264" s="88" t="s">
        <v>1622</v>
      </c>
      <c r="B1264" s="88">
        <v>1995</v>
      </c>
      <c r="C1264" s="89" t="s">
        <v>1777</v>
      </c>
      <c r="D1264" s="88" t="s">
        <v>160</v>
      </c>
      <c r="F1264" s="70">
        <f t="shared" si="38"/>
        <v>1995</v>
      </c>
      <c r="G1264" s="70" t="s">
        <v>159</v>
      </c>
      <c r="H1264" s="70" t="str">
        <f t="shared" si="39"/>
        <v>KLM</v>
      </c>
    </row>
    <row r="1265" spans="1:8" ht="15" x14ac:dyDescent="0.25">
      <c r="A1265" s="88" t="s">
        <v>1622</v>
      </c>
      <c r="B1265" s="88">
        <v>1995</v>
      </c>
      <c r="C1265" s="89" t="s">
        <v>1776</v>
      </c>
      <c r="D1265" s="88" t="s">
        <v>160</v>
      </c>
      <c r="F1265" s="70">
        <f t="shared" si="38"/>
        <v>1995</v>
      </c>
      <c r="G1265" s="70" t="s">
        <v>159</v>
      </c>
      <c r="H1265" s="70" t="str">
        <f t="shared" si="39"/>
        <v>KLM</v>
      </c>
    </row>
    <row r="1266" spans="1:8" ht="15" x14ac:dyDescent="0.25">
      <c r="A1266" s="88" t="s">
        <v>1622</v>
      </c>
      <c r="B1266" s="88">
        <v>1995</v>
      </c>
      <c r="C1266" s="89" t="s">
        <v>1775</v>
      </c>
      <c r="D1266" s="88" t="s">
        <v>160</v>
      </c>
      <c r="F1266" s="70">
        <f t="shared" si="38"/>
        <v>1995</v>
      </c>
      <c r="G1266" s="70" t="s">
        <v>159</v>
      </c>
      <c r="H1266" s="70" t="str">
        <f t="shared" si="39"/>
        <v>KLM</v>
      </c>
    </row>
    <row r="1267" spans="1:8" ht="15" x14ac:dyDescent="0.25">
      <c r="A1267" s="88" t="s">
        <v>1622</v>
      </c>
      <c r="B1267" s="88">
        <v>1995</v>
      </c>
      <c r="C1267" s="89" t="s">
        <v>1774</v>
      </c>
      <c r="D1267" s="88" t="s">
        <v>160</v>
      </c>
      <c r="F1267" s="70">
        <f t="shared" si="38"/>
        <v>1995</v>
      </c>
      <c r="G1267" s="70" t="s">
        <v>159</v>
      </c>
      <c r="H1267" s="70" t="str">
        <f t="shared" si="39"/>
        <v>KLM</v>
      </c>
    </row>
    <row r="1268" spans="1:8" ht="15" x14ac:dyDescent="0.25">
      <c r="A1268" s="88" t="s">
        <v>1622</v>
      </c>
      <c r="B1268" s="88">
        <v>1996</v>
      </c>
      <c r="C1268" s="89" t="s">
        <v>1773</v>
      </c>
      <c r="D1268" s="88" t="s">
        <v>160</v>
      </c>
      <c r="F1268" s="70">
        <f t="shared" si="38"/>
        <v>1996</v>
      </c>
      <c r="G1268" s="70" t="s">
        <v>159</v>
      </c>
      <c r="H1268" s="70" t="str">
        <f t="shared" si="39"/>
        <v>KLM</v>
      </c>
    </row>
    <row r="1269" spans="1:8" ht="15" x14ac:dyDescent="0.25">
      <c r="A1269" s="88" t="s">
        <v>1622</v>
      </c>
      <c r="B1269" s="88">
        <v>1996</v>
      </c>
      <c r="C1269" s="89" t="s">
        <v>1772</v>
      </c>
      <c r="D1269" s="88" t="s">
        <v>160</v>
      </c>
      <c r="F1269" s="70">
        <f t="shared" si="38"/>
        <v>1996</v>
      </c>
      <c r="G1269" s="70" t="s">
        <v>159</v>
      </c>
      <c r="H1269" s="70" t="str">
        <f t="shared" si="39"/>
        <v>KLM</v>
      </c>
    </row>
    <row r="1270" spans="1:8" ht="15" x14ac:dyDescent="0.25">
      <c r="A1270" s="88" t="s">
        <v>1622</v>
      </c>
      <c r="B1270" s="88">
        <v>1996</v>
      </c>
      <c r="C1270" s="89" t="s">
        <v>1771</v>
      </c>
      <c r="D1270" s="88" t="s">
        <v>160</v>
      </c>
      <c r="F1270" s="70">
        <f t="shared" si="38"/>
        <v>1996</v>
      </c>
      <c r="G1270" s="70" t="s">
        <v>159</v>
      </c>
      <c r="H1270" s="70" t="str">
        <f t="shared" si="39"/>
        <v>KLM</v>
      </c>
    </row>
    <row r="1271" spans="1:8" ht="15" x14ac:dyDescent="0.25">
      <c r="A1271" s="88" t="s">
        <v>1622</v>
      </c>
      <c r="B1271" s="88">
        <v>1996</v>
      </c>
      <c r="C1271" s="89" t="s">
        <v>1770</v>
      </c>
      <c r="D1271" s="88" t="s">
        <v>160</v>
      </c>
      <c r="F1271" s="70">
        <f t="shared" si="38"/>
        <v>1996</v>
      </c>
      <c r="G1271" s="70" t="s">
        <v>159</v>
      </c>
      <c r="H1271" s="70" t="str">
        <f t="shared" si="39"/>
        <v>KLM</v>
      </c>
    </row>
    <row r="1272" spans="1:8" ht="15" x14ac:dyDescent="0.25">
      <c r="A1272" s="88" t="s">
        <v>1622</v>
      </c>
      <c r="B1272" s="88">
        <v>1996</v>
      </c>
      <c r="C1272" s="89" t="s">
        <v>1769</v>
      </c>
      <c r="D1272" s="88" t="s">
        <v>160</v>
      </c>
      <c r="F1272" s="70">
        <f t="shared" si="38"/>
        <v>1996</v>
      </c>
      <c r="G1272" s="70" t="s">
        <v>159</v>
      </c>
      <c r="H1272" s="70" t="str">
        <f t="shared" si="39"/>
        <v>KLM</v>
      </c>
    </row>
    <row r="1273" spans="1:8" ht="15" x14ac:dyDescent="0.25">
      <c r="A1273" s="88" t="s">
        <v>1622</v>
      </c>
      <c r="B1273" s="88">
        <v>1996</v>
      </c>
      <c r="C1273" s="89" t="s">
        <v>1768</v>
      </c>
      <c r="D1273" s="88" t="s">
        <v>160</v>
      </c>
      <c r="F1273" s="70">
        <f t="shared" si="38"/>
        <v>1996</v>
      </c>
      <c r="G1273" s="70" t="s">
        <v>159</v>
      </c>
      <c r="H1273" s="70" t="str">
        <f t="shared" si="39"/>
        <v>KLM</v>
      </c>
    </row>
    <row r="1274" spans="1:8" ht="15" x14ac:dyDescent="0.25">
      <c r="A1274" s="88" t="s">
        <v>1622</v>
      </c>
      <c r="B1274" s="88">
        <v>1997</v>
      </c>
      <c r="C1274" s="89" t="s">
        <v>1767</v>
      </c>
      <c r="D1274" s="88" t="s">
        <v>160</v>
      </c>
      <c r="F1274" s="70">
        <f t="shared" si="38"/>
        <v>1997</v>
      </c>
      <c r="G1274" s="70" t="s">
        <v>159</v>
      </c>
      <c r="H1274" s="70" t="str">
        <f t="shared" si="39"/>
        <v>KLM</v>
      </c>
    </row>
    <row r="1275" spans="1:8" ht="15" x14ac:dyDescent="0.25">
      <c r="A1275" s="88" t="s">
        <v>1622</v>
      </c>
      <c r="B1275" s="88">
        <v>1997</v>
      </c>
      <c r="C1275" s="89" t="s">
        <v>1766</v>
      </c>
      <c r="D1275" s="88" t="s">
        <v>160</v>
      </c>
      <c r="F1275" s="70">
        <f t="shared" si="38"/>
        <v>1997</v>
      </c>
      <c r="G1275" s="70" t="s">
        <v>159</v>
      </c>
      <c r="H1275" s="70" t="str">
        <f t="shared" si="39"/>
        <v>KLM</v>
      </c>
    </row>
    <row r="1276" spans="1:8" ht="15" x14ac:dyDescent="0.25">
      <c r="A1276" s="88" t="s">
        <v>1622</v>
      </c>
      <c r="B1276" s="88">
        <v>1997</v>
      </c>
      <c r="C1276" s="89" t="s">
        <v>1765</v>
      </c>
      <c r="D1276" s="88" t="s">
        <v>160</v>
      </c>
      <c r="F1276" s="70">
        <f t="shared" si="38"/>
        <v>1997</v>
      </c>
      <c r="G1276" s="70" t="s">
        <v>159</v>
      </c>
      <c r="H1276" s="70" t="str">
        <f t="shared" si="39"/>
        <v>KLM</v>
      </c>
    </row>
    <row r="1277" spans="1:8" ht="15" x14ac:dyDescent="0.25">
      <c r="A1277" s="88" t="s">
        <v>1622</v>
      </c>
      <c r="B1277" s="88">
        <v>1997</v>
      </c>
      <c r="C1277" s="89" t="s">
        <v>1764</v>
      </c>
      <c r="D1277" s="88" t="s">
        <v>160</v>
      </c>
      <c r="F1277" s="70">
        <f t="shared" si="38"/>
        <v>1997</v>
      </c>
      <c r="G1277" s="70" t="s">
        <v>159</v>
      </c>
      <c r="H1277" s="70" t="str">
        <f t="shared" si="39"/>
        <v>KLM</v>
      </c>
    </row>
    <row r="1278" spans="1:8" ht="15" x14ac:dyDescent="0.25">
      <c r="A1278" s="88" t="s">
        <v>1622</v>
      </c>
      <c r="B1278" s="88">
        <v>1997</v>
      </c>
      <c r="C1278" s="89" t="s">
        <v>1763</v>
      </c>
      <c r="D1278" s="88" t="s">
        <v>160</v>
      </c>
      <c r="F1278" s="70">
        <f t="shared" si="38"/>
        <v>1997</v>
      </c>
      <c r="G1278" s="70" t="s">
        <v>159</v>
      </c>
      <c r="H1278" s="70" t="str">
        <f t="shared" si="39"/>
        <v>KLM</v>
      </c>
    </row>
    <row r="1279" spans="1:8" ht="15" x14ac:dyDescent="0.25">
      <c r="A1279" s="88" t="s">
        <v>1622</v>
      </c>
      <c r="B1279" s="88">
        <v>1997</v>
      </c>
      <c r="C1279" s="89" t="s">
        <v>1762</v>
      </c>
      <c r="D1279" s="88" t="s">
        <v>160</v>
      </c>
      <c r="F1279" s="70">
        <f t="shared" si="38"/>
        <v>1997</v>
      </c>
      <c r="G1279" s="70" t="s">
        <v>159</v>
      </c>
      <c r="H1279" s="70" t="str">
        <f t="shared" si="39"/>
        <v>KLM</v>
      </c>
    </row>
    <row r="1280" spans="1:8" ht="15" x14ac:dyDescent="0.25">
      <c r="A1280" s="88" t="s">
        <v>1622</v>
      </c>
      <c r="B1280" s="88">
        <v>1997</v>
      </c>
      <c r="C1280" s="89" t="s">
        <v>1761</v>
      </c>
      <c r="D1280" s="88" t="s">
        <v>160</v>
      </c>
      <c r="F1280" s="70">
        <f t="shared" si="38"/>
        <v>1997</v>
      </c>
      <c r="G1280" s="70" t="s">
        <v>159</v>
      </c>
      <c r="H1280" s="70" t="str">
        <f t="shared" si="39"/>
        <v>KLM</v>
      </c>
    </row>
    <row r="1281" spans="1:8" ht="15" x14ac:dyDescent="0.25">
      <c r="A1281" s="88" t="s">
        <v>1622</v>
      </c>
      <c r="B1281" s="88">
        <v>1998</v>
      </c>
      <c r="C1281" s="89" t="s">
        <v>1760</v>
      </c>
      <c r="D1281" s="88" t="s">
        <v>160</v>
      </c>
      <c r="F1281" s="70">
        <f t="shared" si="38"/>
        <v>1998</v>
      </c>
      <c r="G1281" s="70" t="s">
        <v>159</v>
      </c>
      <c r="H1281" s="70" t="str">
        <f t="shared" si="39"/>
        <v>KLM</v>
      </c>
    </row>
    <row r="1282" spans="1:8" ht="15" x14ac:dyDescent="0.25">
      <c r="A1282" s="88" t="s">
        <v>1622</v>
      </c>
      <c r="B1282" s="88">
        <v>1998</v>
      </c>
      <c r="C1282" s="89" t="s">
        <v>1759</v>
      </c>
      <c r="D1282" s="88" t="s">
        <v>160</v>
      </c>
      <c r="F1282" s="70">
        <f t="shared" si="38"/>
        <v>1998</v>
      </c>
      <c r="G1282" s="70" t="s">
        <v>159</v>
      </c>
      <c r="H1282" s="70" t="str">
        <f t="shared" si="39"/>
        <v>KLM</v>
      </c>
    </row>
    <row r="1283" spans="1:8" ht="15" x14ac:dyDescent="0.25">
      <c r="A1283" s="88" t="s">
        <v>1622</v>
      </c>
      <c r="B1283" s="88">
        <v>1998</v>
      </c>
      <c r="C1283" s="89" t="s">
        <v>1758</v>
      </c>
      <c r="D1283" s="88" t="s">
        <v>160</v>
      </c>
      <c r="F1283" s="70">
        <f t="shared" si="38"/>
        <v>1998</v>
      </c>
      <c r="G1283" s="70" t="s">
        <v>159</v>
      </c>
      <c r="H1283" s="70" t="str">
        <f t="shared" si="39"/>
        <v>KLM</v>
      </c>
    </row>
    <row r="1284" spans="1:8" ht="15" x14ac:dyDescent="0.25">
      <c r="A1284" s="88" t="s">
        <v>1622</v>
      </c>
      <c r="B1284" s="88">
        <v>1998</v>
      </c>
      <c r="C1284" s="89" t="s">
        <v>1757</v>
      </c>
      <c r="D1284" s="88" t="s">
        <v>160</v>
      </c>
      <c r="F1284" s="70">
        <f t="shared" si="38"/>
        <v>1998</v>
      </c>
      <c r="G1284" s="70" t="s">
        <v>159</v>
      </c>
      <c r="H1284" s="70" t="str">
        <f t="shared" si="39"/>
        <v>KLM</v>
      </c>
    </row>
    <row r="1285" spans="1:8" ht="15" x14ac:dyDescent="0.25">
      <c r="A1285" s="88" t="s">
        <v>1622</v>
      </c>
      <c r="B1285" s="88">
        <v>1998</v>
      </c>
      <c r="C1285" s="89" t="s">
        <v>1756</v>
      </c>
      <c r="D1285" s="88" t="s">
        <v>160</v>
      </c>
      <c r="F1285" s="70">
        <f t="shared" si="38"/>
        <v>1998</v>
      </c>
      <c r="G1285" s="70" t="s">
        <v>159</v>
      </c>
      <c r="H1285" s="70" t="str">
        <f t="shared" si="39"/>
        <v>KLM</v>
      </c>
    </row>
    <row r="1286" spans="1:8" ht="15" x14ac:dyDescent="0.25">
      <c r="A1286" s="88" t="s">
        <v>1622</v>
      </c>
      <c r="B1286" s="88">
        <v>1999</v>
      </c>
      <c r="C1286" s="89" t="s">
        <v>1755</v>
      </c>
      <c r="D1286" s="88" t="s">
        <v>160</v>
      </c>
      <c r="F1286" s="70">
        <f t="shared" si="38"/>
        <v>1999</v>
      </c>
      <c r="G1286" s="70" t="s">
        <v>159</v>
      </c>
      <c r="H1286" s="70" t="str">
        <f t="shared" si="39"/>
        <v>KLM</v>
      </c>
    </row>
    <row r="1287" spans="1:8" ht="15" x14ac:dyDescent="0.25">
      <c r="A1287" s="88" t="s">
        <v>1622</v>
      </c>
      <c r="B1287" s="88">
        <v>1999</v>
      </c>
      <c r="C1287" s="89" t="s">
        <v>1754</v>
      </c>
      <c r="D1287" s="88" t="s">
        <v>160</v>
      </c>
      <c r="F1287" s="70">
        <f t="shared" si="38"/>
        <v>1999</v>
      </c>
      <c r="G1287" s="70" t="s">
        <v>159</v>
      </c>
      <c r="H1287" s="70" t="str">
        <f t="shared" si="39"/>
        <v>KLM</v>
      </c>
    </row>
    <row r="1288" spans="1:8" ht="15" x14ac:dyDescent="0.25">
      <c r="A1288" s="88" t="s">
        <v>1622</v>
      </c>
      <c r="B1288" s="88">
        <v>1999</v>
      </c>
      <c r="C1288" s="89" t="s">
        <v>1753</v>
      </c>
      <c r="D1288" s="88" t="s">
        <v>160</v>
      </c>
      <c r="F1288" s="70">
        <f t="shared" ref="F1288:F1351" si="40">+B1288</f>
        <v>1999</v>
      </c>
      <c r="G1288" s="70" t="s">
        <v>159</v>
      </c>
      <c r="H1288" s="70" t="str">
        <f t="shared" ref="H1288:H1351" si="41">A1288</f>
        <v>KLM</v>
      </c>
    </row>
    <row r="1289" spans="1:8" ht="15" x14ac:dyDescent="0.25">
      <c r="A1289" s="88" t="s">
        <v>1622</v>
      </c>
      <c r="B1289" s="88">
        <v>1999</v>
      </c>
      <c r="C1289" s="89" t="s">
        <v>1752</v>
      </c>
      <c r="D1289" s="88" t="s">
        <v>160</v>
      </c>
      <c r="F1289" s="70">
        <f t="shared" si="40"/>
        <v>1999</v>
      </c>
      <c r="G1289" s="70" t="s">
        <v>159</v>
      </c>
      <c r="H1289" s="70" t="str">
        <f t="shared" si="41"/>
        <v>KLM</v>
      </c>
    </row>
    <row r="1290" spans="1:8" ht="15" x14ac:dyDescent="0.25">
      <c r="A1290" s="88" t="s">
        <v>1622</v>
      </c>
      <c r="B1290" s="88">
        <v>1999</v>
      </c>
      <c r="C1290" s="89" t="s">
        <v>1751</v>
      </c>
      <c r="D1290" s="88" t="s">
        <v>160</v>
      </c>
      <c r="F1290" s="70">
        <f t="shared" si="40"/>
        <v>1999</v>
      </c>
      <c r="G1290" s="70" t="s">
        <v>159</v>
      </c>
      <c r="H1290" s="70" t="str">
        <f t="shared" si="41"/>
        <v>KLM</v>
      </c>
    </row>
    <row r="1291" spans="1:8" ht="15" x14ac:dyDescent="0.25">
      <c r="A1291" s="88" t="s">
        <v>1622</v>
      </c>
      <c r="B1291" s="88">
        <v>1999</v>
      </c>
      <c r="C1291" s="89" t="s">
        <v>1750</v>
      </c>
      <c r="D1291" s="88" t="s">
        <v>160</v>
      </c>
      <c r="F1291" s="70">
        <f t="shared" si="40"/>
        <v>1999</v>
      </c>
      <c r="G1291" s="70" t="s">
        <v>159</v>
      </c>
      <c r="H1291" s="70" t="str">
        <f t="shared" si="41"/>
        <v>KLM</v>
      </c>
    </row>
    <row r="1292" spans="1:8" ht="15" x14ac:dyDescent="0.25">
      <c r="A1292" s="88" t="s">
        <v>1622</v>
      </c>
      <c r="B1292" s="88">
        <v>1999</v>
      </c>
      <c r="C1292" s="89" t="s">
        <v>1749</v>
      </c>
      <c r="D1292" s="88" t="s">
        <v>160</v>
      </c>
      <c r="F1292" s="70">
        <f t="shared" si="40"/>
        <v>1999</v>
      </c>
      <c r="G1292" s="70" t="s">
        <v>159</v>
      </c>
      <c r="H1292" s="70" t="str">
        <f t="shared" si="41"/>
        <v>KLM</v>
      </c>
    </row>
    <row r="1293" spans="1:8" ht="15" x14ac:dyDescent="0.25">
      <c r="A1293" s="88" t="s">
        <v>1622</v>
      </c>
      <c r="B1293" s="88">
        <v>1999</v>
      </c>
      <c r="C1293" s="89" t="s">
        <v>1748</v>
      </c>
      <c r="D1293" s="88" t="s">
        <v>160</v>
      </c>
      <c r="F1293" s="70">
        <f t="shared" si="40"/>
        <v>1999</v>
      </c>
      <c r="G1293" s="70" t="s">
        <v>159</v>
      </c>
      <c r="H1293" s="70" t="str">
        <f t="shared" si="41"/>
        <v>KLM</v>
      </c>
    </row>
    <row r="1294" spans="1:8" ht="15" x14ac:dyDescent="0.25">
      <c r="A1294" s="88" t="s">
        <v>1622</v>
      </c>
      <c r="B1294" s="88">
        <v>2000</v>
      </c>
      <c r="C1294" s="89" t="s">
        <v>1747</v>
      </c>
      <c r="D1294" s="88" t="s">
        <v>160</v>
      </c>
      <c r="F1294" s="70">
        <f t="shared" si="40"/>
        <v>2000</v>
      </c>
      <c r="G1294" s="70" t="s">
        <v>159</v>
      </c>
      <c r="H1294" s="70" t="str">
        <f t="shared" si="41"/>
        <v>KLM</v>
      </c>
    </row>
    <row r="1295" spans="1:8" ht="15" x14ac:dyDescent="0.25">
      <c r="A1295" s="88" t="s">
        <v>1622</v>
      </c>
      <c r="B1295" s="88">
        <v>2000</v>
      </c>
      <c r="C1295" s="89" t="s">
        <v>1746</v>
      </c>
      <c r="D1295" s="88" t="s">
        <v>160</v>
      </c>
      <c r="F1295" s="70">
        <f t="shared" si="40"/>
        <v>2000</v>
      </c>
      <c r="G1295" s="70" t="s">
        <v>159</v>
      </c>
      <c r="H1295" s="70" t="str">
        <f t="shared" si="41"/>
        <v>KLM</v>
      </c>
    </row>
    <row r="1296" spans="1:8" ht="15" x14ac:dyDescent="0.25">
      <c r="A1296" s="88" t="s">
        <v>1622</v>
      </c>
      <c r="B1296" s="88">
        <v>2000</v>
      </c>
      <c r="C1296" s="89" t="s">
        <v>1745</v>
      </c>
      <c r="D1296" s="88" t="s">
        <v>160</v>
      </c>
      <c r="F1296" s="70">
        <f t="shared" si="40"/>
        <v>2000</v>
      </c>
      <c r="G1296" s="70" t="s">
        <v>159</v>
      </c>
      <c r="H1296" s="70" t="str">
        <f t="shared" si="41"/>
        <v>KLM</v>
      </c>
    </row>
    <row r="1297" spans="1:8" ht="15" x14ac:dyDescent="0.25">
      <c r="A1297" s="88" t="s">
        <v>1622</v>
      </c>
      <c r="B1297" s="88">
        <v>2000</v>
      </c>
      <c r="C1297" s="89" t="s">
        <v>1744</v>
      </c>
      <c r="D1297" s="88" t="s">
        <v>160</v>
      </c>
      <c r="F1297" s="70">
        <f t="shared" si="40"/>
        <v>2000</v>
      </c>
      <c r="G1297" s="70" t="s">
        <v>159</v>
      </c>
      <c r="H1297" s="70" t="str">
        <f t="shared" si="41"/>
        <v>KLM</v>
      </c>
    </row>
    <row r="1298" spans="1:8" ht="15" x14ac:dyDescent="0.25">
      <c r="A1298" s="88" t="s">
        <v>1622</v>
      </c>
      <c r="B1298" s="88">
        <v>2000</v>
      </c>
      <c r="C1298" s="89" t="s">
        <v>1743</v>
      </c>
      <c r="D1298" s="88" t="s">
        <v>160</v>
      </c>
      <c r="F1298" s="70">
        <f t="shared" si="40"/>
        <v>2000</v>
      </c>
      <c r="G1298" s="70" t="s">
        <v>159</v>
      </c>
      <c r="H1298" s="70" t="str">
        <f t="shared" si="41"/>
        <v>KLM</v>
      </c>
    </row>
    <row r="1299" spans="1:8" ht="15" x14ac:dyDescent="0.25">
      <c r="A1299" s="88" t="s">
        <v>1622</v>
      </c>
      <c r="B1299" s="88">
        <v>2000</v>
      </c>
      <c r="C1299" s="89" t="s">
        <v>1742</v>
      </c>
      <c r="D1299" s="88" t="s">
        <v>160</v>
      </c>
      <c r="F1299" s="70">
        <f t="shared" si="40"/>
        <v>2000</v>
      </c>
      <c r="G1299" s="70" t="s">
        <v>159</v>
      </c>
      <c r="H1299" s="70" t="str">
        <f t="shared" si="41"/>
        <v>KLM</v>
      </c>
    </row>
    <row r="1300" spans="1:8" ht="15" x14ac:dyDescent="0.25">
      <c r="A1300" s="88" t="s">
        <v>1622</v>
      </c>
      <c r="B1300" s="88">
        <v>2000</v>
      </c>
      <c r="C1300" s="89" t="s">
        <v>1741</v>
      </c>
      <c r="D1300" s="88" t="s">
        <v>160</v>
      </c>
      <c r="F1300" s="70">
        <f t="shared" si="40"/>
        <v>2000</v>
      </c>
      <c r="G1300" s="70" t="s">
        <v>159</v>
      </c>
      <c r="H1300" s="70" t="str">
        <f t="shared" si="41"/>
        <v>KLM</v>
      </c>
    </row>
    <row r="1301" spans="1:8" ht="15" x14ac:dyDescent="0.25">
      <c r="A1301" s="88" t="s">
        <v>1622</v>
      </c>
      <c r="B1301" s="88">
        <v>2001</v>
      </c>
      <c r="C1301" s="89" t="s">
        <v>1740</v>
      </c>
      <c r="D1301" s="88" t="s">
        <v>160</v>
      </c>
      <c r="F1301" s="70">
        <f t="shared" si="40"/>
        <v>2001</v>
      </c>
      <c r="G1301" s="70" t="s">
        <v>159</v>
      </c>
      <c r="H1301" s="70" t="str">
        <f t="shared" si="41"/>
        <v>KLM</v>
      </c>
    </row>
    <row r="1302" spans="1:8" ht="15" x14ac:dyDescent="0.25">
      <c r="A1302" s="88" t="s">
        <v>1622</v>
      </c>
      <c r="B1302" s="88">
        <v>2001</v>
      </c>
      <c r="C1302" s="89" t="s">
        <v>1739</v>
      </c>
      <c r="D1302" s="88" t="s">
        <v>160</v>
      </c>
      <c r="F1302" s="70">
        <f t="shared" si="40"/>
        <v>2001</v>
      </c>
      <c r="G1302" s="70" t="s">
        <v>159</v>
      </c>
      <c r="H1302" s="70" t="str">
        <f t="shared" si="41"/>
        <v>KLM</v>
      </c>
    </row>
    <row r="1303" spans="1:8" ht="15" x14ac:dyDescent="0.25">
      <c r="A1303" s="88" t="s">
        <v>1622</v>
      </c>
      <c r="B1303" s="88">
        <v>2001</v>
      </c>
      <c r="C1303" s="89" t="s">
        <v>1738</v>
      </c>
      <c r="D1303" s="88" t="s">
        <v>160</v>
      </c>
      <c r="F1303" s="70">
        <f t="shared" si="40"/>
        <v>2001</v>
      </c>
      <c r="G1303" s="70" t="s">
        <v>159</v>
      </c>
      <c r="H1303" s="70" t="str">
        <f t="shared" si="41"/>
        <v>KLM</v>
      </c>
    </row>
    <row r="1304" spans="1:8" ht="15" x14ac:dyDescent="0.25">
      <c r="A1304" s="88" t="s">
        <v>1622</v>
      </c>
      <c r="B1304" s="88">
        <v>2001</v>
      </c>
      <c r="C1304" s="89" t="s">
        <v>1737</v>
      </c>
      <c r="D1304" s="88" t="s">
        <v>160</v>
      </c>
      <c r="F1304" s="70">
        <f t="shared" si="40"/>
        <v>2001</v>
      </c>
      <c r="G1304" s="70" t="s">
        <v>159</v>
      </c>
      <c r="H1304" s="70" t="str">
        <f t="shared" si="41"/>
        <v>KLM</v>
      </c>
    </row>
    <row r="1305" spans="1:8" ht="15" x14ac:dyDescent="0.25">
      <c r="A1305" s="88" t="s">
        <v>1622</v>
      </c>
      <c r="B1305" s="88">
        <v>2001</v>
      </c>
      <c r="C1305" s="89" t="s">
        <v>1736</v>
      </c>
      <c r="D1305" s="88" t="s">
        <v>160</v>
      </c>
      <c r="F1305" s="70">
        <f t="shared" si="40"/>
        <v>2001</v>
      </c>
      <c r="G1305" s="70" t="s">
        <v>159</v>
      </c>
      <c r="H1305" s="70" t="str">
        <f t="shared" si="41"/>
        <v>KLM</v>
      </c>
    </row>
    <row r="1306" spans="1:8" ht="15" x14ac:dyDescent="0.25">
      <c r="A1306" s="88" t="s">
        <v>1622</v>
      </c>
      <c r="B1306" s="88">
        <v>2001</v>
      </c>
      <c r="C1306" s="89" t="s">
        <v>1735</v>
      </c>
      <c r="D1306" s="88" t="s">
        <v>160</v>
      </c>
      <c r="F1306" s="70">
        <f t="shared" si="40"/>
        <v>2001</v>
      </c>
      <c r="G1306" s="70" t="s">
        <v>159</v>
      </c>
      <c r="H1306" s="70" t="str">
        <f t="shared" si="41"/>
        <v>KLM</v>
      </c>
    </row>
    <row r="1307" spans="1:8" ht="15" x14ac:dyDescent="0.25">
      <c r="A1307" s="88" t="s">
        <v>1622</v>
      </c>
      <c r="B1307" s="88">
        <v>2001</v>
      </c>
      <c r="C1307" s="89" t="s">
        <v>1734</v>
      </c>
      <c r="D1307" s="88" t="s">
        <v>160</v>
      </c>
      <c r="F1307" s="70">
        <f t="shared" si="40"/>
        <v>2001</v>
      </c>
      <c r="G1307" s="70" t="s">
        <v>159</v>
      </c>
      <c r="H1307" s="70" t="str">
        <f t="shared" si="41"/>
        <v>KLM</v>
      </c>
    </row>
    <row r="1308" spans="1:8" ht="15" x14ac:dyDescent="0.25">
      <c r="A1308" s="88" t="s">
        <v>1622</v>
      </c>
      <c r="B1308" s="88">
        <v>2001</v>
      </c>
      <c r="C1308" s="89" t="s">
        <v>1733</v>
      </c>
      <c r="D1308" s="88" t="s">
        <v>160</v>
      </c>
      <c r="F1308" s="70">
        <f t="shared" si="40"/>
        <v>2001</v>
      </c>
      <c r="G1308" s="70" t="s">
        <v>159</v>
      </c>
      <c r="H1308" s="70" t="str">
        <f t="shared" si="41"/>
        <v>KLM</v>
      </c>
    </row>
    <row r="1309" spans="1:8" ht="15" x14ac:dyDescent="0.25">
      <c r="A1309" s="88" t="s">
        <v>1622</v>
      </c>
      <c r="B1309" s="88">
        <v>2002</v>
      </c>
      <c r="C1309" s="89" t="s">
        <v>1732</v>
      </c>
      <c r="D1309" s="88" t="s">
        <v>160</v>
      </c>
      <c r="F1309" s="70">
        <f t="shared" si="40"/>
        <v>2002</v>
      </c>
      <c r="G1309" s="70" t="s">
        <v>159</v>
      </c>
      <c r="H1309" s="70" t="str">
        <f t="shared" si="41"/>
        <v>KLM</v>
      </c>
    </row>
    <row r="1310" spans="1:8" ht="15" x14ac:dyDescent="0.25">
      <c r="A1310" s="88" t="s">
        <v>1622</v>
      </c>
      <c r="B1310" s="88">
        <v>2002</v>
      </c>
      <c r="C1310" s="89" t="s">
        <v>1731</v>
      </c>
      <c r="D1310" s="88" t="s">
        <v>160</v>
      </c>
      <c r="F1310" s="70">
        <f t="shared" si="40"/>
        <v>2002</v>
      </c>
      <c r="G1310" s="70" t="s">
        <v>159</v>
      </c>
      <c r="H1310" s="70" t="str">
        <f t="shared" si="41"/>
        <v>KLM</v>
      </c>
    </row>
    <row r="1311" spans="1:8" ht="15" x14ac:dyDescent="0.25">
      <c r="A1311" s="88" t="s">
        <v>1622</v>
      </c>
      <c r="B1311" s="88">
        <v>2002</v>
      </c>
      <c r="C1311" s="89" t="s">
        <v>1730</v>
      </c>
      <c r="D1311" s="88" t="s">
        <v>160</v>
      </c>
      <c r="F1311" s="70">
        <f t="shared" si="40"/>
        <v>2002</v>
      </c>
      <c r="G1311" s="70" t="s">
        <v>159</v>
      </c>
      <c r="H1311" s="70" t="str">
        <f t="shared" si="41"/>
        <v>KLM</v>
      </c>
    </row>
    <row r="1312" spans="1:8" ht="15" x14ac:dyDescent="0.25">
      <c r="A1312" s="88" t="s">
        <v>1622</v>
      </c>
      <c r="B1312" s="88">
        <v>2002</v>
      </c>
      <c r="C1312" s="89" t="s">
        <v>1729</v>
      </c>
      <c r="D1312" s="88" t="s">
        <v>160</v>
      </c>
      <c r="F1312" s="70">
        <f t="shared" si="40"/>
        <v>2002</v>
      </c>
      <c r="G1312" s="70" t="s">
        <v>159</v>
      </c>
      <c r="H1312" s="70" t="str">
        <f t="shared" si="41"/>
        <v>KLM</v>
      </c>
    </row>
    <row r="1313" spans="1:8" ht="15" x14ac:dyDescent="0.25">
      <c r="A1313" s="88" t="s">
        <v>1622</v>
      </c>
      <c r="B1313" s="88">
        <v>2002</v>
      </c>
      <c r="C1313" s="89" t="s">
        <v>1728</v>
      </c>
      <c r="D1313" s="88" t="s">
        <v>160</v>
      </c>
      <c r="F1313" s="70">
        <f t="shared" si="40"/>
        <v>2002</v>
      </c>
      <c r="G1313" s="70" t="s">
        <v>159</v>
      </c>
      <c r="H1313" s="70" t="str">
        <f t="shared" si="41"/>
        <v>KLM</v>
      </c>
    </row>
    <row r="1314" spans="1:8" ht="15" x14ac:dyDescent="0.25">
      <c r="A1314" s="88" t="s">
        <v>1622</v>
      </c>
      <c r="B1314" s="88">
        <v>2002</v>
      </c>
      <c r="C1314" s="89" t="s">
        <v>1727</v>
      </c>
      <c r="D1314" s="88" t="s">
        <v>160</v>
      </c>
      <c r="F1314" s="70">
        <f t="shared" si="40"/>
        <v>2002</v>
      </c>
      <c r="G1314" s="70" t="s">
        <v>159</v>
      </c>
      <c r="H1314" s="70" t="str">
        <f t="shared" si="41"/>
        <v>KLM</v>
      </c>
    </row>
    <row r="1315" spans="1:8" ht="15" x14ac:dyDescent="0.25">
      <c r="A1315" s="88" t="s">
        <v>1622</v>
      </c>
      <c r="B1315" s="88">
        <v>2003</v>
      </c>
      <c r="C1315" s="89" t="s">
        <v>1726</v>
      </c>
      <c r="D1315" s="88" t="s">
        <v>160</v>
      </c>
      <c r="F1315" s="70">
        <f t="shared" si="40"/>
        <v>2003</v>
      </c>
      <c r="G1315" s="70" t="s">
        <v>159</v>
      </c>
      <c r="H1315" s="70" t="str">
        <f t="shared" si="41"/>
        <v>KLM</v>
      </c>
    </row>
    <row r="1316" spans="1:8" ht="15" x14ac:dyDescent="0.25">
      <c r="A1316" s="88" t="s">
        <v>1622</v>
      </c>
      <c r="B1316" s="88">
        <v>2003</v>
      </c>
      <c r="C1316" s="89" t="s">
        <v>1725</v>
      </c>
      <c r="D1316" s="88" t="s">
        <v>160</v>
      </c>
      <c r="F1316" s="70">
        <f t="shared" si="40"/>
        <v>2003</v>
      </c>
      <c r="G1316" s="70" t="s">
        <v>159</v>
      </c>
      <c r="H1316" s="70" t="str">
        <f t="shared" si="41"/>
        <v>KLM</v>
      </c>
    </row>
    <row r="1317" spans="1:8" ht="15" x14ac:dyDescent="0.25">
      <c r="A1317" s="88" t="s">
        <v>1622</v>
      </c>
      <c r="B1317" s="88">
        <v>2003</v>
      </c>
      <c r="C1317" s="89" t="s">
        <v>1724</v>
      </c>
      <c r="D1317" s="88" t="s">
        <v>160</v>
      </c>
      <c r="F1317" s="70">
        <f t="shared" si="40"/>
        <v>2003</v>
      </c>
      <c r="G1317" s="70" t="s">
        <v>159</v>
      </c>
      <c r="H1317" s="70" t="str">
        <f t="shared" si="41"/>
        <v>KLM</v>
      </c>
    </row>
    <row r="1318" spans="1:8" ht="15" x14ac:dyDescent="0.25">
      <c r="A1318" s="88" t="s">
        <v>1622</v>
      </c>
      <c r="B1318" s="88">
        <v>2003</v>
      </c>
      <c r="C1318" s="89" t="s">
        <v>1723</v>
      </c>
      <c r="D1318" s="88" t="s">
        <v>160</v>
      </c>
      <c r="F1318" s="70">
        <f t="shared" si="40"/>
        <v>2003</v>
      </c>
      <c r="G1318" s="70" t="s">
        <v>159</v>
      </c>
      <c r="H1318" s="70" t="str">
        <f t="shared" si="41"/>
        <v>KLM</v>
      </c>
    </row>
    <row r="1319" spans="1:8" ht="15" x14ac:dyDescent="0.25">
      <c r="A1319" s="88" t="s">
        <v>1622</v>
      </c>
      <c r="B1319" s="88">
        <v>2004</v>
      </c>
      <c r="C1319" s="89" t="s">
        <v>1722</v>
      </c>
      <c r="D1319" s="88" t="s">
        <v>160</v>
      </c>
      <c r="F1319" s="70">
        <f t="shared" si="40"/>
        <v>2004</v>
      </c>
      <c r="G1319" s="70" t="s">
        <v>159</v>
      </c>
      <c r="H1319" s="70" t="str">
        <f t="shared" si="41"/>
        <v>KLM</v>
      </c>
    </row>
    <row r="1320" spans="1:8" ht="15" x14ac:dyDescent="0.25">
      <c r="A1320" s="88" t="s">
        <v>1622</v>
      </c>
      <c r="B1320" s="88">
        <v>2004</v>
      </c>
      <c r="C1320" s="89" t="s">
        <v>1721</v>
      </c>
      <c r="D1320" s="88" t="s">
        <v>160</v>
      </c>
      <c r="F1320" s="70">
        <f t="shared" si="40"/>
        <v>2004</v>
      </c>
      <c r="G1320" s="70" t="s">
        <v>159</v>
      </c>
      <c r="H1320" s="70" t="str">
        <f t="shared" si="41"/>
        <v>KLM</v>
      </c>
    </row>
    <row r="1321" spans="1:8" ht="15" x14ac:dyDescent="0.25">
      <c r="A1321" s="88" t="s">
        <v>1622</v>
      </c>
      <c r="B1321" s="88">
        <v>2004</v>
      </c>
      <c r="C1321" s="89" t="s">
        <v>1720</v>
      </c>
      <c r="D1321" s="88" t="s">
        <v>160</v>
      </c>
      <c r="F1321" s="70">
        <f t="shared" si="40"/>
        <v>2004</v>
      </c>
      <c r="G1321" s="70" t="s">
        <v>159</v>
      </c>
      <c r="H1321" s="70" t="str">
        <f t="shared" si="41"/>
        <v>KLM</v>
      </c>
    </row>
    <row r="1322" spans="1:8" ht="15" x14ac:dyDescent="0.25">
      <c r="A1322" s="88" t="s">
        <v>1622</v>
      </c>
      <c r="B1322" s="88">
        <v>2004</v>
      </c>
      <c r="C1322" s="89" t="s">
        <v>1719</v>
      </c>
      <c r="D1322" s="88" t="s">
        <v>160</v>
      </c>
      <c r="F1322" s="70">
        <f t="shared" si="40"/>
        <v>2004</v>
      </c>
      <c r="G1322" s="70" t="s">
        <v>159</v>
      </c>
      <c r="H1322" s="70" t="str">
        <f t="shared" si="41"/>
        <v>KLM</v>
      </c>
    </row>
    <row r="1323" spans="1:8" ht="15" x14ac:dyDescent="0.25">
      <c r="A1323" s="88" t="s">
        <v>1622</v>
      </c>
      <c r="B1323" s="88">
        <v>2004</v>
      </c>
      <c r="C1323" s="89" t="s">
        <v>1718</v>
      </c>
      <c r="D1323" s="88" t="s">
        <v>160</v>
      </c>
      <c r="F1323" s="70">
        <f t="shared" si="40"/>
        <v>2004</v>
      </c>
      <c r="G1323" s="70" t="s">
        <v>159</v>
      </c>
      <c r="H1323" s="70" t="str">
        <f t="shared" si="41"/>
        <v>KLM</v>
      </c>
    </row>
    <row r="1324" spans="1:8" ht="15" x14ac:dyDescent="0.25">
      <c r="A1324" s="88" t="s">
        <v>1622</v>
      </c>
      <c r="B1324" s="88">
        <v>2004</v>
      </c>
      <c r="C1324" s="89" t="s">
        <v>1717</v>
      </c>
      <c r="D1324" s="88" t="s">
        <v>160</v>
      </c>
      <c r="F1324" s="70">
        <f t="shared" si="40"/>
        <v>2004</v>
      </c>
      <c r="G1324" s="70" t="s">
        <v>159</v>
      </c>
      <c r="H1324" s="70" t="str">
        <f t="shared" si="41"/>
        <v>KLM</v>
      </c>
    </row>
    <row r="1325" spans="1:8" ht="15" x14ac:dyDescent="0.25">
      <c r="A1325" s="88" t="s">
        <v>1622</v>
      </c>
      <c r="B1325" s="88">
        <v>2005</v>
      </c>
      <c r="C1325" s="89" t="s">
        <v>1716</v>
      </c>
      <c r="D1325" s="88" t="s">
        <v>160</v>
      </c>
      <c r="F1325" s="70">
        <f t="shared" si="40"/>
        <v>2005</v>
      </c>
      <c r="G1325" s="70" t="s">
        <v>159</v>
      </c>
      <c r="H1325" s="70" t="str">
        <f t="shared" si="41"/>
        <v>KLM</v>
      </c>
    </row>
    <row r="1326" spans="1:8" ht="15" x14ac:dyDescent="0.25">
      <c r="A1326" s="88" t="s">
        <v>1622</v>
      </c>
      <c r="B1326" s="88">
        <v>2005</v>
      </c>
      <c r="C1326" s="89" t="s">
        <v>1715</v>
      </c>
      <c r="D1326" s="88" t="s">
        <v>160</v>
      </c>
      <c r="F1326" s="70">
        <f t="shared" si="40"/>
        <v>2005</v>
      </c>
      <c r="G1326" s="70" t="s">
        <v>159</v>
      </c>
      <c r="H1326" s="70" t="str">
        <f t="shared" si="41"/>
        <v>KLM</v>
      </c>
    </row>
    <row r="1327" spans="1:8" ht="15" x14ac:dyDescent="0.25">
      <c r="A1327" s="88" t="s">
        <v>1622</v>
      </c>
      <c r="B1327" s="88">
        <v>2005</v>
      </c>
      <c r="C1327" s="89" t="s">
        <v>1714</v>
      </c>
      <c r="D1327" s="88" t="s">
        <v>160</v>
      </c>
      <c r="F1327" s="70">
        <f t="shared" si="40"/>
        <v>2005</v>
      </c>
      <c r="G1327" s="70" t="s">
        <v>159</v>
      </c>
      <c r="H1327" s="70" t="str">
        <f t="shared" si="41"/>
        <v>KLM</v>
      </c>
    </row>
    <row r="1328" spans="1:8" ht="15" x14ac:dyDescent="0.25">
      <c r="A1328" s="88" t="s">
        <v>1622</v>
      </c>
      <c r="B1328" s="88">
        <v>2005</v>
      </c>
      <c r="C1328" s="89" t="s">
        <v>1713</v>
      </c>
      <c r="D1328" s="88" t="s">
        <v>160</v>
      </c>
      <c r="F1328" s="70">
        <f t="shared" si="40"/>
        <v>2005</v>
      </c>
      <c r="G1328" s="70" t="s">
        <v>159</v>
      </c>
      <c r="H1328" s="70" t="str">
        <f t="shared" si="41"/>
        <v>KLM</v>
      </c>
    </row>
    <row r="1329" spans="1:8" ht="15" x14ac:dyDescent="0.25">
      <c r="A1329" s="88" t="s">
        <v>1622</v>
      </c>
      <c r="B1329" s="88">
        <v>2005</v>
      </c>
      <c r="C1329" s="89" t="s">
        <v>1712</v>
      </c>
      <c r="D1329" s="88" t="s">
        <v>160</v>
      </c>
      <c r="F1329" s="70">
        <f t="shared" si="40"/>
        <v>2005</v>
      </c>
      <c r="G1329" s="70" t="s">
        <v>159</v>
      </c>
      <c r="H1329" s="70" t="str">
        <f t="shared" si="41"/>
        <v>KLM</v>
      </c>
    </row>
    <row r="1330" spans="1:8" ht="15" x14ac:dyDescent="0.25">
      <c r="A1330" s="88" t="s">
        <v>1622</v>
      </c>
      <c r="B1330" s="88">
        <v>2005</v>
      </c>
      <c r="C1330" s="89" t="s">
        <v>1711</v>
      </c>
      <c r="D1330" s="88" t="s">
        <v>160</v>
      </c>
      <c r="F1330" s="70">
        <f t="shared" si="40"/>
        <v>2005</v>
      </c>
      <c r="G1330" s="70" t="s">
        <v>159</v>
      </c>
      <c r="H1330" s="70" t="str">
        <f t="shared" si="41"/>
        <v>KLM</v>
      </c>
    </row>
    <row r="1331" spans="1:8" ht="15" x14ac:dyDescent="0.25">
      <c r="A1331" s="88" t="s">
        <v>1622</v>
      </c>
      <c r="B1331" s="88">
        <v>2005</v>
      </c>
      <c r="C1331" s="89" t="s">
        <v>1710</v>
      </c>
      <c r="D1331" s="88" t="s">
        <v>160</v>
      </c>
      <c r="F1331" s="70">
        <f t="shared" si="40"/>
        <v>2005</v>
      </c>
      <c r="G1331" s="70" t="s">
        <v>159</v>
      </c>
      <c r="H1331" s="70" t="str">
        <f t="shared" si="41"/>
        <v>KLM</v>
      </c>
    </row>
    <row r="1332" spans="1:8" ht="15" x14ac:dyDescent="0.25">
      <c r="A1332" s="88" t="s">
        <v>1622</v>
      </c>
      <c r="B1332" s="88">
        <v>2005</v>
      </c>
      <c r="C1332" s="89" t="s">
        <v>1709</v>
      </c>
      <c r="D1332" s="88" t="s">
        <v>160</v>
      </c>
      <c r="F1332" s="70">
        <f t="shared" si="40"/>
        <v>2005</v>
      </c>
      <c r="G1332" s="70" t="s">
        <v>159</v>
      </c>
      <c r="H1332" s="70" t="str">
        <f t="shared" si="41"/>
        <v>KLM</v>
      </c>
    </row>
    <row r="1333" spans="1:8" ht="15" x14ac:dyDescent="0.25">
      <c r="A1333" s="88" t="s">
        <v>1622</v>
      </c>
      <c r="B1333" s="88">
        <v>2006</v>
      </c>
      <c r="C1333" s="89" t="s">
        <v>1708</v>
      </c>
      <c r="D1333" s="88" t="s">
        <v>160</v>
      </c>
      <c r="F1333" s="70">
        <f t="shared" si="40"/>
        <v>2006</v>
      </c>
      <c r="G1333" s="70" t="s">
        <v>159</v>
      </c>
      <c r="H1333" s="70" t="str">
        <f t="shared" si="41"/>
        <v>KLM</v>
      </c>
    </row>
    <row r="1334" spans="1:8" ht="15" x14ac:dyDescent="0.25">
      <c r="A1334" s="88" t="s">
        <v>1622</v>
      </c>
      <c r="B1334" s="88">
        <v>2006</v>
      </c>
      <c r="C1334" s="89" t="s">
        <v>1707</v>
      </c>
      <c r="D1334" s="88" t="s">
        <v>160</v>
      </c>
      <c r="F1334" s="70">
        <f t="shared" si="40"/>
        <v>2006</v>
      </c>
      <c r="G1334" s="70" t="s">
        <v>159</v>
      </c>
      <c r="H1334" s="70" t="str">
        <f t="shared" si="41"/>
        <v>KLM</v>
      </c>
    </row>
    <row r="1335" spans="1:8" ht="15" x14ac:dyDescent="0.25">
      <c r="A1335" s="88" t="s">
        <v>1622</v>
      </c>
      <c r="B1335" s="88">
        <v>2006</v>
      </c>
      <c r="C1335" s="89" t="s">
        <v>1706</v>
      </c>
      <c r="D1335" s="88" t="s">
        <v>160</v>
      </c>
      <c r="F1335" s="70">
        <f t="shared" si="40"/>
        <v>2006</v>
      </c>
      <c r="G1335" s="70" t="s">
        <v>159</v>
      </c>
      <c r="H1335" s="70" t="str">
        <f t="shared" si="41"/>
        <v>KLM</v>
      </c>
    </row>
    <row r="1336" spans="1:8" ht="15" x14ac:dyDescent="0.25">
      <c r="A1336" s="88" t="s">
        <v>1622</v>
      </c>
      <c r="B1336" s="88">
        <v>2006</v>
      </c>
      <c r="C1336" s="89" t="s">
        <v>1705</v>
      </c>
      <c r="D1336" s="88" t="s">
        <v>160</v>
      </c>
      <c r="F1336" s="70">
        <f t="shared" si="40"/>
        <v>2006</v>
      </c>
      <c r="G1336" s="70" t="s">
        <v>159</v>
      </c>
      <c r="H1336" s="70" t="str">
        <f t="shared" si="41"/>
        <v>KLM</v>
      </c>
    </row>
    <row r="1337" spans="1:8" ht="15" x14ac:dyDescent="0.25">
      <c r="A1337" s="88" t="s">
        <v>1622</v>
      </c>
      <c r="B1337" s="88">
        <v>2006</v>
      </c>
      <c r="C1337" s="89" t="s">
        <v>1704</v>
      </c>
      <c r="D1337" s="88" t="s">
        <v>160</v>
      </c>
      <c r="F1337" s="70">
        <f t="shared" si="40"/>
        <v>2006</v>
      </c>
      <c r="G1337" s="70" t="s">
        <v>159</v>
      </c>
      <c r="H1337" s="70" t="str">
        <f t="shared" si="41"/>
        <v>KLM</v>
      </c>
    </row>
    <row r="1338" spans="1:8" ht="15" x14ac:dyDescent="0.25">
      <c r="A1338" s="88" t="s">
        <v>1622</v>
      </c>
      <c r="B1338" s="88">
        <v>2007</v>
      </c>
      <c r="C1338" s="89" t="s">
        <v>1703</v>
      </c>
      <c r="D1338" s="88" t="s">
        <v>160</v>
      </c>
      <c r="F1338" s="70">
        <f t="shared" si="40"/>
        <v>2007</v>
      </c>
      <c r="G1338" s="70" t="s">
        <v>159</v>
      </c>
      <c r="H1338" s="70" t="str">
        <f t="shared" si="41"/>
        <v>KLM</v>
      </c>
    </row>
    <row r="1339" spans="1:8" ht="15" x14ac:dyDescent="0.25">
      <c r="A1339" s="88" t="s">
        <v>1622</v>
      </c>
      <c r="B1339" s="88">
        <v>2007</v>
      </c>
      <c r="C1339" s="89" t="s">
        <v>1702</v>
      </c>
      <c r="D1339" s="88" t="s">
        <v>160</v>
      </c>
      <c r="F1339" s="70">
        <f t="shared" si="40"/>
        <v>2007</v>
      </c>
      <c r="G1339" s="70" t="s">
        <v>159</v>
      </c>
      <c r="H1339" s="70" t="str">
        <f t="shared" si="41"/>
        <v>KLM</v>
      </c>
    </row>
    <row r="1340" spans="1:8" ht="15" x14ac:dyDescent="0.25">
      <c r="A1340" s="88" t="s">
        <v>1622</v>
      </c>
      <c r="B1340" s="88">
        <v>2007</v>
      </c>
      <c r="C1340" s="89" t="s">
        <v>1701</v>
      </c>
      <c r="D1340" s="88" t="s">
        <v>160</v>
      </c>
      <c r="F1340" s="70">
        <f t="shared" si="40"/>
        <v>2007</v>
      </c>
      <c r="G1340" s="70" t="s">
        <v>159</v>
      </c>
      <c r="H1340" s="70" t="str">
        <f t="shared" si="41"/>
        <v>KLM</v>
      </c>
    </row>
    <row r="1341" spans="1:8" ht="15" x14ac:dyDescent="0.25">
      <c r="A1341" s="88" t="s">
        <v>1622</v>
      </c>
      <c r="B1341" s="88">
        <v>2007</v>
      </c>
      <c r="C1341" s="89" t="s">
        <v>1700</v>
      </c>
      <c r="D1341" s="88" t="s">
        <v>160</v>
      </c>
      <c r="F1341" s="70">
        <f t="shared" si="40"/>
        <v>2007</v>
      </c>
      <c r="G1341" s="70" t="s">
        <v>159</v>
      </c>
      <c r="H1341" s="70" t="str">
        <f t="shared" si="41"/>
        <v>KLM</v>
      </c>
    </row>
    <row r="1342" spans="1:8" ht="15" x14ac:dyDescent="0.25">
      <c r="A1342" s="88" t="s">
        <v>1622</v>
      </c>
      <c r="B1342" s="88">
        <v>2007</v>
      </c>
      <c r="C1342" s="89" t="s">
        <v>1699</v>
      </c>
      <c r="D1342" s="88" t="s">
        <v>160</v>
      </c>
      <c r="F1342" s="70">
        <f t="shared" si="40"/>
        <v>2007</v>
      </c>
      <c r="G1342" s="70" t="s">
        <v>159</v>
      </c>
      <c r="H1342" s="70" t="str">
        <f t="shared" si="41"/>
        <v>KLM</v>
      </c>
    </row>
    <row r="1343" spans="1:8" ht="15" x14ac:dyDescent="0.25">
      <c r="A1343" s="88" t="s">
        <v>1622</v>
      </c>
      <c r="B1343" s="88">
        <v>2008</v>
      </c>
      <c r="C1343" s="89" t="s">
        <v>1698</v>
      </c>
      <c r="D1343" s="88" t="s">
        <v>160</v>
      </c>
      <c r="F1343" s="70">
        <f t="shared" si="40"/>
        <v>2008</v>
      </c>
      <c r="G1343" s="70" t="s">
        <v>159</v>
      </c>
      <c r="H1343" s="70" t="str">
        <f t="shared" si="41"/>
        <v>KLM</v>
      </c>
    </row>
    <row r="1344" spans="1:8" ht="15" x14ac:dyDescent="0.25">
      <c r="A1344" s="88" t="s">
        <v>1622</v>
      </c>
      <c r="B1344" s="88">
        <v>2008</v>
      </c>
      <c r="C1344" s="89" t="s">
        <v>1697</v>
      </c>
      <c r="D1344" s="88" t="s">
        <v>160</v>
      </c>
      <c r="F1344" s="70">
        <f t="shared" si="40"/>
        <v>2008</v>
      </c>
      <c r="G1344" s="70" t="s">
        <v>159</v>
      </c>
      <c r="H1344" s="70" t="str">
        <f t="shared" si="41"/>
        <v>KLM</v>
      </c>
    </row>
    <row r="1345" spans="1:8" ht="15" x14ac:dyDescent="0.25">
      <c r="A1345" s="88" t="s">
        <v>1622</v>
      </c>
      <c r="B1345" s="88">
        <v>2008</v>
      </c>
      <c r="C1345" s="89" t="s">
        <v>1696</v>
      </c>
      <c r="D1345" s="88" t="s">
        <v>160</v>
      </c>
      <c r="F1345" s="70">
        <f t="shared" si="40"/>
        <v>2008</v>
      </c>
      <c r="G1345" s="70" t="s">
        <v>159</v>
      </c>
      <c r="H1345" s="70" t="str">
        <f t="shared" si="41"/>
        <v>KLM</v>
      </c>
    </row>
    <row r="1346" spans="1:8" ht="15" x14ac:dyDescent="0.25">
      <c r="A1346" s="88" t="s">
        <v>1622</v>
      </c>
      <c r="B1346" s="88">
        <v>2008</v>
      </c>
      <c r="C1346" s="89" t="s">
        <v>1695</v>
      </c>
      <c r="D1346" s="88" t="s">
        <v>160</v>
      </c>
      <c r="F1346" s="70">
        <f t="shared" si="40"/>
        <v>2008</v>
      </c>
      <c r="G1346" s="70" t="s">
        <v>159</v>
      </c>
      <c r="H1346" s="70" t="str">
        <f t="shared" si="41"/>
        <v>KLM</v>
      </c>
    </row>
    <row r="1347" spans="1:8" ht="15" x14ac:dyDescent="0.25">
      <c r="A1347" s="88" t="s">
        <v>1622</v>
      </c>
      <c r="B1347" s="88">
        <v>2008</v>
      </c>
      <c r="C1347" s="89" t="s">
        <v>1694</v>
      </c>
      <c r="D1347" s="88" t="s">
        <v>160</v>
      </c>
      <c r="F1347" s="70">
        <f t="shared" si="40"/>
        <v>2008</v>
      </c>
      <c r="G1347" s="70" t="s">
        <v>159</v>
      </c>
      <c r="H1347" s="70" t="str">
        <f t="shared" si="41"/>
        <v>KLM</v>
      </c>
    </row>
    <row r="1348" spans="1:8" ht="15" x14ac:dyDescent="0.25">
      <c r="A1348" s="88" t="s">
        <v>1622</v>
      </c>
      <c r="B1348" s="88">
        <v>2008</v>
      </c>
      <c r="C1348" s="89" t="s">
        <v>1693</v>
      </c>
      <c r="D1348" s="88" t="s">
        <v>160</v>
      </c>
      <c r="F1348" s="70">
        <f t="shared" si="40"/>
        <v>2008</v>
      </c>
      <c r="G1348" s="70" t="s">
        <v>159</v>
      </c>
      <c r="H1348" s="70" t="str">
        <f t="shared" si="41"/>
        <v>KLM</v>
      </c>
    </row>
    <row r="1349" spans="1:8" ht="15" x14ac:dyDescent="0.25">
      <c r="A1349" s="88" t="s">
        <v>1622</v>
      </c>
      <c r="B1349" s="88">
        <v>2008</v>
      </c>
      <c r="C1349" s="89" t="s">
        <v>1692</v>
      </c>
      <c r="D1349" s="88" t="s">
        <v>160</v>
      </c>
      <c r="F1349" s="70">
        <f t="shared" si="40"/>
        <v>2008</v>
      </c>
      <c r="G1349" s="70" t="s">
        <v>159</v>
      </c>
      <c r="H1349" s="70" t="str">
        <f t="shared" si="41"/>
        <v>KLM</v>
      </c>
    </row>
    <row r="1350" spans="1:8" ht="15" x14ac:dyDescent="0.25">
      <c r="A1350" s="88" t="s">
        <v>1622</v>
      </c>
      <c r="B1350" s="88">
        <v>2008</v>
      </c>
      <c r="C1350" s="89" t="s">
        <v>1691</v>
      </c>
      <c r="D1350" s="88" t="s">
        <v>160</v>
      </c>
      <c r="F1350" s="70">
        <f t="shared" si="40"/>
        <v>2008</v>
      </c>
      <c r="G1350" s="70" t="s">
        <v>159</v>
      </c>
      <c r="H1350" s="70" t="str">
        <f t="shared" si="41"/>
        <v>KLM</v>
      </c>
    </row>
    <row r="1351" spans="1:8" ht="15" x14ac:dyDescent="0.25">
      <c r="A1351" s="88" t="s">
        <v>1622</v>
      </c>
      <c r="B1351" s="88">
        <v>2008</v>
      </c>
      <c r="C1351" s="89" t="s">
        <v>1690</v>
      </c>
      <c r="D1351" s="88" t="s">
        <v>160</v>
      </c>
      <c r="F1351" s="70">
        <f t="shared" si="40"/>
        <v>2008</v>
      </c>
      <c r="G1351" s="70" t="s">
        <v>159</v>
      </c>
      <c r="H1351" s="70" t="str">
        <f t="shared" si="41"/>
        <v>KLM</v>
      </c>
    </row>
    <row r="1352" spans="1:8" ht="15" x14ac:dyDescent="0.25">
      <c r="A1352" s="88" t="s">
        <v>1622</v>
      </c>
      <c r="B1352" s="88">
        <v>2008</v>
      </c>
      <c r="C1352" s="89" t="s">
        <v>1689</v>
      </c>
      <c r="D1352" s="88" t="s">
        <v>160</v>
      </c>
      <c r="F1352" s="70">
        <f t="shared" ref="F1352:F1415" si="42">+B1352</f>
        <v>2008</v>
      </c>
      <c r="G1352" s="70" t="s">
        <v>159</v>
      </c>
      <c r="H1352" s="70" t="str">
        <f t="shared" ref="H1352:H1415" si="43">A1352</f>
        <v>KLM</v>
      </c>
    </row>
    <row r="1353" spans="1:8" ht="15" x14ac:dyDescent="0.25">
      <c r="A1353" s="88" t="s">
        <v>1622</v>
      </c>
      <c r="B1353" s="88">
        <v>2008</v>
      </c>
      <c r="C1353" s="89" t="s">
        <v>1688</v>
      </c>
      <c r="D1353" s="88" t="s">
        <v>160</v>
      </c>
      <c r="F1353" s="70">
        <f t="shared" si="42"/>
        <v>2008</v>
      </c>
      <c r="G1353" s="70" t="s">
        <v>159</v>
      </c>
      <c r="H1353" s="70" t="str">
        <f t="shared" si="43"/>
        <v>KLM</v>
      </c>
    </row>
    <row r="1354" spans="1:8" ht="15" x14ac:dyDescent="0.25">
      <c r="A1354" s="88" t="s">
        <v>1622</v>
      </c>
      <c r="B1354" s="88">
        <v>2009</v>
      </c>
      <c r="C1354" s="89" t="s">
        <v>1687</v>
      </c>
      <c r="D1354" s="88" t="s">
        <v>160</v>
      </c>
      <c r="F1354" s="70">
        <f t="shared" si="42"/>
        <v>2009</v>
      </c>
      <c r="G1354" s="70" t="s">
        <v>159</v>
      </c>
      <c r="H1354" s="70" t="str">
        <f t="shared" si="43"/>
        <v>KLM</v>
      </c>
    </row>
    <row r="1355" spans="1:8" ht="15" x14ac:dyDescent="0.25">
      <c r="A1355" s="88" t="s">
        <v>1622</v>
      </c>
      <c r="B1355" s="88">
        <v>2009</v>
      </c>
      <c r="C1355" s="89" t="s">
        <v>1686</v>
      </c>
      <c r="D1355" s="88" t="s">
        <v>160</v>
      </c>
      <c r="F1355" s="70">
        <f t="shared" si="42"/>
        <v>2009</v>
      </c>
      <c r="G1355" s="70" t="s">
        <v>159</v>
      </c>
      <c r="H1355" s="70" t="str">
        <f t="shared" si="43"/>
        <v>KLM</v>
      </c>
    </row>
    <row r="1356" spans="1:8" ht="15" x14ac:dyDescent="0.25">
      <c r="A1356" s="88" t="s">
        <v>1622</v>
      </c>
      <c r="B1356" s="88">
        <v>2009</v>
      </c>
      <c r="C1356" s="89" t="s">
        <v>1685</v>
      </c>
      <c r="D1356" s="88" t="s">
        <v>160</v>
      </c>
      <c r="F1356" s="70">
        <f t="shared" si="42"/>
        <v>2009</v>
      </c>
      <c r="G1356" s="70" t="s">
        <v>159</v>
      </c>
      <c r="H1356" s="70" t="str">
        <f t="shared" si="43"/>
        <v>KLM</v>
      </c>
    </row>
    <row r="1357" spans="1:8" ht="15" x14ac:dyDescent="0.25">
      <c r="A1357" s="88" t="s">
        <v>1622</v>
      </c>
      <c r="B1357" s="88">
        <v>2009</v>
      </c>
      <c r="C1357" s="89" t="s">
        <v>1684</v>
      </c>
      <c r="D1357" s="88" t="s">
        <v>160</v>
      </c>
      <c r="F1357" s="70">
        <f t="shared" si="42"/>
        <v>2009</v>
      </c>
      <c r="G1357" s="70" t="s">
        <v>159</v>
      </c>
      <c r="H1357" s="70" t="str">
        <f t="shared" si="43"/>
        <v>KLM</v>
      </c>
    </row>
    <row r="1358" spans="1:8" ht="15" x14ac:dyDescent="0.25">
      <c r="A1358" s="88" t="s">
        <v>1622</v>
      </c>
      <c r="B1358" s="88">
        <v>2009</v>
      </c>
      <c r="C1358" s="89" t="s">
        <v>1683</v>
      </c>
      <c r="D1358" s="88" t="s">
        <v>160</v>
      </c>
      <c r="F1358" s="70">
        <f t="shared" si="42"/>
        <v>2009</v>
      </c>
      <c r="G1358" s="70" t="s">
        <v>159</v>
      </c>
      <c r="H1358" s="70" t="str">
        <f t="shared" si="43"/>
        <v>KLM</v>
      </c>
    </row>
    <row r="1359" spans="1:8" ht="15" x14ac:dyDescent="0.25">
      <c r="A1359" s="88" t="s">
        <v>1622</v>
      </c>
      <c r="B1359" s="88">
        <v>2009</v>
      </c>
      <c r="C1359" s="89" t="s">
        <v>1682</v>
      </c>
      <c r="D1359" s="88" t="s">
        <v>160</v>
      </c>
      <c r="F1359" s="70">
        <f t="shared" si="42"/>
        <v>2009</v>
      </c>
      <c r="G1359" s="70" t="s">
        <v>159</v>
      </c>
      <c r="H1359" s="70" t="str">
        <f t="shared" si="43"/>
        <v>KLM</v>
      </c>
    </row>
    <row r="1360" spans="1:8" ht="15" x14ac:dyDescent="0.25">
      <c r="A1360" s="88" t="s">
        <v>1622</v>
      </c>
      <c r="B1360" s="88">
        <v>2009</v>
      </c>
      <c r="C1360" s="89" t="s">
        <v>1681</v>
      </c>
      <c r="D1360" s="88" t="s">
        <v>160</v>
      </c>
      <c r="F1360" s="70">
        <f t="shared" si="42"/>
        <v>2009</v>
      </c>
      <c r="G1360" s="70" t="s">
        <v>159</v>
      </c>
      <c r="H1360" s="70" t="str">
        <f t="shared" si="43"/>
        <v>KLM</v>
      </c>
    </row>
    <row r="1361" spans="1:8" ht="15" x14ac:dyDescent="0.25">
      <c r="A1361" s="88" t="s">
        <v>1622</v>
      </c>
      <c r="B1361" s="88">
        <v>2009</v>
      </c>
      <c r="C1361" s="89" t="s">
        <v>1680</v>
      </c>
      <c r="D1361" s="88" t="s">
        <v>160</v>
      </c>
      <c r="F1361" s="70">
        <f t="shared" si="42"/>
        <v>2009</v>
      </c>
      <c r="G1361" s="70" t="s">
        <v>159</v>
      </c>
      <c r="H1361" s="70" t="str">
        <f t="shared" si="43"/>
        <v>KLM</v>
      </c>
    </row>
    <row r="1362" spans="1:8" ht="15" x14ac:dyDescent="0.25">
      <c r="A1362" s="88" t="s">
        <v>1622</v>
      </c>
      <c r="B1362" s="88">
        <v>2009</v>
      </c>
      <c r="C1362" s="89" t="s">
        <v>1679</v>
      </c>
      <c r="D1362" s="88" t="s">
        <v>160</v>
      </c>
      <c r="F1362" s="70">
        <f t="shared" si="42"/>
        <v>2009</v>
      </c>
      <c r="G1362" s="70" t="s">
        <v>159</v>
      </c>
      <c r="H1362" s="70" t="str">
        <f t="shared" si="43"/>
        <v>KLM</v>
      </c>
    </row>
    <row r="1363" spans="1:8" ht="15" x14ac:dyDescent="0.25">
      <c r="A1363" s="88" t="s">
        <v>1622</v>
      </c>
      <c r="B1363" s="88">
        <v>2009</v>
      </c>
      <c r="C1363" s="89" t="s">
        <v>1678</v>
      </c>
      <c r="D1363" s="88" t="s">
        <v>160</v>
      </c>
      <c r="F1363" s="70">
        <f t="shared" si="42"/>
        <v>2009</v>
      </c>
      <c r="G1363" s="70" t="s">
        <v>159</v>
      </c>
      <c r="H1363" s="70" t="str">
        <f t="shared" si="43"/>
        <v>KLM</v>
      </c>
    </row>
    <row r="1364" spans="1:8" ht="15" x14ac:dyDescent="0.25">
      <c r="A1364" s="88" t="s">
        <v>1622</v>
      </c>
      <c r="B1364" s="88">
        <v>2009</v>
      </c>
      <c r="C1364" s="89" t="s">
        <v>1677</v>
      </c>
      <c r="D1364" s="88" t="s">
        <v>160</v>
      </c>
      <c r="F1364" s="70">
        <f t="shared" si="42"/>
        <v>2009</v>
      </c>
      <c r="G1364" s="70" t="s">
        <v>159</v>
      </c>
      <c r="H1364" s="70" t="str">
        <f t="shared" si="43"/>
        <v>KLM</v>
      </c>
    </row>
    <row r="1365" spans="1:8" ht="15" x14ac:dyDescent="0.25">
      <c r="A1365" s="88" t="s">
        <v>1622</v>
      </c>
      <c r="B1365" s="88">
        <v>2009</v>
      </c>
      <c r="C1365" s="89" t="s">
        <v>1676</v>
      </c>
      <c r="D1365" s="88" t="s">
        <v>160</v>
      </c>
      <c r="F1365" s="70">
        <f t="shared" si="42"/>
        <v>2009</v>
      </c>
      <c r="G1365" s="70" t="s">
        <v>159</v>
      </c>
      <c r="H1365" s="70" t="str">
        <f t="shared" si="43"/>
        <v>KLM</v>
      </c>
    </row>
    <row r="1366" spans="1:8" ht="15" x14ac:dyDescent="0.25">
      <c r="A1366" s="88" t="s">
        <v>1622</v>
      </c>
      <c r="B1366" s="88">
        <v>2009</v>
      </c>
      <c r="C1366" s="89" t="s">
        <v>1675</v>
      </c>
      <c r="D1366" s="88" t="s">
        <v>160</v>
      </c>
      <c r="F1366" s="70">
        <f t="shared" si="42"/>
        <v>2009</v>
      </c>
      <c r="G1366" s="70" t="s">
        <v>159</v>
      </c>
      <c r="H1366" s="70" t="str">
        <f t="shared" si="43"/>
        <v>KLM</v>
      </c>
    </row>
    <row r="1367" spans="1:8" ht="15" x14ac:dyDescent="0.25">
      <c r="A1367" s="88" t="s">
        <v>1622</v>
      </c>
      <c r="B1367" s="88">
        <v>2009</v>
      </c>
      <c r="C1367" s="89" t="s">
        <v>1674</v>
      </c>
      <c r="D1367" s="88" t="s">
        <v>160</v>
      </c>
      <c r="F1367" s="70">
        <f t="shared" si="42"/>
        <v>2009</v>
      </c>
      <c r="G1367" s="70" t="s">
        <v>159</v>
      </c>
      <c r="H1367" s="70" t="str">
        <f t="shared" si="43"/>
        <v>KLM</v>
      </c>
    </row>
    <row r="1368" spans="1:8" ht="15" x14ac:dyDescent="0.25">
      <c r="A1368" s="88" t="s">
        <v>1622</v>
      </c>
      <c r="B1368" s="88">
        <v>2010</v>
      </c>
      <c r="C1368" s="89" t="s">
        <v>1673</v>
      </c>
      <c r="D1368" s="88" t="s">
        <v>160</v>
      </c>
      <c r="F1368" s="70">
        <f t="shared" si="42"/>
        <v>2010</v>
      </c>
      <c r="G1368" s="70" t="s">
        <v>159</v>
      </c>
      <c r="H1368" s="70" t="str">
        <f t="shared" si="43"/>
        <v>KLM</v>
      </c>
    </row>
    <row r="1369" spans="1:8" ht="15" x14ac:dyDescent="0.25">
      <c r="A1369" s="88" t="s">
        <v>1622</v>
      </c>
      <c r="B1369" s="88">
        <v>2010</v>
      </c>
      <c r="C1369" s="89" t="s">
        <v>1672</v>
      </c>
      <c r="D1369" s="88" t="s">
        <v>160</v>
      </c>
      <c r="F1369" s="70">
        <f t="shared" si="42"/>
        <v>2010</v>
      </c>
      <c r="G1369" s="70" t="s">
        <v>159</v>
      </c>
      <c r="H1369" s="70" t="str">
        <f t="shared" si="43"/>
        <v>KLM</v>
      </c>
    </row>
    <row r="1370" spans="1:8" ht="15" x14ac:dyDescent="0.25">
      <c r="A1370" s="88" t="s">
        <v>1622</v>
      </c>
      <c r="B1370" s="88">
        <v>2010</v>
      </c>
      <c r="C1370" s="89" t="s">
        <v>1671</v>
      </c>
      <c r="D1370" s="88" t="s">
        <v>160</v>
      </c>
      <c r="F1370" s="70">
        <f t="shared" si="42"/>
        <v>2010</v>
      </c>
      <c r="G1370" s="70" t="s">
        <v>159</v>
      </c>
      <c r="H1370" s="70" t="str">
        <f t="shared" si="43"/>
        <v>KLM</v>
      </c>
    </row>
    <row r="1371" spans="1:8" ht="15" x14ac:dyDescent="0.25">
      <c r="A1371" s="88" t="s">
        <v>1622</v>
      </c>
      <c r="B1371" s="88">
        <v>2010</v>
      </c>
      <c r="C1371" s="89" t="s">
        <v>1670</v>
      </c>
      <c r="D1371" s="88" t="s">
        <v>160</v>
      </c>
      <c r="F1371" s="70">
        <f t="shared" si="42"/>
        <v>2010</v>
      </c>
      <c r="G1371" s="70" t="s">
        <v>159</v>
      </c>
      <c r="H1371" s="70" t="str">
        <f t="shared" si="43"/>
        <v>KLM</v>
      </c>
    </row>
    <row r="1372" spans="1:8" ht="15" x14ac:dyDescent="0.25">
      <c r="A1372" s="88" t="s">
        <v>1622</v>
      </c>
      <c r="B1372" s="88">
        <v>2010</v>
      </c>
      <c r="C1372" s="95" t="s">
        <v>1669</v>
      </c>
      <c r="D1372" s="88" t="s">
        <v>160</v>
      </c>
      <c r="F1372" s="70">
        <f t="shared" si="42"/>
        <v>2010</v>
      </c>
      <c r="G1372" s="70" t="s">
        <v>159</v>
      </c>
      <c r="H1372" s="70" t="str">
        <f t="shared" si="43"/>
        <v>KLM</v>
      </c>
    </row>
    <row r="1373" spans="1:8" ht="15" x14ac:dyDescent="0.25">
      <c r="A1373" s="88" t="s">
        <v>1622</v>
      </c>
      <c r="B1373" s="88">
        <v>2010</v>
      </c>
      <c r="C1373" s="95" t="s">
        <v>1668</v>
      </c>
      <c r="D1373" s="88" t="s">
        <v>160</v>
      </c>
      <c r="F1373" s="70">
        <f t="shared" si="42"/>
        <v>2010</v>
      </c>
      <c r="G1373" s="70" t="s">
        <v>159</v>
      </c>
      <c r="H1373" s="70" t="str">
        <f t="shared" si="43"/>
        <v>KLM</v>
      </c>
    </row>
    <row r="1374" spans="1:8" ht="15" x14ac:dyDescent="0.25">
      <c r="A1374" s="88" t="s">
        <v>1622</v>
      </c>
      <c r="B1374" s="88">
        <v>2010</v>
      </c>
      <c r="C1374" s="89" t="s">
        <v>1667</v>
      </c>
      <c r="D1374" s="88" t="s">
        <v>160</v>
      </c>
      <c r="F1374" s="70">
        <f t="shared" si="42"/>
        <v>2010</v>
      </c>
      <c r="G1374" s="70" t="s">
        <v>159</v>
      </c>
      <c r="H1374" s="70" t="str">
        <f t="shared" si="43"/>
        <v>KLM</v>
      </c>
    </row>
    <row r="1375" spans="1:8" ht="15" x14ac:dyDescent="0.25">
      <c r="A1375" s="88" t="s">
        <v>1622</v>
      </c>
      <c r="B1375" s="88">
        <v>2011</v>
      </c>
      <c r="C1375" s="95" t="s">
        <v>1666</v>
      </c>
      <c r="D1375" s="88" t="s">
        <v>160</v>
      </c>
      <c r="F1375" s="70">
        <f t="shared" si="42"/>
        <v>2011</v>
      </c>
      <c r="G1375" s="70" t="s">
        <v>159</v>
      </c>
      <c r="H1375" s="70" t="str">
        <f t="shared" si="43"/>
        <v>KLM</v>
      </c>
    </row>
    <row r="1376" spans="1:8" ht="15" x14ac:dyDescent="0.25">
      <c r="A1376" s="88" t="s">
        <v>1622</v>
      </c>
      <c r="B1376" s="88">
        <v>2011</v>
      </c>
      <c r="C1376" s="95" t="s">
        <v>1665</v>
      </c>
      <c r="D1376" s="88" t="s">
        <v>160</v>
      </c>
      <c r="F1376" s="70">
        <f t="shared" si="42"/>
        <v>2011</v>
      </c>
      <c r="G1376" s="70" t="s">
        <v>159</v>
      </c>
      <c r="H1376" s="70" t="str">
        <f t="shared" si="43"/>
        <v>KLM</v>
      </c>
    </row>
    <row r="1377" spans="1:8" ht="15" x14ac:dyDescent="0.25">
      <c r="A1377" s="88" t="s">
        <v>1622</v>
      </c>
      <c r="B1377" s="88">
        <v>2011</v>
      </c>
      <c r="C1377" s="95" t="s">
        <v>1664</v>
      </c>
      <c r="D1377" s="88" t="s">
        <v>160</v>
      </c>
      <c r="F1377" s="70">
        <f t="shared" si="42"/>
        <v>2011</v>
      </c>
      <c r="G1377" s="70" t="s">
        <v>159</v>
      </c>
      <c r="H1377" s="70" t="str">
        <f t="shared" si="43"/>
        <v>KLM</v>
      </c>
    </row>
    <row r="1378" spans="1:8" ht="15" x14ac:dyDescent="0.25">
      <c r="A1378" s="88" t="s">
        <v>1622</v>
      </c>
      <c r="B1378" s="88">
        <v>2011</v>
      </c>
      <c r="C1378" s="95" t="s">
        <v>1663</v>
      </c>
      <c r="D1378" s="88" t="s">
        <v>160</v>
      </c>
      <c r="F1378" s="70">
        <f t="shared" si="42"/>
        <v>2011</v>
      </c>
      <c r="G1378" s="70" t="s">
        <v>159</v>
      </c>
      <c r="H1378" s="70" t="str">
        <f t="shared" si="43"/>
        <v>KLM</v>
      </c>
    </row>
    <row r="1379" spans="1:8" ht="15" x14ac:dyDescent="0.25">
      <c r="A1379" s="88" t="s">
        <v>1622</v>
      </c>
      <c r="B1379" s="88">
        <v>2011</v>
      </c>
      <c r="C1379" s="95" t="s">
        <v>1662</v>
      </c>
      <c r="D1379" s="88" t="s">
        <v>160</v>
      </c>
      <c r="F1379" s="70">
        <f t="shared" si="42"/>
        <v>2011</v>
      </c>
      <c r="G1379" s="70" t="s">
        <v>159</v>
      </c>
      <c r="H1379" s="70" t="str">
        <f t="shared" si="43"/>
        <v>KLM</v>
      </c>
    </row>
    <row r="1380" spans="1:8" ht="15" x14ac:dyDescent="0.25">
      <c r="A1380" s="88" t="s">
        <v>1622</v>
      </c>
      <c r="B1380" s="88">
        <v>2011</v>
      </c>
      <c r="C1380" s="95" t="s">
        <v>1661</v>
      </c>
      <c r="D1380" s="88" t="s">
        <v>160</v>
      </c>
      <c r="F1380" s="70">
        <f t="shared" si="42"/>
        <v>2011</v>
      </c>
      <c r="G1380" s="70" t="s">
        <v>159</v>
      </c>
      <c r="H1380" s="70" t="str">
        <f t="shared" si="43"/>
        <v>KLM</v>
      </c>
    </row>
    <row r="1381" spans="1:8" ht="15" x14ac:dyDescent="0.25">
      <c r="A1381" s="68" t="s">
        <v>1622</v>
      </c>
      <c r="B1381" s="68">
        <v>2012</v>
      </c>
      <c r="C1381" s="76" t="s">
        <v>1660</v>
      </c>
      <c r="D1381" s="69">
        <v>5000</v>
      </c>
      <c r="F1381" s="70">
        <f t="shared" si="42"/>
        <v>2012</v>
      </c>
      <c r="G1381" s="70" t="s">
        <v>159</v>
      </c>
      <c r="H1381" s="70" t="str">
        <f t="shared" si="43"/>
        <v>KLM</v>
      </c>
    </row>
    <row r="1382" spans="1:8" ht="15" x14ac:dyDescent="0.25">
      <c r="A1382" s="68" t="s">
        <v>1622</v>
      </c>
      <c r="B1382" s="68">
        <v>2012</v>
      </c>
      <c r="C1382" s="76" t="s">
        <v>1659</v>
      </c>
      <c r="D1382" s="69">
        <v>5000</v>
      </c>
      <c r="F1382" s="70">
        <f t="shared" si="42"/>
        <v>2012</v>
      </c>
      <c r="G1382" s="70" t="s">
        <v>159</v>
      </c>
      <c r="H1382" s="70" t="str">
        <f t="shared" si="43"/>
        <v>KLM</v>
      </c>
    </row>
    <row r="1383" spans="1:8" ht="15" x14ac:dyDescent="0.25">
      <c r="A1383" s="68" t="s">
        <v>1622</v>
      </c>
      <c r="B1383" s="68">
        <v>2012</v>
      </c>
      <c r="C1383" s="76" t="s">
        <v>1658</v>
      </c>
      <c r="D1383" s="69">
        <v>5000</v>
      </c>
      <c r="F1383" s="70">
        <f t="shared" si="42"/>
        <v>2012</v>
      </c>
      <c r="G1383" s="70" t="s">
        <v>159</v>
      </c>
      <c r="H1383" s="70" t="str">
        <f t="shared" si="43"/>
        <v>KLM</v>
      </c>
    </row>
    <row r="1384" spans="1:8" ht="15" x14ac:dyDescent="0.25">
      <c r="A1384" s="68" t="s">
        <v>1622</v>
      </c>
      <c r="B1384" s="68">
        <v>2012</v>
      </c>
      <c r="C1384" s="76" t="s">
        <v>1657</v>
      </c>
      <c r="D1384" s="69">
        <v>5000</v>
      </c>
      <c r="F1384" s="70">
        <f t="shared" si="42"/>
        <v>2012</v>
      </c>
      <c r="G1384" s="70" t="s">
        <v>159</v>
      </c>
      <c r="H1384" s="70" t="str">
        <f t="shared" si="43"/>
        <v>KLM</v>
      </c>
    </row>
    <row r="1385" spans="1:8" ht="15" x14ac:dyDescent="0.25">
      <c r="A1385" s="68" t="s">
        <v>1622</v>
      </c>
      <c r="B1385" s="68">
        <v>2012</v>
      </c>
      <c r="C1385" s="76" t="s">
        <v>1656</v>
      </c>
      <c r="D1385" s="69">
        <v>5000</v>
      </c>
      <c r="F1385" s="70">
        <f t="shared" si="42"/>
        <v>2012</v>
      </c>
      <c r="G1385" s="70" t="s">
        <v>159</v>
      </c>
      <c r="H1385" s="70" t="str">
        <f t="shared" si="43"/>
        <v>KLM</v>
      </c>
    </row>
    <row r="1386" spans="1:8" ht="15" x14ac:dyDescent="0.25">
      <c r="A1386" s="68" t="s">
        <v>1622</v>
      </c>
      <c r="B1386" s="68">
        <v>2013</v>
      </c>
      <c r="C1386" s="76" t="s">
        <v>1655</v>
      </c>
      <c r="D1386" s="69">
        <v>5000</v>
      </c>
      <c r="F1386" s="70">
        <f t="shared" si="42"/>
        <v>2013</v>
      </c>
      <c r="G1386" s="70" t="s">
        <v>159</v>
      </c>
      <c r="H1386" s="70" t="str">
        <f t="shared" si="43"/>
        <v>KLM</v>
      </c>
    </row>
    <row r="1387" spans="1:8" ht="15" x14ac:dyDescent="0.25">
      <c r="A1387" s="68" t="s">
        <v>1622</v>
      </c>
      <c r="B1387" s="68">
        <v>2013</v>
      </c>
      <c r="C1387" s="76" t="s">
        <v>1654</v>
      </c>
      <c r="D1387" s="69">
        <v>5000</v>
      </c>
      <c r="F1387" s="70">
        <f t="shared" si="42"/>
        <v>2013</v>
      </c>
      <c r="G1387" s="70" t="s">
        <v>159</v>
      </c>
      <c r="H1387" s="70" t="str">
        <f t="shared" si="43"/>
        <v>KLM</v>
      </c>
    </row>
    <row r="1388" spans="1:8" ht="15" x14ac:dyDescent="0.25">
      <c r="A1388" s="68" t="s">
        <v>1622</v>
      </c>
      <c r="B1388" s="68">
        <v>2013</v>
      </c>
      <c r="C1388" s="76" t="s">
        <v>1653</v>
      </c>
      <c r="D1388" s="69">
        <v>5000</v>
      </c>
      <c r="F1388" s="70">
        <f t="shared" si="42"/>
        <v>2013</v>
      </c>
      <c r="G1388" s="70" t="s">
        <v>159</v>
      </c>
      <c r="H1388" s="70" t="str">
        <f t="shared" si="43"/>
        <v>KLM</v>
      </c>
    </row>
    <row r="1389" spans="1:8" ht="15" x14ac:dyDescent="0.25">
      <c r="A1389" s="68" t="s">
        <v>1622</v>
      </c>
      <c r="B1389" s="68">
        <v>2013</v>
      </c>
      <c r="C1389" s="76" t="s">
        <v>1652</v>
      </c>
      <c r="D1389" s="69">
        <v>5000</v>
      </c>
      <c r="F1389" s="70">
        <f t="shared" si="42"/>
        <v>2013</v>
      </c>
      <c r="G1389" s="70" t="s">
        <v>159</v>
      </c>
      <c r="H1389" s="70" t="str">
        <f t="shared" si="43"/>
        <v>KLM</v>
      </c>
    </row>
    <row r="1390" spans="1:8" ht="15" x14ac:dyDescent="0.25">
      <c r="A1390" s="68" t="s">
        <v>1622</v>
      </c>
      <c r="B1390" s="68">
        <v>2013</v>
      </c>
      <c r="C1390" s="76" t="s">
        <v>1651</v>
      </c>
      <c r="D1390" s="69">
        <v>5000</v>
      </c>
      <c r="F1390" s="70">
        <f t="shared" si="42"/>
        <v>2013</v>
      </c>
      <c r="G1390" s="70" t="s">
        <v>159</v>
      </c>
      <c r="H1390" s="70" t="str">
        <f t="shared" si="43"/>
        <v>KLM</v>
      </c>
    </row>
    <row r="1391" spans="1:8" ht="15" x14ac:dyDescent="0.25">
      <c r="A1391" s="68" t="s">
        <v>1622</v>
      </c>
      <c r="B1391" s="68">
        <v>2013</v>
      </c>
      <c r="C1391" s="76" t="s">
        <v>1650</v>
      </c>
      <c r="D1391" s="69">
        <v>5000</v>
      </c>
      <c r="F1391" s="70">
        <f t="shared" si="42"/>
        <v>2013</v>
      </c>
      <c r="G1391" s="70" t="s">
        <v>159</v>
      </c>
      <c r="H1391" s="70" t="str">
        <f t="shared" si="43"/>
        <v>KLM</v>
      </c>
    </row>
    <row r="1392" spans="1:8" ht="15" x14ac:dyDescent="0.25">
      <c r="A1392" s="85" t="s">
        <v>1622</v>
      </c>
      <c r="B1392" s="85">
        <v>2014</v>
      </c>
      <c r="C1392" s="92" t="s">
        <v>1649</v>
      </c>
      <c r="D1392" s="83">
        <v>5000</v>
      </c>
      <c r="F1392" s="70">
        <f t="shared" si="42"/>
        <v>2014</v>
      </c>
      <c r="G1392" s="70" t="s">
        <v>159</v>
      </c>
      <c r="H1392" s="70" t="str">
        <f t="shared" si="43"/>
        <v>KLM</v>
      </c>
    </row>
    <row r="1393" spans="1:8" ht="15" x14ac:dyDescent="0.25">
      <c r="A1393" s="85" t="s">
        <v>1622</v>
      </c>
      <c r="B1393" s="85">
        <v>2014</v>
      </c>
      <c r="C1393" s="92" t="s">
        <v>1648</v>
      </c>
      <c r="D1393" s="83">
        <v>5000</v>
      </c>
      <c r="F1393" s="70">
        <f t="shared" si="42"/>
        <v>2014</v>
      </c>
      <c r="G1393" s="70" t="s">
        <v>159</v>
      </c>
      <c r="H1393" s="70" t="str">
        <f t="shared" si="43"/>
        <v>KLM</v>
      </c>
    </row>
    <row r="1394" spans="1:8" ht="15" x14ac:dyDescent="0.25">
      <c r="A1394" s="85" t="s">
        <v>1622</v>
      </c>
      <c r="B1394" s="85">
        <v>2014</v>
      </c>
      <c r="C1394" s="92" t="s">
        <v>1647</v>
      </c>
      <c r="D1394" s="83">
        <v>5000</v>
      </c>
      <c r="F1394" s="70">
        <f t="shared" si="42"/>
        <v>2014</v>
      </c>
      <c r="G1394" s="70" t="s">
        <v>159</v>
      </c>
      <c r="H1394" s="70" t="str">
        <f t="shared" si="43"/>
        <v>KLM</v>
      </c>
    </row>
    <row r="1395" spans="1:8" ht="15" x14ac:dyDescent="0.25">
      <c r="A1395" s="85" t="s">
        <v>1622</v>
      </c>
      <c r="B1395" s="85">
        <v>2014</v>
      </c>
      <c r="C1395" s="92" t="s">
        <v>1646</v>
      </c>
      <c r="D1395" s="83">
        <v>5000</v>
      </c>
      <c r="F1395" s="70">
        <f t="shared" si="42"/>
        <v>2014</v>
      </c>
      <c r="G1395" s="70" t="s">
        <v>159</v>
      </c>
      <c r="H1395" s="70" t="str">
        <f t="shared" si="43"/>
        <v>KLM</v>
      </c>
    </row>
    <row r="1396" spans="1:8" ht="15" x14ac:dyDescent="0.25">
      <c r="A1396" s="85" t="s">
        <v>1622</v>
      </c>
      <c r="B1396" s="85">
        <v>2014</v>
      </c>
      <c r="C1396" s="92" t="s">
        <v>1645</v>
      </c>
      <c r="D1396" s="83">
        <v>5000</v>
      </c>
      <c r="F1396" s="70">
        <f t="shared" si="42"/>
        <v>2014</v>
      </c>
      <c r="G1396" s="70" t="s">
        <v>159</v>
      </c>
      <c r="H1396" s="70" t="str">
        <f t="shared" si="43"/>
        <v>KLM</v>
      </c>
    </row>
    <row r="1397" spans="1:8" ht="15" x14ac:dyDescent="0.25">
      <c r="A1397" s="85" t="s">
        <v>1622</v>
      </c>
      <c r="B1397" s="85">
        <v>2014</v>
      </c>
      <c r="C1397" s="92" t="s">
        <v>1644</v>
      </c>
      <c r="D1397" s="83">
        <v>5000</v>
      </c>
      <c r="F1397" s="70">
        <f t="shared" si="42"/>
        <v>2014</v>
      </c>
      <c r="G1397" s="70" t="s">
        <v>159</v>
      </c>
      <c r="H1397" s="70" t="str">
        <f t="shared" si="43"/>
        <v>KLM</v>
      </c>
    </row>
    <row r="1398" spans="1:8" ht="15" x14ac:dyDescent="0.25">
      <c r="A1398" s="85" t="s">
        <v>1622</v>
      </c>
      <c r="B1398" s="85">
        <v>2014</v>
      </c>
      <c r="C1398" s="92" t="s">
        <v>1643</v>
      </c>
      <c r="D1398" s="83">
        <v>5000</v>
      </c>
      <c r="F1398" s="70">
        <f t="shared" si="42"/>
        <v>2014</v>
      </c>
      <c r="G1398" s="70" t="s">
        <v>159</v>
      </c>
      <c r="H1398" s="70" t="str">
        <f t="shared" si="43"/>
        <v>KLM</v>
      </c>
    </row>
    <row r="1399" spans="1:8" ht="15" x14ac:dyDescent="0.25">
      <c r="A1399" s="68" t="s">
        <v>1622</v>
      </c>
      <c r="B1399" s="68">
        <v>2015</v>
      </c>
      <c r="C1399" s="76" t="s">
        <v>1642</v>
      </c>
      <c r="D1399" s="69">
        <v>5000</v>
      </c>
      <c r="F1399" s="70">
        <f t="shared" si="42"/>
        <v>2015</v>
      </c>
      <c r="G1399" s="70" t="s">
        <v>159</v>
      </c>
      <c r="H1399" s="70" t="str">
        <f t="shared" si="43"/>
        <v>KLM</v>
      </c>
    </row>
    <row r="1400" spans="1:8" ht="15" x14ac:dyDescent="0.25">
      <c r="A1400" s="68" t="s">
        <v>1622</v>
      </c>
      <c r="B1400" s="68">
        <v>2015</v>
      </c>
      <c r="C1400" s="76" t="s">
        <v>1641</v>
      </c>
      <c r="D1400" s="69">
        <v>5000</v>
      </c>
      <c r="F1400" s="70">
        <f t="shared" si="42"/>
        <v>2015</v>
      </c>
      <c r="G1400" s="70" t="s">
        <v>159</v>
      </c>
      <c r="H1400" s="70" t="str">
        <f t="shared" si="43"/>
        <v>KLM</v>
      </c>
    </row>
    <row r="1401" spans="1:8" ht="15" x14ac:dyDescent="0.25">
      <c r="A1401" s="68" t="s">
        <v>1622</v>
      </c>
      <c r="B1401" s="68">
        <v>2015</v>
      </c>
      <c r="C1401" s="76" t="s">
        <v>1640</v>
      </c>
      <c r="D1401" s="69">
        <v>5000</v>
      </c>
      <c r="F1401" s="70">
        <f t="shared" si="42"/>
        <v>2015</v>
      </c>
      <c r="G1401" s="70" t="s">
        <v>159</v>
      </c>
      <c r="H1401" s="70" t="str">
        <f t="shared" si="43"/>
        <v>KLM</v>
      </c>
    </row>
    <row r="1402" spans="1:8" ht="15" x14ac:dyDescent="0.25">
      <c r="A1402" s="68" t="s">
        <v>1622</v>
      </c>
      <c r="B1402" s="68">
        <v>2015</v>
      </c>
      <c r="C1402" s="76" t="s">
        <v>1639</v>
      </c>
      <c r="D1402" s="69">
        <v>5000</v>
      </c>
      <c r="F1402" s="70">
        <f t="shared" si="42"/>
        <v>2015</v>
      </c>
      <c r="G1402" s="70" t="s">
        <v>159</v>
      </c>
      <c r="H1402" s="70" t="str">
        <f t="shared" si="43"/>
        <v>KLM</v>
      </c>
    </row>
    <row r="1403" spans="1:8" ht="15" x14ac:dyDescent="0.25">
      <c r="A1403" s="68" t="s">
        <v>1622</v>
      </c>
      <c r="B1403" s="68">
        <v>2015</v>
      </c>
      <c r="C1403" s="76" t="s">
        <v>1638</v>
      </c>
      <c r="D1403" s="69">
        <v>5000</v>
      </c>
      <c r="F1403" s="70">
        <f t="shared" si="42"/>
        <v>2015</v>
      </c>
      <c r="G1403" s="70" t="s">
        <v>159</v>
      </c>
      <c r="H1403" s="70" t="str">
        <f t="shared" si="43"/>
        <v>KLM</v>
      </c>
    </row>
    <row r="1404" spans="1:8" ht="15" x14ac:dyDescent="0.25">
      <c r="A1404" s="68" t="s">
        <v>1622</v>
      </c>
      <c r="B1404" s="68">
        <v>2015</v>
      </c>
      <c r="C1404" s="76" t="s">
        <v>1637</v>
      </c>
      <c r="D1404" s="69">
        <v>5000</v>
      </c>
      <c r="F1404" s="70">
        <f t="shared" si="42"/>
        <v>2015</v>
      </c>
      <c r="G1404" s="70" t="s">
        <v>159</v>
      </c>
      <c r="H1404" s="70" t="str">
        <f t="shared" si="43"/>
        <v>KLM</v>
      </c>
    </row>
    <row r="1405" spans="1:8" ht="15" x14ac:dyDescent="0.25">
      <c r="A1405" s="68" t="s">
        <v>1622</v>
      </c>
      <c r="B1405" s="68">
        <v>2015</v>
      </c>
      <c r="C1405" s="76" t="s">
        <v>1636</v>
      </c>
      <c r="D1405" s="69">
        <v>5000</v>
      </c>
      <c r="F1405" s="70">
        <f t="shared" si="42"/>
        <v>2015</v>
      </c>
      <c r="G1405" s="70" t="s">
        <v>159</v>
      </c>
      <c r="H1405" s="70" t="str">
        <f t="shared" si="43"/>
        <v>KLM</v>
      </c>
    </row>
    <row r="1406" spans="1:8" ht="15" x14ac:dyDescent="0.25">
      <c r="A1406" s="68" t="s">
        <v>1622</v>
      </c>
      <c r="B1406" s="68">
        <v>2015</v>
      </c>
      <c r="C1406" s="76" t="s">
        <v>1635</v>
      </c>
      <c r="D1406" s="69">
        <v>5000</v>
      </c>
      <c r="F1406" s="70">
        <f t="shared" si="42"/>
        <v>2015</v>
      </c>
      <c r="G1406" s="70" t="s">
        <v>159</v>
      </c>
      <c r="H1406" s="70" t="str">
        <f t="shared" si="43"/>
        <v>KLM</v>
      </c>
    </row>
    <row r="1407" spans="1:8" ht="15" x14ac:dyDescent="0.25">
      <c r="A1407" s="68" t="s">
        <v>1622</v>
      </c>
      <c r="B1407" s="68">
        <v>2015</v>
      </c>
      <c r="C1407" s="76" t="s">
        <v>1634</v>
      </c>
      <c r="D1407" s="69">
        <v>5000</v>
      </c>
      <c r="F1407" s="70">
        <f t="shared" si="42"/>
        <v>2015</v>
      </c>
      <c r="G1407" s="70" t="s">
        <v>159</v>
      </c>
      <c r="H1407" s="70" t="str">
        <f t="shared" si="43"/>
        <v>KLM</v>
      </c>
    </row>
    <row r="1408" spans="1:8" ht="15" x14ac:dyDescent="0.25">
      <c r="A1408" s="68" t="s">
        <v>1622</v>
      </c>
      <c r="B1408" s="68">
        <v>2016</v>
      </c>
      <c r="C1408" s="76" t="s">
        <v>1633</v>
      </c>
      <c r="D1408" s="69">
        <v>5000</v>
      </c>
      <c r="F1408" s="70">
        <f t="shared" si="42"/>
        <v>2016</v>
      </c>
      <c r="G1408" s="70" t="s">
        <v>159</v>
      </c>
      <c r="H1408" s="70" t="str">
        <f t="shared" si="43"/>
        <v>KLM</v>
      </c>
    </row>
    <row r="1409" spans="1:8" ht="15" x14ac:dyDescent="0.25">
      <c r="A1409" s="68" t="s">
        <v>1622</v>
      </c>
      <c r="B1409" s="68">
        <v>2016</v>
      </c>
      <c r="C1409" s="76" t="s">
        <v>1632</v>
      </c>
      <c r="D1409" s="69">
        <v>5000</v>
      </c>
      <c r="F1409" s="70">
        <f t="shared" si="42"/>
        <v>2016</v>
      </c>
      <c r="G1409" s="70" t="s">
        <v>159</v>
      </c>
      <c r="H1409" s="70" t="str">
        <f t="shared" si="43"/>
        <v>KLM</v>
      </c>
    </row>
    <row r="1410" spans="1:8" ht="15" x14ac:dyDescent="0.25">
      <c r="A1410" s="68" t="s">
        <v>1622</v>
      </c>
      <c r="B1410" s="68">
        <v>2016</v>
      </c>
      <c r="C1410" s="76" t="s">
        <v>1631</v>
      </c>
      <c r="D1410" s="69">
        <v>5000</v>
      </c>
      <c r="F1410" s="70">
        <f t="shared" si="42"/>
        <v>2016</v>
      </c>
      <c r="G1410" s="70" t="s">
        <v>159</v>
      </c>
      <c r="H1410" s="70" t="str">
        <f t="shared" si="43"/>
        <v>KLM</v>
      </c>
    </row>
    <row r="1411" spans="1:8" ht="15" x14ac:dyDescent="0.25">
      <c r="A1411" s="68" t="s">
        <v>1622</v>
      </c>
      <c r="B1411" s="68">
        <v>2016</v>
      </c>
      <c r="C1411" s="76" t="s">
        <v>1630</v>
      </c>
      <c r="D1411" s="69">
        <v>5000</v>
      </c>
      <c r="F1411" s="70">
        <f t="shared" si="42"/>
        <v>2016</v>
      </c>
      <c r="G1411" s="70" t="s">
        <v>159</v>
      </c>
      <c r="H1411" s="70" t="str">
        <f t="shared" si="43"/>
        <v>KLM</v>
      </c>
    </row>
    <row r="1412" spans="1:8" ht="15" x14ac:dyDescent="0.25">
      <c r="A1412" s="68" t="s">
        <v>1622</v>
      </c>
      <c r="B1412" s="68">
        <v>2016</v>
      </c>
      <c r="C1412" s="76" t="s">
        <v>1629</v>
      </c>
      <c r="D1412" s="69">
        <v>5000</v>
      </c>
      <c r="F1412" s="70">
        <f t="shared" si="42"/>
        <v>2016</v>
      </c>
      <c r="G1412" s="70" t="s">
        <v>159</v>
      </c>
      <c r="H1412" s="70" t="str">
        <f t="shared" si="43"/>
        <v>KLM</v>
      </c>
    </row>
    <row r="1413" spans="1:8" ht="15" x14ac:dyDescent="0.25">
      <c r="A1413" s="68" t="s">
        <v>1622</v>
      </c>
      <c r="B1413" s="68">
        <v>2016</v>
      </c>
      <c r="C1413" s="76" t="s">
        <v>1628</v>
      </c>
      <c r="D1413" s="69">
        <v>5000</v>
      </c>
      <c r="F1413" s="70">
        <f t="shared" si="42"/>
        <v>2016</v>
      </c>
      <c r="G1413" s="70" t="s">
        <v>159</v>
      </c>
      <c r="H1413" s="70" t="str">
        <f t="shared" si="43"/>
        <v>KLM</v>
      </c>
    </row>
    <row r="1414" spans="1:8" ht="15" x14ac:dyDescent="0.25">
      <c r="A1414" s="85" t="s">
        <v>1622</v>
      </c>
      <c r="B1414" s="85">
        <v>2017</v>
      </c>
      <c r="C1414" s="92" t="s">
        <v>1627</v>
      </c>
      <c r="D1414" s="83">
        <v>5000</v>
      </c>
      <c r="F1414" s="70">
        <f t="shared" si="42"/>
        <v>2017</v>
      </c>
      <c r="G1414" s="70" t="s">
        <v>159</v>
      </c>
      <c r="H1414" s="70" t="str">
        <f t="shared" si="43"/>
        <v>KLM</v>
      </c>
    </row>
    <row r="1415" spans="1:8" ht="15" x14ac:dyDescent="0.25">
      <c r="A1415" s="85" t="s">
        <v>1622</v>
      </c>
      <c r="B1415" s="85">
        <v>2017</v>
      </c>
      <c r="C1415" s="92" t="s">
        <v>1626</v>
      </c>
      <c r="D1415" s="83">
        <v>5000</v>
      </c>
      <c r="F1415" s="70">
        <f t="shared" si="42"/>
        <v>2017</v>
      </c>
      <c r="G1415" s="70" t="s">
        <v>159</v>
      </c>
      <c r="H1415" s="70" t="str">
        <f t="shared" si="43"/>
        <v>KLM</v>
      </c>
    </row>
    <row r="1416" spans="1:8" ht="15" x14ac:dyDescent="0.25">
      <c r="A1416" s="85" t="s">
        <v>1622</v>
      </c>
      <c r="B1416" s="85">
        <v>2017</v>
      </c>
      <c r="C1416" s="92" t="s">
        <v>1625</v>
      </c>
      <c r="D1416" s="83">
        <v>5000</v>
      </c>
      <c r="F1416" s="70">
        <f t="shared" ref="F1416:F1479" si="44">+B1416</f>
        <v>2017</v>
      </c>
      <c r="G1416" s="70" t="s">
        <v>159</v>
      </c>
      <c r="H1416" s="70" t="str">
        <f t="shared" ref="H1416:H1479" si="45">A1416</f>
        <v>KLM</v>
      </c>
    </row>
    <row r="1417" spans="1:8" ht="15" x14ac:dyDescent="0.25">
      <c r="A1417" s="75" t="s">
        <v>1622</v>
      </c>
      <c r="B1417" s="75">
        <v>2018</v>
      </c>
      <c r="C1417" s="90" t="s">
        <v>1624</v>
      </c>
      <c r="D1417" s="82" t="s">
        <v>160</v>
      </c>
      <c r="F1417" s="70">
        <f t="shared" si="44"/>
        <v>2018</v>
      </c>
      <c r="G1417" s="70" t="s">
        <v>159</v>
      </c>
      <c r="H1417" s="70" t="str">
        <f t="shared" si="45"/>
        <v>KLM</v>
      </c>
    </row>
    <row r="1418" spans="1:8" ht="15" x14ac:dyDescent="0.25">
      <c r="A1418" s="75" t="s">
        <v>1622</v>
      </c>
      <c r="B1418" s="75">
        <v>2018</v>
      </c>
      <c r="C1418" s="90" t="s">
        <v>1623</v>
      </c>
      <c r="D1418" s="82" t="s">
        <v>160</v>
      </c>
      <c r="F1418" s="70">
        <f t="shared" si="44"/>
        <v>2018</v>
      </c>
      <c r="G1418" s="70" t="s">
        <v>159</v>
      </c>
      <c r="H1418" s="70" t="str">
        <f t="shared" si="45"/>
        <v>KLM</v>
      </c>
    </row>
    <row r="1419" spans="1:8" ht="15" x14ac:dyDescent="0.25">
      <c r="A1419" s="75" t="s">
        <v>1622</v>
      </c>
      <c r="B1419" s="75">
        <v>2018</v>
      </c>
      <c r="C1419" s="90" t="s">
        <v>1621</v>
      </c>
      <c r="D1419" s="82" t="s">
        <v>160</v>
      </c>
      <c r="F1419" s="70">
        <f t="shared" si="44"/>
        <v>2018</v>
      </c>
      <c r="G1419" s="70" t="s">
        <v>159</v>
      </c>
      <c r="H1419" s="70" t="str">
        <f t="shared" si="45"/>
        <v>KLM</v>
      </c>
    </row>
    <row r="1420" spans="1:8" ht="15" x14ac:dyDescent="0.25">
      <c r="A1420" s="88" t="s">
        <v>1564</v>
      </c>
      <c r="B1420" s="88">
        <v>1984</v>
      </c>
      <c r="C1420" s="89" t="s">
        <v>1620</v>
      </c>
      <c r="D1420" s="88" t="s">
        <v>160</v>
      </c>
      <c r="F1420" s="70">
        <f t="shared" si="44"/>
        <v>1984</v>
      </c>
      <c r="G1420" s="70" t="s">
        <v>159</v>
      </c>
      <c r="H1420" s="70" t="str">
        <f t="shared" si="45"/>
        <v>KLY</v>
      </c>
    </row>
    <row r="1421" spans="1:8" ht="15" x14ac:dyDescent="0.25">
      <c r="A1421" s="88" t="s">
        <v>1564</v>
      </c>
      <c r="B1421" s="88">
        <v>1985</v>
      </c>
      <c r="C1421" s="89" t="s">
        <v>1619</v>
      </c>
      <c r="D1421" s="88" t="s">
        <v>160</v>
      </c>
      <c r="F1421" s="70">
        <f t="shared" si="44"/>
        <v>1985</v>
      </c>
      <c r="G1421" s="70" t="s">
        <v>159</v>
      </c>
      <c r="H1421" s="70" t="str">
        <f t="shared" si="45"/>
        <v>KLY</v>
      </c>
    </row>
    <row r="1422" spans="1:8" ht="15" x14ac:dyDescent="0.25">
      <c r="A1422" s="88" t="s">
        <v>1564</v>
      </c>
      <c r="B1422" s="88">
        <v>1987</v>
      </c>
      <c r="C1422" s="89" t="s">
        <v>1618</v>
      </c>
      <c r="D1422" s="88" t="s">
        <v>160</v>
      </c>
      <c r="F1422" s="70">
        <f t="shared" si="44"/>
        <v>1987</v>
      </c>
      <c r="G1422" s="70" t="s">
        <v>159</v>
      </c>
      <c r="H1422" s="70" t="str">
        <f t="shared" si="45"/>
        <v>KLY</v>
      </c>
    </row>
    <row r="1423" spans="1:8" ht="15" x14ac:dyDescent="0.25">
      <c r="A1423" s="88" t="s">
        <v>1564</v>
      </c>
      <c r="B1423" s="88">
        <v>1987</v>
      </c>
      <c r="C1423" s="89" t="s">
        <v>1617</v>
      </c>
      <c r="D1423" s="88" t="s">
        <v>160</v>
      </c>
      <c r="F1423" s="70">
        <f t="shared" si="44"/>
        <v>1987</v>
      </c>
      <c r="G1423" s="70" t="s">
        <v>159</v>
      </c>
      <c r="H1423" s="70" t="str">
        <f t="shared" si="45"/>
        <v>KLY</v>
      </c>
    </row>
    <row r="1424" spans="1:8" ht="15" x14ac:dyDescent="0.25">
      <c r="A1424" s="88" t="s">
        <v>1564</v>
      </c>
      <c r="B1424" s="88">
        <v>1989</v>
      </c>
      <c r="C1424" s="89" t="s">
        <v>1616</v>
      </c>
      <c r="D1424" s="88" t="s">
        <v>160</v>
      </c>
      <c r="F1424" s="70">
        <f t="shared" si="44"/>
        <v>1989</v>
      </c>
      <c r="G1424" s="70" t="s">
        <v>159</v>
      </c>
      <c r="H1424" s="70" t="str">
        <f t="shared" si="45"/>
        <v>KLY</v>
      </c>
    </row>
    <row r="1425" spans="1:8" ht="15" x14ac:dyDescent="0.25">
      <c r="A1425" s="88" t="s">
        <v>1564</v>
      </c>
      <c r="B1425" s="88">
        <v>1989</v>
      </c>
      <c r="C1425" s="89" t="s">
        <v>1615</v>
      </c>
      <c r="D1425" s="88" t="s">
        <v>160</v>
      </c>
      <c r="F1425" s="70">
        <f t="shared" si="44"/>
        <v>1989</v>
      </c>
      <c r="G1425" s="70" t="s">
        <v>159</v>
      </c>
      <c r="H1425" s="70" t="str">
        <f t="shared" si="45"/>
        <v>KLY</v>
      </c>
    </row>
    <row r="1426" spans="1:8" ht="15" x14ac:dyDescent="0.25">
      <c r="A1426" s="88" t="s">
        <v>1564</v>
      </c>
      <c r="B1426" s="88">
        <v>1989</v>
      </c>
      <c r="C1426" s="89" t="s">
        <v>1614</v>
      </c>
      <c r="D1426" s="88" t="s">
        <v>160</v>
      </c>
      <c r="F1426" s="70">
        <f t="shared" si="44"/>
        <v>1989</v>
      </c>
      <c r="G1426" s="70" t="s">
        <v>159</v>
      </c>
      <c r="H1426" s="70" t="str">
        <f t="shared" si="45"/>
        <v>KLY</v>
      </c>
    </row>
    <row r="1427" spans="1:8" ht="15" x14ac:dyDescent="0.25">
      <c r="A1427" s="88" t="s">
        <v>1564</v>
      </c>
      <c r="B1427" s="88">
        <v>1996</v>
      </c>
      <c r="C1427" s="89" t="s">
        <v>1613</v>
      </c>
      <c r="D1427" s="88" t="s">
        <v>160</v>
      </c>
      <c r="F1427" s="70">
        <f t="shared" si="44"/>
        <v>1996</v>
      </c>
      <c r="G1427" s="70" t="s">
        <v>159</v>
      </c>
      <c r="H1427" s="70" t="str">
        <f t="shared" si="45"/>
        <v>KLY</v>
      </c>
    </row>
    <row r="1428" spans="1:8" ht="15" x14ac:dyDescent="0.25">
      <c r="A1428" s="88" t="s">
        <v>1564</v>
      </c>
      <c r="B1428" s="88">
        <v>1999</v>
      </c>
      <c r="C1428" s="89" t="s">
        <v>1612</v>
      </c>
      <c r="D1428" s="88" t="s">
        <v>160</v>
      </c>
      <c r="F1428" s="70">
        <f t="shared" si="44"/>
        <v>1999</v>
      </c>
      <c r="G1428" s="70" t="s">
        <v>159</v>
      </c>
      <c r="H1428" s="70" t="str">
        <f t="shared" si="45"/>
        <v>KLY</v>
      </c>
    </row>
    <row r="1429" spans="1:8" ht="15" x14ac:dyDescent="0.25">
      <c r="A1429" s="88" t="s">
        <v>1564</v>
      </c>
      <c r="B1429" s="88">
        <v>2000</v>
      </c>
      <c r="C1429" s="89" t="s">
        <v>1611</v>
      </c>
      <c r="D1429" s="88" t="s">
        <v>160</v>
      </c>
      <c r="F1429" s="70">
        <f t="shared" si="44"/>
        <v>2000</v>
      </c>
      <c r="G1429" s="70" t="s">
        <v>159</v>
      </c>
      <c r="H1429" s="70" t="str">
        <f t="shared" si="45"/>
        <v>KLY</v>
      </c>
    </row>
    <row r="1430" spans="1:8" ht="15" x14ac:dyDescent="0.25">
      <c r="A1430" s="88" t="s">
        <v>1564</v>
      </c>
      <c r="B1430" s="88">
        <v>2001</v>
      </c>
      <c r="C1430" s="89" t="s">
        <v>1610</v>
      </c>
      <c r="D1430" s="88" t="s">
        <v>160</v>
      </c>
      <c r="F1430" s="70">
        <f t="shared" si="44"/>
        <v>2001</v>
      </c>
      <c r="G1430" s="70" t="s">
        <v>159</v>
      </c>
      <c r="H1430" s="70" t="str">
        <f t="shared" si="45"/>
        <v>KLY</v>
      </c>
    </row>
    <row r="1431" spans="1:8" ht="15" x14ac:dyDescent="0.25">
      <c r="A1431" s="88" t="s">
        <v>1564</v>
      </c>
      <c r="B1431" s="88">
        <v>2001</v>
      </c>
      <c r="C1431" s="89" t="s">
        <v>1609</v>
      </c>
      <c r="D1431" s="88" t="s">
        <v>160</v>
      </c>
      <c r="F1431" s="70">
        <f t="shared" si="44"/>
        <v>2001</v>
      </c>
      <c r="G1431" s="70" t="s">
        <v>159</v>
      </c>
      <c r="H1431" s="70" t="str">
        <f t="shared" si="45"/>
        <v>KLY</v>
      </c>
    </row>
    <row r="1432" spans="1:8" ht="15" x14ac:dyDescent="0.25">
      <c r="A1432" s="88" t="s">
        <v>1564</v>
      </c>
      <c r="B1432" s="88">
        <v>2002</v>
      </c>
      <c r="C1432" s="89" t="s">
        <v>1608</v>
      </c>
      <c r="D1432" s="88" t="s">
        <v>160</v>
      </c>
      <c r="F1432" s="70">
        <f t="shared" si="44"/>
        <v>2002</v>
      </c>
      <c r="G1432" s="70" t="s">
        <v>159</v>
      </c>
      <c r="H1432" s="70" t="str">
        <f t="shared" si="45"/>
        <v>KLY</v>
      </c>
    </row>
    <row r="1433" spans="1:8" ht="15" x14ac:dyDescent="0.25">
      <c r="A1433" s="88" t="s">
        <v>1564</v>
      </c>
      <c r="B1433" s="88">
        <v>2002</v>
      </c>
      <c r="C1433" s="89" t="s">
        <v>1607</v>
      </c>
      <c r="D1433" s="88" t="s">
        <v>160</v>
      </c>
      <c r="F1433" s="70">
        <f t="shared" si="44"/>
        <v>2002</v>
      </c>
      <c r="G1433" s="70" t="s">
        <v>159</v>
      </c>
      <c r="H1433" s="70" t="str">
        <f t="shared" si="45"/>
        <v>KLY</v>
      </c>
    </row>
    <row r="1434" spans="1:8" ht="15" x14ac:dyDescent="0.25">
      <c r="A1434" s="88" t="s">
        <v>1564</v>
      </c>
      <c r="B1434" s="88">
        <v>2003</v>
      </c>
      <c r="C1434" s="89" t="s">
        <v>1606</v>
      </c>
      <c r="D1434" s="88" t="s">
        <v>160</v>
      </c>
      <c r="F1434" s="70">
        <f t="shared" si="44"/>
        <v>2003</v>
      </c>
      <c r="G1434" s="70" t="s">
        <v>159</v>
      </c>
      <c r="H1434" s="70" t="str">
        <f t="shared" si="45"/>
        <v>KLY</v>
      </c>
    </row>
    <row r="1435" spans="1:8" ht="15" x14ac:dyDescent="0.25">
      <c r="A1435" s="88" t="s">
        <v>1564</v>
      </c>
      <c r="B1435" s="88">
        <v>2003</v>
      </c>
      <c r="C1435" s="89" t="s">
        <v>1605</v>
      </c>
      <c r="D1435" s="88" t="s">
        <v>160</v>
      </c>
      <c r="F1435" s="70">
        <f t="shared" si="44"/>
        <v>2003</v>
      </c>
      <c r="G1435" s="70" t="s">
        <v>159</v>
      </c>
      <c r="H1435" s="70" t="str">
        <f t="shared" si="45"/>
        <v>KLY</v>
      </c>
    </row>
    <row r="1436" spans="1:8" ht="15" x14ac:dyDescent="0.25">
      <c r="A1436" s="88" t="s">
        <v>1564</v>
      </c>
      <c r="B1436" s="88">
        <v>2004</v>
      </c>
      <c r="C1436" s="89" t="s">
        <v>1604</v>
      </c>
      <c r="D1436" s="88" t="s">
        <v>160</v>
      </c>
      <c r="F1436" s="70">
        <f t="shared" si="44"/>
        <v>2004</v>
      </c>
      <c r="G1436" s="70" t="s">
        <v>159</v>
      </c>
      <c r="H1436" s="70" t="str">
        <f t="shared" si="45"/>
        <v>KLY</v>
      </c>
    </row>
    <row r="1437" spans="1:8" ht="15" x14ac:dyDescent="0.25">
      <c r="A1437" s="88" t="s">
        <v>1564</v>
      </c>
      <c r="B1437" s="88">
        <v>2004</v>
      </c>
      <c r="C1437" s="89" t="s">
        <v>1603</v>
      </c>
      <c r="D1437" s="88" t="s">
        <v>160</v>
      </c>
      <c r="F1437" s="70">
        <f t="shared" si="44"/>
        <v>2004</v>
      </c>
      <c r="G1437" s="70" t="s">
        <v>159</v>
      </c>
      <c r="H1437" s="70" t="str">
        <f t="shared" si="45"/>
        <v>KLY</v>
      </c>
    </row>
    <row r="1438" spans="1:8" ht="15" x14ac:dyDescent="0.25">
      <c r="A1438" s="88" t="s">
        <v>1564</v>
      </c>
      <c r="B1438" s="88">
        <v>2004</v>
      </c>
      <c r="C1438" s="89" t="s">
        <v>1602</v>
      </c>
      <c r="D1438" s="88" t="s">
        <v>160</v>
      </c>
      <c r="F1438" s="70">
        <f t="shared" si="44"/>
        <v>2004</v>
      </c>
      <c r="G1438" s="70" t="s">
        <v>159</v>
      </c>
      <c r="H1438" s="70" t="str">
        <f t="shared" si="45"/>
        <v>KLY</v>
      </c>
    </row>
    <row r="1439" spans="1:8" ht="15" x14ac:dyDescent="0.25">
      <c r="A1439" s="88" t="s">
        <v>1564</v>
      </c>
      <c r="B1439" s="88">
        <v>2005</v>
      </c>
      <c r="C1439" s="89" t="s">
        <v>1601</v>
      </c>
      <c r="D1439" s="88" t="s">
        <v>160</v>
      </c>
      <c r="F1439" s="70">
        <f t="shared" si="44"/>
        <v>2005</v>
      </c>
      <c r="G1439" s="70" t="s">
        <v>159</v>
      </c>
      <c r="H1439" s="70" t="str">
        <f t="shared" si="45"/>
        <v>KLY</v>
      </c>
    </row>
    <row r="1440" spans="1:8" ht="15" x14ac:dyDescent="0.25">
      <c r="A1440" s="88" t="s">
        <v>1564</v>
      </c>
      <c r="B1440" s="88">
        <v>2005</v>
      </c>
      <c r="C1440" s="89" t="s">
        <v>1600</v>
      </c>
      <c r="D1440" s="88" t="s">
        <v>160</v>
      </c>
      <c r="F1440" s="70">
        <f t="shared" si="44"/>
        <v>2005</v>
      </c>
      <c r="G1440" s="70" t="s">
        <v>159</v>
      </c>
      <c r="H1440" s="70" t="str">
        <f t="shared" si="45"/>
        <v>KLY</v>
      </c>
    </row>
    <row r="1441" spans="1:8" ht="15" x14ac:dyDescent="0.25">
      <c r="A1441" s="88" t="s">
        <v>1564</v>
      </c>
      <c r="B1441" s="88">
        <v>2006</v>
      </c>
      <c r="C1441" s="89" t="s">
        <v>1599</v>
      </c>
      <c r="D1441" s="88" t="s">
        <v>160</v>
      </c>
      <c r="F1441" s="70">
        <f t="shared" si="44"/>
        <v>2006</v>
      </c>
      <c r="G1441" s="70" t="s">
        <v>159</v>
      </c>
      <c r="H1441" s="70" t="str">
        <f t="shared" si="45"/>
        <v>KLY</v>
      </c>
    </row>
    <row r="1442" spans="1:8" ht="15" x14ac:dyDescent="0.25">
      <c r="A1442" s="88" t="s">
        <v>1564</v>
      </c>
      <c r="B1442" s="88">
        <v>2006</v>
      </c>
      <c r="C1442" s="89" t="s">
        <v>1598</v>
      </c>
      <c r="D1442" s="88" t="s">
        <v>160</v>
      </c>
      <c r="F1442" s="70">
        <f t="shared" si="44"/>
        <v>2006</v>
      </c>
      <c r="G1442" s="70" t="s">
        <v>159</v>
      </c>
      <c r="H1442" s="70" t="str">
        <f t="shared" si="45"/>
        <v>KLY</v>
      </c>
    </row>
    <row r="1443" spans="1:8" ht="15" x14ac:dyDescent="0.25">
      <c r="A1443" s="88" t="s">
        <v>1564</v>
      </c>
      <c r="B1443" s="88">
        <v>2007</v>
      </c>
      <c r="C1443" s="89" t="s">
        <v>1597</v>
      </c>
      <c r="D1443" s="88" t="s">
        <v>160</v>
      </c>
      <c r="F1443" s="70">
        <f t="shared" si="44"/>
        <v>2007</v>
      </c>
      <c r="G1443" s="70" t="s">
        <v>159</v>
      </c>
      <c r="H1443" s="70" t="str">
        <f t="shared" si="45"/>
        <v>KLY</v>
      </c>
    </row>
    <row r="1444" spans="1:8" ht="15" x14ac:dyDescent="0.25">
      <c r="A1444" s="88" t="s">
        <v>1564</v>
      </c>
      <c r="B1444" s="88">
        <v>2007</v>
      </c>
      <c r="C1444" s="89" t="s">
        <v>1596</v>
      </c>
      <c r="D1444" s="88" t="s">
        <v>160</v>
      </c>
      <c r="F1444" s="70">
        <f t="shared" si="44"/>
        <v>2007</v>
      </c>
      <c r="G1444" s="70" t="s">
        <v>159</v>
      </c>
      <c r="H1444" s="70" t="str">
        <f t="shared" si="45"/>
        <v>KLY</v>
      </c>
    </row>
    <row r="1445" spans="1:8" ht="15" x14ac:dyDescent="0.25">
      <c r="A1445" s="88" t="s">
        <v>1564</v>
      </c>
      <c r="B1445" s="88">
        <v>2008</v>
      </c>
      <c r="C1445" s="89" t="s">
        <v>1595</v>
      </c>
      <c r="D1445" s="88" t="s">
        <v>160</v>
      </c>
      <c r="F1445" s="70">
        <f t="shared" si="44"/>
        <v>2008</v>
      </c>
      <c r="G1445" s="70" t="s">
        <v>159</v>
      </c>
      <c r="H1445" s="70" t="str">
        <f t="shared" si="45"/>
        <v>KLY</v>
      </c>
    </row>
    <row r="1446" spans="1:8" ht="15" x14ac:dyDescent="0.25">
      <c r="A1446" s="88" t="s">
        <v>1564</v>
      </c>
      <c r="B1446" s="88">
        <v>2008</v>
      </c>
      <c r="C1446" s="89" t="s">
        <v>1594</v>
      </c>
      <c r="D1446" s="88" t="s">
        <v>160</v>
      </c>
      <c r="F1446" s="70">
        <f t="shared" si="44"/>
        <v>2008</v>
      </c>
      <c r="G1446" s="70" t="s">
        <v>159</v>
      </c>
      <c r="H1446" s="70" t="str">
        <f t="shared" si="45"/>
        <v>KLY</v>
      </c>
    </row>
    <row r="1447" spans="1:8" ht="15" x14ac:dyDescent="0.25">
      <c r="A1447" s="88" t="s">
        <v>1564</v>
      </c>
      <c r="B1447" s="88">
        <v>2008</v>
      </c>
      <c r="C1447" s="89" t="s">
        <v>1593</v>
      </c>
      <c r="D1447" s="88" t="s">
        <v>160</v>
      </c>
      <c r="F1447" s="70">
        <f t="shared" si="44"/>
        <v>2008</v>
      </c>
      <c r="G1447" s="70" t="s">
        <v>159</v>
      </c>
      <c r="H1447" s="70" t="str">
        <f t="shared" si="45"/>
        <v>KLY</v>
      </c>
    </row>
    <row r="1448" spans="1:8" ht="15" x14ac:dyDescent="0.25">
      <c r="A1448" s="88" t="s">
        <v>1564</v>
      </c>
      <c r="B1448" s="88">
        <v>2009</v>
      </c>
      <c r="C1448" s="89" t="s">
        <v>1592</v>
      </c>
      <c r="D1448" s="88" t="s">
        <v>160</v>
      </c>
      <c r="F1448" s="70">
        <f t="shared" si="44"/>
        <v>2009</v>
      </c>
      <c r="G1448" s="70" t="s">
        <v>159</v>
      </c>
      <c r="H1448" s="70" t="str">
        <f t="shared" si="45"/>
        <v>KLY</v>
      </c>
    </row>
    <row r="1449" spans="1:8" ht="15" x14ac:dyDescent="0.25">
      <c r="A1449" s="88" t="s">
        <v>1564</v>
      </c>
      <c r="B1449" s="88">
        <v>2009</v>
      </c>
      <c r="C1449" s="89" t="s">
        <v>1591</v>
      </c>
      <c r="D1449" s="88" t="s">
        <v>160</v>
      </c>
      <c r="F1449" s="70">
        <f t="shared" si="44"/>
        <v>2009</v>
      </c>
      <c r="G1449" s="70" t="s">
        <v>159</v>
      </c>
      <c r="H1449" s="70" t="str">
        <f t="shared" si="45"/>
        <v>KLY</v>
      </c>
    </row>
    <row r="1450" spans="1:8" ht="15" x14ac:dyDescent="0.25">
      <c r="A1450" s="88" t="s">
        <v>1564</v>
      </c>
      <c r="B1450" s="88">
        <v>2010</v>
      </c>
      <c r="C1450" s="89" t="s">
        <v>1590</v>
      </c>
      <c r="D1450" s="88" t="s">
        <v>160</v>
      </c>
      <c r="F1450" s="70">
        <f t="shared" si="44"/>
        <v>2010</v>
      </c>
      <c r="G1450" s="70" t="s">
        <v>159</v>
      </c>
      <c r="H1450" s="70" t="str">
        <f t="shared" si="45"/>
        <v>KLY</v>
      </c>
    </row>
    <row r="1451" spans="1:8" ht="15" x14ac:dyDescent="0.25">
      <c r="A1451" s="88" t="s">
        <v>1564</v>
      </c>
      <c r="B1451" s="88">
        <v>2010</v>
      </c>
      <c r="C1451" s="89" t="s">
        <v>1589</v>
      </c>
      <c r="D1451" s="88" t="s">
        <v>160</v>
      </c>
      <c r="F1451" s="70">
        <f t="shared" si="44"/>
        <v>2010</v>
      </c>
      <c r="G1451" s="70" t="s">
        <v>159</v>
      </c>
      <c r="H1451" s="70" t="str">
        <f t="shared" si="45"/>
        <v>KLY</v>
      </c>
    </row>
    <row r="1452" spans="1:8" ht="15" x14ac:dyDescent="0.25">
      <c r="A1452" s="88" t="s">
        <v>1564</v>
      </c>
      <c r="B1452" s="88">
        <v>2010</v>
      </c>
      <c r="C1452" s="89" t="s">
        <v>1588</v>
      </c>
      <c r="D1452" s="88" t="s">
        <v>160</v>
      </c>
      <c r="F1452" s="70">
        <f t="shared" si="44"/>
        <v>2010</v>
      </c>
      <c r="G1452" s="70" t="s">
        <v>159</v>
      </c>
      <c r="H1452" s="70" t="str">
        <f t="shared" si="45"/>
        <v>KLY</v>
      </c>
    </row>
    <row r="1453" spans="1:8" ht="15" x14ac:dyDescent="0.25">
      <c r="A1453" s="88" t="s">
        <v>1564</v>
      </c>
      <c r="B1453" s="88">
        <v>2010</v>
      </c>
      <c r="C1453" s="89" t="s">
        <v>1587</v>
      </c>
      <c r="D1453" s="88" t="s">
        <v>160</v>
      </c>
      <c r="F1453" s="70">
        <f t="shared" si="44"/>
        <v>2010</v>
      </c>
      <c r="G1453" s="70" t="s">
        <v>159</v>
      </c>
      <c r="H1453" s="70" t="str">
        <f t="shared" si="45"/>
        <v>KLY</v>
      </c>
    </row>
    <row r="1454" spans="1:8" ht="15" x14ac:dyDescent="0.25">
      <c r="A1454" s="88" t="s">
        <v>1564</v>
      </c>
      <c r="B1454" s="88">
        <v>2011</v>
      </c>
      <c r="C1454" s="95" t="s">
        <v>1586</v>
      </c>
      <c r="D1454" s="88" t="s">
        <v>160</v>
      </c>
      <c r="F1454" s="70">
        <f t="shared" si="44"/>
        <v>2011</v>
      </c>
      <c r="G1454" s="70" t="s">
        <v>159</v>
      </c>
      <c r="H1454" s="70" t="str">
        <f t="shared" si="45"/>
        <v>KLY</v>
      </c>
    </row>
    <row r="1455" spans="1:8" ht="15" x14ac:dyDescent="0.25">
      <c r="A1455" s="88" t="s">
        <v>1564</v>
      </c>
      <c r="B1455" s="88">
        <v>2011</v>
      </c>
      <c r="C1455" s="95" t="s">
        <v>1585</v>
      </c>
      <c r="D1455" s="88" t="s">
        <v>160</v>
      </c>
      <c r="F1455" s="70">
        <f t="shared" si="44"/>
        <v>2011</v>
      </c>
      <c r="G1455" s="70" t="s">
        <v>159</v>
      </c>
      <c r="H1455" s="70" t="str">
        <f t="shared" si="45"/>
        <v>KLY</v>
      </c>
    </row>
    <row r="1456" spans="1:8" ht="15" x14ac:dyDescent="0.25">
      <c r="A1456" s="68" t="s">
        <v>1564</v>
      </c>
      <c r="B1456" s="68">
        <v>2012</v>
      </c>
      <c r="C1456" s="76" t="s">
        <v>1584</v>
      </c>
      <c r="D1456" s="69">
        <v>5000</v>
      </c>
      <c r="F1456" s="70">
        <f t="shared" si="44"/>
        <v>2012</v>
      </c>
      <c r="G1456" s="70" t="s">
        <v>159</v>
      </c>
      <c r="H1456" s="70" t="str">
        <f t="shared" si="45"/>
        <v>KLY</v>
      </c>
    </row>
    <row r="1457" spans="1:8" ht="15" x14ac:dyDescent="0.25">
      <c r="A1457" s="68" t="s">
        <v>1564</v>
      </c>
      <c r="B1457" s="68">
        <v>2012</v>
      </c>
      <c r="C1457" s="76" t="s">
        <v>1583</v>
      </c>
      <c r="D1457" s="69">
        <v>5000</v>
      </c>
      <c r="F1457" s="70">
        <f t="shared" si="44"/>
        <v>2012</v>
      </c>
      <c r="G1457" s="70" t="s">
        <v>159</v>
      </c>
      <c r="H1457" s="70" t="str">
        <f t="shared" si="45"/>
        <v>KLY</v>
      </c>
    </row>
    <row r="1458" spans="1:8" ht="15" x14ac:dyDescent="0.25">
      <c r="A1458" s="68" t="s">
        <v>1564</v>
      </c>
      <c r="B1458" s="68">
        <v>2012</v>
      </c>
      <c r="C1458" s="76" t="s">
        <v>1582</v>
      </c>
      <c r="D1458" s="69">
        <v>5000</v>
      </c>
      <c r="F1458" s="70">
        <f t="shared" si="44"/>
        <v>2012</v>
      </c>
      <c r="G1458" s="70" t="s">
        <v>159</v>
      </c>
      <c r="H1458" s="70" t="str">
        <f t="shared" si="45"/>
        <v>KLY</v>
      </c>
    </row>
    <row r="1459" spans="1:8" ht="15" x14ac:dyDescent="0.25">
      <c r="A1459" s="68" t="s">
        <v>1564</v>
      </c>
      <c r="B1459" s="68">
        <v>2012</v>
      </c>
      <c r="C1459" s="76" t="s">
        <v>1581</v>
      </c>
      <c r="D1459" s="69">
        <v>5000</v>
      </c>
      <c r="F1459" s="70">
        <f t="shared" si="44"/>
        <v>2012</v>
      </c>
      <c r="G1459" s="70" t="s">
        <v>159</v>
      </c>
      <c r="H1459" s="70" t="str">
        <f t="shared" si="45"/>
        <v>KLY</v>
      </c>
    </row>
    <row r="1460" spans="1:8" ht="15" x14ac:dyDescent="0.25">
      <c r="A1460" s="68" t="s">
        <v>1564</v>
      </c>
      <c r="B1460" s="68">
        <v>2013</v>
      </c>
      <c r="C1460" s="76" t="s">
        <v>1580</v>
      </c>
      <c r="D1460" s="69">
        <v>5000</v>
      </c>
      <c r="F1460" s="70">
        <f t="shared" si="44"/>
        <v>2013</v>
      </c>
      <c r="G1460" s="70" t="s">
        <v>159</v>
      </c>
      <c r="H1460" s="70" t="str">
        <f t="shared" si="45"/>
        <v>KLY</v>
      </c>
    </row>
    <row r="1461" spans="1:8" ht="15" x14ac:dyDescent="0.25">
      <c r="A1461" s="68" t="s">
        <v>1564</v>
      </c>
      <c r="B1461" s="68">
        <v>2013</v>
      </c>
      <c r="C1461" s="76" t="s">
        <v>1579</v>
      </c>
      <c r="D1461" s="69">
        <v>5000</v>
      </c>
      <c r="F1461" s="70">
        <f t="shared" si="44"/>
        <v>2013</v>
      </c>
      <c r="G1461" s="70" t="s">
        <v>159</v>
      </c>
      <c r="H1461" s="70" t="str">
        <f t="shared" si="45"/>
        <v>KLY</v>
      </c>
    </row>
    <row r="1462" spans="1:8" ht="15" x14ac:dyDescent="0.25">
      <c r="A1462" s="68" t="s">
        <v>1564</v>
      </c>
      <c r="B1462" s="68">
        <v>2013</v>
      </c>
      <c r="C1462" s="76" t="s">
        <v>1578</v>
      </c>
      <c r="D1462" s="69">
        <v>5000</v>
      </c>
      <c r="F1462" s="70">
        <f t="shared" si="44"/>
        <v>2013</v>
      </c>
      <c r="G1462" s="70" t="s">
        <v>159</v>
      </c>
      <c r="H1462" s="70" t="str">
        <f t="shared" si="45"/>
        <v>KLY</v>
      </c>
    </row>
    <row r="1463" spans="1:8" ht="15" x14ac:dyDescent="0.25">
      <c r="A1463" s="68" t="s">
        <v>1564</v>
      </c>
      <c r="B1463" s="68">
        <v>2013</v>
      </c>
      <c r="C1463" s="76" t="s">
        <v>1577</v>
      </c>
      <c r="D1463" s="69">
        <v>5000</v>
      </c>
      <c r="F1463" s="70">
        <f t="shared" si="44"/>
        <v>2013</v>
      </c>
      <c r="G1463" s="70" t="s">
        <v>159</v>
      </c>
      <c r="H1463" s="70" t="str">
        <f t="shared" si="45"/>
        <v>KLY</v>
      </c>
    </row>
    <row r="1464" spans="1:8" ht="15" x14ac:dyDescent="0.25">
      <c r="A1464" s="68" t="s">
        <v>1564</v>
      </c>
      <c r="B1464" s="68">
        <v>2014</v>
      </c>
      <c r="C1464" s="76" t="s">
        <v>1576</v>
      </c>
      <c r="D1464" s="69">
        <v>5000</v>
      </c>
      <c r="F1464" s="70">
        <f t="shared" si="44"/>
        <v>2014</v>
      </c>
      <c r="G1464" s="70" t="s">
        <v>159</v>
      </c>
      <c r="H1464" s="70" t="str">
        <f t="shared" si="45"/>
        <v>KLY</v>
      </c>
    </row>
    <row r="1465" spans="1:8" ht="15" x14ac:dyDescent="0.25">
      <c r="A1465" s="68" t="s">
        <v>1564</v>
      </c>
      <c r="B1465" s="68">
        <v>2014</v>
      </c>
      <c r="C1465" s="76" t="s">
        <v>1575</v>
      </c>
      <c r="D1465" s="69">
        <v>5000</v>
      </c>
      <c r="F1465" s="70">
        <f t="shared" si="44"/>
        <v>2014</v>
      </c>
      <c r="G1465" s="70" t="s">
        <v>159</v>
      </c>
      <c r="H1465" s="70" t="str">
        <f t="shared" si="45"/>
        <v>KLY</v>
      </c>
    </row>
    <row r="1466" spans="1:8" ht="15" x14ac:dyDescent="0.25">
      <c r="A1466" s="68" t="s">
        <v>1564</v>
      </c>
      <c r="B1466" s="68">
        <v>2014</v>
      </c>
      <c r="C1466" s="76" t="s">
        <v>1574</v>
      </c>
      <c r="D1466" s="69">
        <v>5000</v>
      </c>
      <c r="F1466" s="70">
        <f t="shared" si="44"/>
        <v>2014</v>
      </c>
      <c r="G1466" s="70" t="s">
        <v>159</v>
      </c>
      <c r="H1466" s="70" t="str">
        <f t="shared" si="45"/>
        <v>KLY</v>
      </c>
    </row>
    <row r="1467" spans="1:8" ht="15" x14ac:dyDescent="0.25">
      <c r="A1467" s="68" t="s">
        <v>1564</v>
      </c>
      <c r="B1467" s="68">
        <v>2014</v>
      </c>
      <c r="C1467" s="76" t="s">
        <v>1573</v>
      </c>
      <c r="D1467" s="69">
        <v>5000</v>
      </c>
      <c r="F1467" s="70">
        <f t="shared" si="44"/>
        <v>2014</v>
      </c>
      <c r="G1467" s="70" t="s">
        <v>159</v>
      </c>
      <c r="H1467" s="70" t="str">
        <f t="shared" si="45"/>
        <v>KLY</v>
      </c>
    </row>
    <row r="1468" spans="1:8" ht="15" x14ac:dyDescent="0.25">
      <c r="A1468" s="68" t="s">
        <v>1564</v>
      </c>
      <c r="B1468" s="68">
        <v>2015</v>
      </c>
      <c r="C1468" s="76" t="s">
        <v>1572</v>
      </c>
      <c r="D1468" s="69">
        <v>5000</v>
      </c>
      <c r="F1468" s="70">
        <f t="shared" si="44"/>
        <v>2015</v>
      </c>
      <c r="G1468" s="70" t="s">
        <v>159</v>
      </c>
      <c r="H1468" s="70" t="str">
        <f t="shared" si="45"/>
        <v>KLY</v>
      </c>
    </row>
    <row r="1469" spans="1:8" ht="15" x14ac:dyDescent="0.25">
      <c r="A1469" s="68" t="s">
        <v>1564</v>
      </c>
      <c r="B1469" s="68">
        <v>2015</v>
      </c>
      <c r="C1469" s="76" t="s">
        <v>1571</v>
      </c>
      <c r="D1469" s="69">
        <v>5000</v>
      </c>
      <c r="F1469" s="70">
        <f t="shared" si="44"/>
        <v>2015</v>
      </c>
      <c r="G1469" s="70" t="s">
        <v>159</v>
      </c>
      <c r="H1469" s="70" t="str">
        <f t="shared" si="45"/>
        <v>KLY</v>
      </c>
    </row>
    <row r="1470" spans="1:8" ht="15" x14ac:dyDescent="0.25">
      <c r="A1470" s="68" t="s">
        <v>1564</v>
      </c>
      <c r="B1470" s="68">
        <v>2016</v>
      </c>
      <c r="C1470" s="76" t="s">
        <v>1570</v>
      </c>
      <c r="D1470" s="69">
        <v>5000</v>
      </c>
      <c r="F1470" s="70">
        <f t="shared" si="44"/>
        <v>2016</v>
      </c>
      <c r="G1470" s="70" t="s">
        <v>159</v>
      </c>
      <c r="H1470" s="70" t="str">
        <f t="shared" si="45"/>
        <v>KLY</v>
      </c>
    </row>
    <row r="1471" spans="1:8" ht="15" x14ac:dyDescent="0.25">
      <c r="A1471" s="68" t="s">
        <v>1564</v>
      </c>
      <c r="B1471" s="68">
        <v>2016</v>
      </c>
      <c r="C1471" s="76" t="s">
        <v>1569</v>
      </c>
      <c r="D1471" s="69">
        <v>5000</v>
      </c>
      <c r="F1471" s="70">
        <f t="shared" si="44"/>
        <v>2016</v>
      </c>
      <c r="G1471" s="70" t="s">
        <v>159</v>
      </c>
      <c r="H1471" s="70" t="str">
        <f t="shared" si="45"/>
        <v>KLY</v>
      </c>
    </row>
    <row r="1472" spans="1:8" ht="15" x14ac:dyDescent="0.25">
      <c r="A1472" s="85" t="s">
        <v>1564</v>
      </c>
      <c r="B1472" s="85">
        <v>2017</v>
      </c>
      <c r="C1472" s="92" t="s">
        <v>1568</v>
      </c>
      <c r="D1472" s="83">
        <v>5000</v>
      </c>
      <c r="F1472" s="70">
        <f t="shared" si="44"/>
        <v>2017</v>
      </c>
      <c r="G1472" s="70" t="s">
        <v>159</v>
      </c>
      <c r="H1472" s="70" t="str">
        <f t="shared" si="45"/>
        <v>KLY</v>
      </c>
    </row>
    <row r="1473" spans="1:8" ht="15" x14ac:dyDescent="0.25">
      <c r="A1473" s="85" t="s">
        <v>1564</v>
      </c>
      <c r="B1473" s="85">
        <v>2017</v>
      </c>
      <c r="C1473" s="92" t="s">
        <v>1567</v>
      </c>
      <c r="D1473" s="83">
        <v>5000</v>
      </c>
      <c r="F1473" s="70">
        <f t="shared" si="44"/>
        <v>2017</v>
      </c>
      <c r="G1473" s="70" t="s">
        <v>159</v>
      </c>
      <c r="H1473" s="70" t="str">
        <f t="shared" si="45"/>
        <v>KLY</v>
      </c>
    </row>
    <row r="1474" spans="1:8" ht="15" x14ac:dyDescent="0.25">
      <c r="A1474" s="85" t="s">
        <v>1564</v>
      </c>
      <c r="B1474" s="85">
        <v>2018</v>
      </c>
      <c r="C1474" s="92" t="s">
        <v>1566</v>
      </c>
      <c r="D1474" s="83">
        <v>5000</v>
      </c>
      <c r="F1474" s="70">
        <f t="shared" si="44"/>
        <v>2018</v>
      </c>
      <c r="G1474" s="70" t="s">
        <v>159</v>
      </c>
      <c r="H1474" s="70" t="str">
        <f t="shared" si="45"/>
        <v>KLY</v>
      </c>
    </row>
    <row r="1475" spans="1:8" ht="15" x14ac:dyDescent="0.25">
      <c r="A1475" s="85" t="s">
        <v>1564</v>
      </c>
      <c r="B1475" s="85">
        <v>2018</v>
      </c>
      <c r="C1475" s="92" t="s">
        <v>1565</v>
      </c>
      <c r="D1475" s="83">
        <v>5000</v>
      </c>
      <c r="F1475" s="70">
        <f t="shared" si="44"/>
        <v>2018</v>
      </c>
      <c r="G1475" s="70" t="s">
        <v>159</v>
      </c>
      <c r="H1475" s="70" t="str">
        <f t="shared" si="45"/>
        <v>KLY</v>
      </c>
    </row>
    <row r="1476" spans="1:8" ht="15" x14ac:dyDescent="0.25">
      <c r="A1476" s="85" t="s">
        <v>1564</v>
      </c>
      <c r="B1476" s="85">
        <v>2018</v>
      </c>
      <c r="C1476" s="92" t="s">
        <v>1563</v>
      </c>
      <c r="D1476" s="83">
        <v>5000</v>
      </c>
      <c r="F1476" s="70">
        <f t="shared" si="44"/>
        <v>2018</v>
      </c>
      <c r="G1476" s="70" t="s">
        <v>159</v>
      </c>
      <c r="H1476" s="70" t="str">
        <f t="shared" si="45"/>
        <v>KLY</v>
      </c>
    </row>
    <row r="1477" spans="1:8" ht="15" x14ac:dyDescent="0.25">
      <c r="A1477" s="75" t="s">
        <v>1484</v>
      </c>
      <c r="B1477" s="75">
        <v>1985</v>
      </c>
      <c r="C1477" s="72" t="s">
        <v>1562</v>
      </c>
      <c r="D1477" s="82">
        <v>5000</v>
      </c>
      <c r="F1477" s="70">
        <f t="shared" si="44"/>
        <v>1985</v>
      </c>
      <c r="G1477" s="70" t="s">
        <v>159</v>
      </c>
      <c r="H1477" s="70" t="str">
        <f t="shared" si="45"/>
        <v>MSH</v>
      </c>
    </row>
    <row r="1478" spans="1:8" ht="15" x14ac:dyDescent="0.25">
      <c r="A1478" s="75" t="s">
        <v>1484</v>
      </c>
      <c r="B1478" s="75">
        <v>1985</v>
      </c>
      <c r="C1478" s="72" t="s">
        <v>1561</v>
      </c>
      <c r="D1478" s="82">
        <v>5000</v>
      </c>
      <c r="F1478" s="70">
        <f t="shared" si="44"/>
        <v>1985</v>
      </c>
      <c r="G1478" s="70" t="s">
        <v>159</v>
      </c>
      <c r="H1478" s="70" t="str">
        <f t="shared" si="45"/>
        <v>MSH</v>
      </c>
    </row>
    <row r="1479" spans="1:8" ht="15" x14ac:dyDescent="0.25">
      <c r="A1479" s="75" t="s">
        <v>1484</v>
      </c>
      <c r="B1479" s="75">
        <v>1985</v>
      </c>
      <c r="C1479" s="72" t="s">
        <v>1560</v>
      </c>
      <c r="D1479" s="82">
        <v>5000</v>
      </c>
      <c r="F1479" s="70">
        <f t="shared" si="44"/>
        <v>1985</v>
      </c>
      <c r="G1479" s="70" t="s">
        <v>159</v>
      </c>
      <c r="H1479" s="70" t="str">
        <f t="shared" si="45"/>
        <v>MSH</v>
      </c>
    </row>
    <row r="1480" spans="1:8" ht="15" x14ac:dyDescent="0.25">
      <c r="A1480" s="75" t="s">
        <v>1484</v>
      </c>
      <c r="B1480" s="75">
        <v>1985</v>
      </c>
      <c r="C1480" s="72" t="s">
        <v>1559</v>
      </c>
      <c r="D1480" s="82">
        <v>5000</v>
      </c>
      <c r="F1480" s="70">
        <f t="shared" ref="F1480:F1543" si="46">+B1480</f>
        <v>1985</v>
      </c>
      <c r="G1480" s="70" t="s">
        <v>159</v>
      </c>
      <c r="H1480" s="70" t="str">
        <f t="shared" ref="H1480:H1543" si="47">A1480</f>
        <v>MSH</v>
      </c>
    </row>
    <row r="1481" spans="1:8" ht="15" x14ac:dyDescent="0.25">
      <c r="A1481" s="75" t="s">
        <v>1484</v>
      </c>
      <c r="B1481" s="75">
        <v>1986</v>
      </c>
      <c r="C1481" s="72" t="s">
        <v>1558</v>
      </c>
      <c r="D1481" s="82">
        <v>5000</v>
      </c>
      <c r="F1481" s="70">
        <f t="shared" si="46"/>
        <v>1986</v>
      </c>
      <c r="G1481" s="70" t="s">
        <v>159</v>
      </c>
      <c r="H1481" s="70" t="str">
        <f t="shared" si="47"/>
        <v>MSH</v>
      </c>
    </row>
    <row r="1482" spans="1:8" ht="15" x14ac:dyDescent="0.25">
      <c r="A1482" s="75" t="s">
        <v>1484</v>
      </c>
      <c r="B1482" s="75">
        <v>1986</v>
      </c>
      <c r="C1482" s="72" t="s">
        <v>1557</v>
      </c>
      <c r="D1482" s="82">
        <v>5000</v>
      </c>
      <c r="F1482" s="70">
        <f t="shared" si="46"/>
        <v>1986</v>
      </c>
      <c r="G1482" s="70" t="s">
        <v>159</v>
      </c>
      <c r="H1482" s="70" t="str">
        <f t="shared" si="47"/>
        <v>MSH</v>
      </c>
    </row>
    <row r="1483" spans="1:8" ht="15" x14ac:dyDescent="0.25">
      <c r="A1483" s="75" t="s">
        <v>1484</v>
      </c>
      <c r="B1483" s="75">
        <v>1987</v>
      </c>
      <c r="C1483" s="72" t="s">
        <v>1556</v>
      </c>
      <c r="D1483" s="82">
        <v>5000</v>
      </c>
      <c r="F1483" s="70">
        <f t="shared" si="46"/>
        <v>1987</v>
      </c>
      <c r="G1483" s="70" t="s">
        <v>159</v>
      </c>
      <c r="H1483" s="70" t="str">
        <f t="shared" si="47"/>
        <v>MSH</v>
      </c>
    </row>
    <row r="1484" spans="1:8" ht="15" x14ac:dyDescent="0.25">
      <c r="A1484" s="75" t="s">
        <v>1484</v>
      </c>
      <c r="B1484" s="75">
        <v>1987</v>
      </c>
      <c r="C1484" s="72" t="s">
        <v>1555</v>
      </c>
      <c r="D1484" s="82">
        <v>5000</v>
      </c>
      <c r="F1484" s="70">
        <f t="shared" si="46"/>
        <v>1987</v>
      </c>
      <c r="G1484" s="70" t="s">
        <v>159</v>
      </c>
      <c r="H1484" s="70" t="str">
        <f t="shared" si="47"/>
        <v>MSH</v>
      </c>
    </row>
    <row r="1485" spans="1:8" ht="15" x14ac:dyDescent="0.25">
      <c r="A1485" s="75" t="s">
        <v>1484</v>
      </c>
      <c r="B1485" s="75">
        <v>1987</v>
      </c>
      <c r="C1485" s="72" t="s">
        <v>1554</v>
      </c>
      <c r="D1485" s="82">
        <v>5000</v>
      </c>
      <c r="F1485" s="70">
        <f t="shared" si="46"/>
        <v>1987</v>
      </c>
      <c r="G1485" s="70" t="s">
        <v>159</v>
      </c>
      <c r="H1485" s="70" t="str">
        <f t="shared" si="47"/>
        <v>MSH</v>
      </c>
    </row>
    <row r="1486" spans="1:8" ht="15" x14ac:dyDescent="0.25">
      <c r="A1486" s="75" t="s">
        <v>1484</v>
      </c>
      <c r="B1486" s="75">
        <v>1987</v>
      </c>
      <c r="C1486" s="72" t="s">
        <v>1553</v>
      </c>
      <c r="D1486" s="82">
        <v>5000</v>
      </c>
      <c r="F1486" s="70">
        <f t="shared" si="46"/>
        <v>1987</v>
      </c>
      <c r="G1486" s="70" t="s">
        <v>159</v>
      </c>
      <c r="H1486" s="70" t="str">
        <f t="shared" si="47"/>
        <v>MSH</v>
      </c>
    </row>
    <row r="1487" spans="1:8" ht="15" x14ac:dyDescent="0.25">
      <c r="A1487" s="75" t="s">
        <v>1484</v>
      </c>
      <c r="B1487" s="75">
        <v>1988</v>
      </c>
      <c r="C1487" s="72" t="s">
        <v>1552</v>
      </c>
      <c r="D1487" s="82">
        <v>5000</v>
      </c>
      <c r="F1487" s="70">
        <f t="shared" si="46"/>
        <v>1988</v>
      </c>
      <c r="G1487" s="70" t="s">
        <v>159</v>
      </c>
      <c r="H1487" s="70" t="str">
        <f t="shared" si="47"/>
        <v>MSH</v>
      </c>
    </row>
    <row r="1488" spans="1:8" ht="15" x14ac:dyDescent="0.25">
      <c r="A1488" s="75" t="s">
        <v>1484</v>
      </c>
      <c r="B1488" s="75">
        <v>1988</v>
      </c>
      <c r="C1488" s="72" t="s">
        <v>1551</v>
      </c>
      <c r="D1488" s="82">
        <v>5000</v>
      </c>
      <c r="F1488" s="70">
        <f t="shared" si="46"/>
        <v>1988</v>
      </c>
      <c r="G1488" s="70" t="s">
        <v>159</v>
      </c>
      <c r="H1488" s="70" t="str">
        <f t="shared" si="47"/>
        <v>MSH</v>
      </c>
    </row>
    <row r="1489" spans="1:8" ht="15" x14ac:dyDescent="0.25">
      <c r="A1489" s="75" t="s">
        <v>1484</v>
      </c>
      <c r="B1489" s="75">
        <v>1988</v>
      </c>
      <c r="C1489" s="72" t="s">
        <v>1550</v>
      </c>
      <c r="D1489" s="82">
        <v>5000</v>
      </c>
      <c r="F1489" s="70">
        <f t="shared" si="46"/>
        <v>1988</v>
      </c>
      <c r="G1489" s="70" t="s">
        <v>159</v>
      </c>
      <c r="H1489" s="70" t="str">
        <f t="shared" si="47"/>
        <v>MSH</v>
      </c>
    </row>
    <row r="1490" spans="1:8" ht="15" x14ac:dyDescent="0.25">
      <c r="A1490" s="75" t="s">
        <v>1484</v>
      </c>
      <c r="B1490" s="75">
        <v>1988</v>
      </c>
      <c r="C1490" s="72" t="s">
        <v>1549</v>
      </c>
      <c r="D1490" s="82">
        <v>5000</v>
      </c>
      <c r="F1490" s="70">
        <f t="shared" si="46"/>
        <v>1988</v>
      </c>
      <c r="G1490" s="70" t="s">
        <v>159</v>
      </c>
      <c r="H1490" s="70" t="str">
        <f t="shared" si="47"/>
        <v>MSH</v>
      </c>
    </row>
    <row r="1491" spans="1:8" ht="15" x14ac:dyDescent="0.25">
      <c r="A1491" s="75" t="s">
        <v>1484</v>
      </c>
      <c r="B1491" s="75">
        <v>1989</v>
      </c>
      <c r="C1491" s="72" t="s">
        <v>1548</v>
      </c>
      <c r="D1491" s="82">
        <v>5000</v>
      </c>
      <c r="F1491" s="70">
        <f t="shared" si="46"/>
        <v>1989</v>
      </c>
      <c r="G1491" s="70" t="s">
        <v>159</v>
      </c>
      <c r="H1491" s="70" t="str">
        <f t="shared" si="47"/>
        <v>MSH</v>
      </c>
    </row>
    <row r="1492" spans="1:8" ht="15" x14ac:dyDescent="0.25">
      <c r="A1492" s="75" t="s">
        <v>1484</v>
      </c>
      <c r="B1492" s="75">
        <v>1989</v>
      </c>
      <c r="C1492" s="72" t="s">
        <v>1547</v>
      </c>
      <c r="D1492" s="82">
        <v>5000</v>
      </c>
      <c r="F1492" s="70">
        <f t="shared" si="46"/>
        <v>1989</v>
      </c>
      <c r="G1492" s="70" t="s">
        <v>159</v>
      </c>
      <c r="H1492" s="70" t="str">
        <f t="shared" si="47"/>
        <v>MSH</v>
      </c>
    </row>
    <row r="1493" spans="1:8" ht="15" x14ac:dyDescent="0.25">
      <c r="A1493" s="75" t="s">
        <v>1484</v>
      </c>
      <c r="B1493" s="75">
        <v>1989</v>
      </c>
      <c r="C1493" s="72" t="s">
        <v>1546</v>
      </c>
      <c r="D1493" s="82">
        <v>5000</v>
      </c>
      <c r="F1493" s="70">
        <f t="shared" si="46"/>
        <v>1989</v>
      </c>
      <c r="G1493" s="70" t="s">
        <v>159</v>
      </c>
      <c r="H1493" s="70" t="str">
        <f t="shared" si="47"/>
        <v>MSH</v>
      </c>
    </row>
    <row r="1494" spans="1:8" ht="15" x14ac:dyDescent="0.25">
      <c r="A1494" s="75" t="s">
        <v>1484</v>
      </c>
      <c r="B1494" s="75">
        <v>1989</v>
      </c>
      <c r="C1494" s="72" t="s">
        <v>1545</v>
      </c>
      <c r="D1494" s="82">
        <v>5000</v>
      </c>
      <c r="F1494" s="70">
        <f t="shared" si="46"/>
        <v>1989</v>
      </c>
      <c r="G1494" s="70" t="s">
        <v>159</v>
      </c>
      <c r="H1494" s="70" t="str">
        <f t="shared" si="47"/>
        <v>MSH</v>
      </c>
    </row>
    <row r="1495" spans="1:8" ht="15" x14ac:dyDescent="0.25">
      <c r="A1495" s="75" t="s">
        <v>1484</v>
      </c>
      <c r="B1495" s="75">
        <v>1990</v>
      </c>
      <c r="C1495" s="72" t="s">
        <v>1544</v>
      </c>
      <c r="D1495" s="82">
        <v>5000</v>
      </c>
      <c r="F1495" s="70">
        <f t="shared" si="46"/>
        <v>1990</v>
      </c>
      <c r="G1495" s="70" t="s">
        <v>159</v>
      </c>
      <c r="H1495" s="70" t="str">
        <f t="shared" si="47"/>
        <v>MSH</v>
      </c>
    </row>
    <row r="1496" spans="1:8" ht="15" x14ac:dyDescent="0.25">
      <c r="A1496" s="75" t="s">
        <v>1484</v>
      </c>
      <c r="B1496" s="75">
        <v>1990</v>
      </c>
      <c r="C1496" s="72" t="s">
        <v>1543</v>
      </c>
      <c r="D1496" s="82">
        <v>5000</v>
      </c>
      <c r="F1496" s="70">
        <f t="shared" si="46"/>
        <v>1990</v>
      </c>
      <c r="G1496" s="70" t="s">
        <v>159</v>
      </c>
      <c r="H1496" s="70" t="str">
        <f t="shared" si="47"/>
        <v>MSH</v>
      </c>
    </row>
    <row r="1497" spans="1:8" ht="15" x14ac:dyDescent="0.25">
      <c r="A1497" s="75" t="s">
        <v>1484</v>
      </c>
      <c r="B1497" s="75">
        <v>1991</v>
      </c>
      <c r="C1497" s="72" t="s">
        <v>1542</v>
      </c>
      <c r="D1497" s="82">
        <v>5000</v>
      </c>
      <c r="F1497" s="70">
        <f t="shared" si="46"/>
        <v>1991</v>
      </c>
      <c r="G1497" s="70" t="s">
        <v>159</v>
      </c>
      <c r="H1497" s="70" t="str">
        <f t="shared" si="47"/>
        <v>MSH</v>
      </c>
    </row>
    <row r="1498" spans="1:8" ht="15" x14ac:dyDescent="0.25">
      <c r="A1498" s="75" t="s">
        <v>1484</v>
      </c>
      <c r="B1498" s="75">
        <v>1991</v>
      </c>
      <c r="C1498" s="72" t="s">
        <v>1541</v>
      </c>
      <c r="D1498" s="82">
        <v>5000</v>
      </c>
      <c r="F1498" s="70">
        <f t="shared" si="46"/>
        <v>1991</v>
      </c>
      <c r="G1498" s="70" t="s">
        <v>159</v>
      </c>
      <c r="H1498" s="70" t="str">
        <f t="shared" si="47"/>
        <v>MSH</v>
      </c>
    </row>
    <row r="1499" spans="1:8" ht="15" x14ac:dyDescent="0.25">
      <c r="A1499" s="75" t="s">
        <v>1484</v>
      </c>
      <c r="B1499" s="75">
        <v>1992</v>
      </c>
      <c r="C1499" s="72" t="s">
        <v>1540</v>
      </c>
      <c r="D1499" s="82">
        <v>5000</v>
      </c>
      <c r="F1499" s="70">
        <f t="shared" si="46"/>
        <v>1992</v>
      </c>
      <c r="G1499" s="70" t="s">
        <v>159</v>
      </c>
      <c r="H1499" s="70" t="str">
        <f t="shared" si="47"/>
        <v>MSH</v>
      </c>
    </row>
    <row r="1500" spans="1:8" ht="15" x14ac:dyDescent="0.25">
      <c r="A1500" s="75" t="s">
        <v>1484</v>
      </c>
      <c r="B1500" s="75">
        <v>1993</v>
      </c>
      <c r="C1500" s="72" t="s">
        <v>1539</v>
      </c>
      <c r="D1500" s="82">
        <v>5000</v>
      </c>
      <c r="F1500" s="70">
        <f t="shared" si="46"/>
        <v>1993</v>
      </c>
      <c r="G1500" s="70" t="s">
        <v>159</v>
      </c>
      <c r="H1500" s="70" t="str">
        <f t="shared" si="47"/>
        <v>MSH</v>
      </c>
    </row>
    <row r="1501" spans="1:8" ht="15" x14ac:dyDescent="0.25">
      <c r="A1501" s="75" t="s">
        <v>1484</v>
      </c>
      <c r="B1501" s="75">
        <v>1994</v>
      </c>
      <c r="C1501" s="72" t="s">
        <v>1538</v>
      </c>
      <c r="D1501" s="82">
        <v>5000</v>
      </c>
      <c r="F1501" s="70">
        <f t="shared" si="46"/>
        <v>1994</v>
      </c>
      <c r="G1501" s="70" t="s">
        <v>159</v>
      </c>
      <c r="H1501" s="70" t="str">
        <f t="shared" si="47"/>
        <v>MSH</v>
      </c>
    </row>
    <row r="1502" spans="1:8" ht="15" x14ac:dyDescent="0.25">
      <c r="A1502" s="75" t="s">
        <v>1484</v>
      </c>
      <c r="B1502" s="75">
        <v>1995</v>
      </c>
      <c r="C1502" s="72" t="s">
        <v>1537</v>
      </c>
      <c r="D1502" s="82">
        <v>5000</v>
      </c>
      <c r="F1502" s="70">
        <f t="shared" si="46"/>
        <v>1995</v>
      </c>
      <c r="G1502" s="70" t="s">
        <v>159</v>
      </c>
      <c r="H1502" s="70" t="str">
        <f t="shared" si="47"/>
        <v>MSH</v>
      </c>
    </row>
    <row r="1503" spans="1:8" ht="15" x14ac:dyDescent="0.25">
      <c r="A1503" s="75" t="s">
        <v>1484</v>
      </c>
      <c r="B1503" s="75">
        <v>1996</v>
      </c>
      <c r="C1503" s="72" t="s">
        <v>1536</v>
      </c>
      <c r="D1503" s="82">
        <v>5000</v>
      </c>
      <c r="F1503" s="70">
        <f t="shared" si="46"/>
        <v>1996</v>
      </c>
      <c r="G1503" s="70" t="s">
        <v>159</v>
      </c>
      <c r="H1503" s="70" t="str">
        <f t="shared" si="47"/>
        <v>MSH</v>
      </c>
    </row>
    <row r="1504" spans="1:8" ht="15" x14ac:dyDescent="0.25">
      <c r="A1504" s="75" t="s">
        <v>1484</v>
      </c>
      <c r="B1504" s="75">
        <v>1997</v>
      </c>
      <c r="C1504" s="72" t="s">
        <v>1535</v>
      </c>
      <c r="D1504" s="82">
        <v>5000</v>
      </c>
      <c r="F1504" s="70">
        <f t="shared" si="46"/>
        <v>1997</v>
      </c>
      <c r="G1504" s="70" t="s">
        <v>159</v>
      </c>
      <c r="H1504" s="70" t="str">
        <f t="shared" si="47"/>
        <v>MSH</v>
      </c>
    </row>
    <row r="1505" spans="1:8" ht="15" x14ac:dyDescent="0.25">
      <c r="A1505" s="75" t="s">
        <v>1484</v>
      </c>
      <c r="B1505" s="75">
        <v>1998</v>
      </c>
      <c r="C1505" s="72" t="s">
        <v>1534</v>
      </c>
      <c r="D1505" s="82">
        <v>5000</v>
      </c>
      <c r="F1505" s="70">
        <f t="shared" si="46"/>
        <v>1998</v>
      </c>
      <c r="G1505" s="70" t="s">
        <v>159</v>
      </c>
      <c r="H1505" s="70" t="str">
        <f t="shared" si="47"/>
        <v>MSH</v>
      </c>
    </row>
    <row r="1506" spans="1:8" ht="15" x14ac:dyDescent="0.25">
      <c r="A1506" s="75" t="s">
        <v>1484</v>
      </c>
      <c r="B1506" s="75">
        <v>1998</v>
      </c>
      <c r="C1506" s="72" t="s">
        <v>1533</v>
      </c>
      <c r="D1506" s="82">
        <v>5000</v>
      </c>
      <c r="F1506" s="70">
        <f t="shared" si="46"/>
        <v>1998</v>
      </c>
      <c r="G1506" s="70" t="s">
        <v>159</v>
      </c>
      <c r="H1506" s="70" t="str">
        <f t="shared" si="47"/>
        <v>MSH</v>
      </c>
    </row>
    <row r="1507" spans="1:8" ht="15" x14ac:dyDescent="0.25">
      <c r="A1507" s="75" t="s">
        <v>1484</v>
      </c>
      <c r="B1507" s="75">
        <v>1998</v>
      </c>
      <c r="C1507" s="72" t="s">
        <v>1532</v>
      </c>
      <c r="D1507" s="82">
        <v>5000</v>
      </c>
      <c r="F1507" s="70">
        <f t="shared" si="46"/>
        <v>1998</v>
      </c>
      <c r="G1507" s="70" t="s">
        <v>159</v>
      </c>
      <c r="H1507" s="70" t="str">
        <f t="shared" si="47"/>
        <v>MSH</v>
      </c>
    </row>
    <row r="1508" spans="1:8" ht="15" x14ac:dyDescent="0.25">
      <c r="A1508" s="75" t="s">
        <v>1484</v>
      </c>
      <c r="B1508" s="75">
        <v>1999</v>
      </c>
      <c r="C1508" s="72" t="s">
        <v>1531</v>
      </c>
      <c r="D1508" s="82">
        <v>5000</v>
      </c>
      <c r="F1508" s="70">
        <f t="shared" si="46"/>
        <v>1999</v>
      </c>
      <c r="G1508" s="70" t="s">
        <v>159</v>
      </c>
      <c r="H1508" s="70" t="str">
        <f t="shared" si="47"/>
        <v>MSH</v>
      </c>
    </row>
    <row r="1509" spans="1:8" ht="15" x14ac:dyDescent="0.25">
      <c r="A1509" s="75" t="s">
        <v>1484</v>
      </c>
      <c r="B1509" s="75">
        <v>1999</v>
      </c>
      <c r="C1509" s="72" t="s">
        <v>1530</v>
      </c>
      <c r="D1509" s="82">
        <v>5000</v>
      </c>
      <c r="F1509" s="70">
        <f t="shared" si="46"/>
        <v>1999</v>
      </c>
      <c r="G1509" s="70" t="s">
        <v>159</v>
      </c>
      <c r="H1509" s="70" t="str">
        <f t="shared" si="47"/>
        <v>MSH</v>
      </c>
    </row>
    <row r="1510" spans="1:8" ht="15" x14ac:dyDescent="0.25">
      <c r="A1510" s="75" t="s">
        <v>1484</v>
      </c>
      <c r="B1510" s="75">
        <v>1999</v>
      </c>
      <c r="C1510" s="72" t="s">
        <v>1529</v>
      </c>
      <c r="D1510" s="82">
        <v>5000</v>
      </c>
      <c r="F1510" s="70">
        <f t="shared" si="46"/>
        <v>1999</v>
      </c>
      <c r="G1510" s="70" t="s">
        <v>159</v>
      </c>
      <c r="H1510" s="70" t="str">
        <f t="shared" si="47"/>
        <v>MSH</v>
      </c>
    </row>
    <row r="1511" spans="1:8" ht="15" x14ac:dyDescent="0.25">
      <c r="A1511" s="75" t="s">
        <v>1484</v>
      </c>
      <c r="B1511" s="75">
        <v>2000</v>
      </c>
      <c r="C1511" s="72" t="s">
        <v>1528</v>
      </c>
      <c r="D1511" s="82">
        <v>5000</v>
      </c>
      <c r="F1511" s="70">
        <f t="shared" si="46"/>
        <v>2000</v>
      </c>
      <c r="G1511" s="70" t="s">
        <v>159</v>
      </c>
      <c r="H1511" s="70" t="str">
        <f t="shared" si="47"/>
        <v>MSH</v>
      </c>
    </row>
    <row r="1512" spans="1:8" ht="15" x14ac:dyDescent="0.25">
      <c r="A1512" s="75" t="s">
        <v>1484</v>
      </c>
      <c r="B1512" s="75">
        <v>2000</v>
      </c>
      <c r="C1512" s="72" t="s">
        <v>1527</v>
      </c>
      <c r="D1512" s="82">
        <v>5000</v>
      </c>
      <c r="F1512" s="70">
        <f t="shared" si="46"/>
        <v>2000</v>
      </c>
      <c r="G1512" s="70" t="s">
        <v>159</v>
      </c>
      <c r="H1512" s="70" t="str">
        <f t="shared" si="47"/>
        <v>MSH</v>
      </c>
    </row>
    <row r="1513" spans="1:8" ht="15" x14ac:dyDescent="0.25">
      <c r="A1513" s="75" t="s">
        <v>1484</v>
      </c>
      <c r="B1513" s="75">
        <v>2000</v>
      </c>
      <c r="C1513" s="72" t="s">
        <v>1526</v>
      </c>
      <c r="D1513" s="82">
        <v>5000</v>
      </c>
      <c r="F1513" s="70">
        <f t="shared" si="46"/>
        <v>2000</v>
      </c>
      <c r="G1513" s="70" t="s">
        <v>159</v>
      </c>
      <c r="H1513" s="70" t="str">
        <f t="shared" si="47"/>
        <v>MSH</v>
      </c>
    </row>
    <row r="1514" spans="1:8" ht="15" x14ac:dyDescent="0.25">
      <c r="A1514" s="75" t="s">
        <v>1484</v>
      </c>
      <c r="B1514" s="75">
        <v>2001</v>
      </c>
      <c r="C1514" s="72" t="s">
        <v>1525</v>
      </c>
      <c r="D1514" s="82">
        <v>5000</v>
      </c>
      <c r="F1514" s="70">
        <f t="shared" si="46"/>
        <v>2001</v>
      </c>
      <c r="G1514" s="70" t="s">
        <v>159</v>
      </c>
      <c r="H1514" s="70" t="str">
        <f t="shared" si="47"/>
        <v>MSH</v>
      </c>
    </row>
    <row r="1515" spans="1:8" ht="15" x14ac:dyDescent="0.25">
      <c r="A1515" s="75" t="s">
        <v>1484</v>
      </c>
      <c r="B1515" s="75">
        <v>2001</v>
      </c>
      <c r="C1515" s="72" t="s">
        <v>1524</v>
      </c>
      <c r="D1515" s="82">
        <v>5000</v>
      </c>
      <c r="F1515" s="70">
        <f t="shared" si="46"/>
        <v>2001</v>
      </c>
      <c r="G1515" s="70" t="s">
        <v>159</v>
      </c>
      <c r="H1515" s="70" t="str">
        <f t="shared" si="47"/>
        <v>MSH</v>
      </c>
    </row>
    <row r="1516" spans="1:8" ht="15" x14ac:dyDescent="0.25">
      <c r="A1516" s="75" t="s">
        <v>1484</v>
      </c>
      <c r="B1516" s="75">
        <v>2001</v>
      </c>
      <c r="C1516" s="72" t="s">
        <v>1523</v>
      </c>
      <c r="D1516" s="82">
        <v>5000</v>
      </c>
      <c r="F1516" s="70">
        <f t="shared" si="46"/>
        <v>2001</v>
      </c>
      <c r="G1516" s="70" t="s">
        <v>159</v>
      </c>
      <c r="H1516" s="70" t="str">
        <f t="shared" si="47"/>
        <v>MSH</v>
      </c>
    </row>
    <row r="1517" spans="1:8" ht="15" x14ac:dyDescent="0.25">
      <c r="A1517" s="88" t="s">
        <v>1484</v>
      </c>
      <c r="B1517" s="88">
        <v>2008</v>
      </c>
      <c r="C1517" s="89" t="s">
        <v>1522</v>
      </c>
      <c r="D1517" s="88" t="s">
        <v>160</v>
      </c>
      <c r="F1517" s="70">
        <f t="shared" si="46"/>
        <v>2008</v>
      </c>
      <c r="G1517" s="70" t="s">
        <v>159</v>
      </c>
      <c r="H1517" s="70" t="str">
        <f t="shared" si="47"/>
        <v>MSH</v>
      </c>
    </row>
    <row r="1518" spans="1:8" ht="15" x14ac:dyDescent="0.25">
      <c r="A1518" s="88" t="s">
        <v>1484</v>
      </c>
      <c r="B1518" s="88">
        <v>2008</v>
      </c>
      <c r="C1518" s="89" t="s">
        <v>1521</v>
      </c>
      <c r="D1518" s="88" t="s">
        <v>160</v>
      </c>
      <c r="F1518" s="70">
        <f t="shared" si="46"/>
        <v>2008</v>
      </c>
      <c r="G1518" s="70" t="s">
        <v>159</v>
      </c>
      <c r="H1518" s="70" t="str">
        <f t="shared" si="47"/>
        <v>MSH</v>
      </c>
    </row>
    <row r="1519" spans="1:8" ht="15" x14ac:dyDescent="0.25">
      <c r="A1519" s="88" t="s">
        <v>1484</v>
      </c>
      <c r="B1519" s="88">
        <v>2008</v>
      </c>
      <c r="C1519" s="89" t="s">
        <v>1520</v>
      </c>
      <c r="D1519" s="88" t="s">
        <v>160</v>
      </c>
      <c r="F1519" s="70">
        <f t="shared" si="46"/>
        <v>2008</v>
      </c>
      <c r="G1519" s="70" t="s">
        <v>159</v>
      </c>
      <c r="H1519" s="70" t="str">
        <f t="shared" si="47"/>
        <v>MSH</v>
      </c>
    </row>
    <row r="1520" spans="1:8" ht="15" x14ac:dyDescent="0.25">
      <c r="A1520" s="88" t="s">
        <v>1484</v>
      </c>
      <c r="B1520" s="88">
        <v>2008</v>
      </c>
      <c r="C1520" s="89" t="s">
        <v>1519</v>
      </c>
      <c r="D1520" s="88" t="s">
        <v>160</v>
      </c>
      <c r="F1520" s="70">
        <f t="shared" si="46"/>
        <v>2008</v>
      </c>
      <c r="G1520" s="70" t="s">
        <v>159</v>
      </c>
      <c r="H1520" s="70" t="str">
        <f t="shared" si="47"/>
        <v>MSH</v>
      </c>
    </row>
    <row r="1521" spans="1:8" ht="15" x14ac:dyDescent="0.25">
      <c r="A1521" s="88" t="s">
        <v>1484</v>
      </c>
      <c r="B1521" s="88">
        <v>2009</v>
      </c>
      <c r="C1521" s="89" t="s">
        <v>1518</v>
      </c>
      <c r="D1521" s="88" t="s">
        <v>160</v>
      </c>
      <c r="F1521" s="70">
        <f t="shared" si="46"/>
        <v>2009</v>
      </c>
      <c r="G1521" s="70" t="s">
        <v>159</v>
      </c>
      <c r="H1521" s="70" t="str">
        <f t="shared" si="47"/>
        <v>MSH</v>
      </c>
    </row>
    <row r="1522" spans="1:8" ht="15" x14ac:dyDescent="0.25">
      <c r="A1522" s="88" t="s">
        <v>1484</v>
      </c>
      <c r="B1522" s="88">
        <v>2009</v>
      </c>
      <c r="C1522" s="89" t="s">
        <v>1517</v>
      </c>
      <c r="D1522" s="88" t="s">
        <v>160</v>
      </c>
      <c r="F1522" s="70">
        <f t="shared" si="46"/>
        <v>2009</v>
      </c>
      <c r="G1522" s="70" t="s">
        <v>159</v>
      </c>
      <c r="H1522" s="70" t="str">
        <f t="shared" si="47"/>
        <v>MSH</v>
      </c>
    </row>
    <row r="1523" spans="1:8" ht="15" x14ac:dyDescent="0.25">
      <c r="A1523" s="88" t="s">
        <v>1484</v>
      </c>
      <c r="B1523" s="88">
        <v>2009</v>
      </c>
      <c r="C1523" s="89" t="s">
        <v>1516</v>
      </c>
      <c r="D1523" s="88" t="s">
        <v>160</v>
      </c>
      <c r="F1523" s="70">
        <f t="shared" si="46"/>
        <v>2009</v>
      </c>
      <c r="G1523" s="70" t="s">
        <v>159</v>
      </c>
      <c r="H1523" s="70" t="str">
        <f t="shared" si="47"/>
        <v>MSH</v>
      </c>
    </row>
    <row r="1524" spans="1:8" ht="15" x14ac:dyDescent="0.25">
      <c r="A1524" s="88" t="s">
        <v>1484</v>
      </c>
      <c r="B1524" s="88">
        <v>2010</v>
      </c>
      <c r="C1524" s="89" t="s">
        <v>1515</v>
      </c>
      <c r="D1524" s="88" t="s">
        <v>160</v>
      </c>
      <c r="F1524" s="70">
        <f t="shared" si="46"/>
        <v>2010</v>
      </c>
      <c r="G1524" s="70" t="s">
        <v>159</v>
      </c>
      <c r="H1524" s="70" t="str">
        <f t="shared" si="47"/>
        <v>MSH</v>
      </c>
    </row>
    <row r="1525" spans="1:8" ht="15" x14ac:dyDescent="0.25">
      <c r="A1525" s="88" t="s">
        <v>1484</v>
      </c>
      <c r="B1525" s="88">
        <v>2010</v>
      </c>
      <c r="C1525" s="89" t="s">
        <v>1514</v>
      </c>
      <c r="D1525" s="88" t="s">
        <v>160</v>
      </c>
      <c r="F1525" s="70">
        <f t="shared" si="46"/>
        <v>2010</v>
      </c>
      <c r="G1525" s="70" t="s">
        <v>159</v>
      </c>
      <c r="H1525" s="70" t="str">
        <f t="shared" si="47"/>
        <v>MSH</v>
      </c>
    </row>
    <row r="1526" spans="1:8" ht="15" x14ac:dyDescent="0.25">
      <c r="A1526" s="88" t="s">
        <v>1484</v>
      </c>
      <c r="B1526" s="88">
        <v>2010</v>
      </c>
      <c r="C1526" s="89" t="s">
        <v>1513</v>
      </c>
      <c r="D1526" s="88" t="s">
        <v>160</v>
      </c>
      <c r="F1526" s="70">
        <f t="shared" si="46"/>
        <v>2010</v>
      </c>
      <c r="G1526" s="70" t="s">
        <v>159</v>
      </c>
      <c r="H1526" s="70" t="str">
        <f t="shared" si="47"/>
        <v>MSH</v>
      </c>
    </row>
    <row r="1527" spans="1:8" ht="15" x14ac:dyDescent="0.25">
      <c r="A1527" s="88" t="s">
        <v>1484</v>
      </c>
      <c r="B1527" s="88">
        <v>2010</v>
      </c>
      <c r="C1527" s="89" t="s">
        <v>1512</v>
      </c>
      <c r="D1527" s="88" t="s">
        <v>160</v>
      </c>
      <c r="F1527" s="70">
        <f t="shared" si="46"/>
        <v>2010</v>
      </c>
      <c r="G1527" s="70" t="s">
        <v>159</v>
      </c>
      <c r="H1527" s="70" t="str">
        <f t="shared" si="47"/>
        <v>MSH</v>
      </c>
    </row>
    <row r="1528" spans="1:8" ht="15" x14ac:dyDescent="0.25">
      <c r="A1528" s="88" t="s">
        <v>1484</v>
      </c>
      <c r="B1528" s="88">
        <v>2011</v>
      </c>
      <c r="C1528" s="89" t="s">
        <v>1511</v>
      </c>
      <c r="D1528" s="88" t="s">
        <v>160</v>
      </c>
      <c r="F1528" s="70">
        <f t="shared" si="46"/>
        <v>2011</v>
      </c>
      <c r="G1528" s="70" t="s">
        <v>159</v>
      </c>
      <c r="H1528" s="70" t="str">
        <f t="shared" si="47"/>
        <v>MSH</v>
      </c>
    </row>
    <row r="1529" spans="1:8" ht="15" x14ac:dyDescent="0.25">
      <c r="A1529" s="88" t="s">
        <v>1484</v>
      </c>
      <c r="B1529" s="88">
        <v>2011</v>
      </c>
      <c r="C1529" s="89" t="s">
        <v>1510</v>
      </c>
      <c r="D1529" s="88" t="s">
        <v>160</v>
      </c>
      <c r="F1529" s="70">
        <f t="shared" si="46"/>
        <v>2011</v>
      </c>
      <c r="G1529" s="70" t="s">
        <v>159</v>
      </c>
      <c r="H1529" s="70" t="str">
        <f t="shared" si="47"/>
        <v>MSH</v>
      </c>
    </row>
    <row r="1530" spans="1:8" ht="15" x14ac:dyDescent="0.25">
      <c r="A1530" s="88" t="s">
        <v>1484</v>
      </c>
      <c r="B1530" s="88">
        <v>2011</v>
      </c>
      <c r="C1530" s="89" t="s">
        <v>1509</v>
      </c>
      <c r="D1530" s="88" t="s">
        <v>160</v>
      </c>
      <c r="F1530" s="70">
        <f t="shared" si="46"/>
        <v>2011</v>
      </c>
      <c r="G1530" s="70" t="s">
        <v>159</v>
      </c>
      <c r="H1530" s="70" t="str">
        <f t="shared" si="47"/>
        <v>MSH</v>
      </c>
    </row>
    <row r="1531" spans="1:8" ht="15" x14ac:dyDescent="0.25">
      <c r="A1531" s="88" t="s">
        <v>1484</v>
      </c>
      <c r="B1531" s="88">
        <v>2012</v>
      </c>
      <c r="C1531" s="89" t="s">
        <v>1508</v>
      </c>
      <c r="D1531" s="89" t="s">
        <v>160</v>
      </c>
      <c r="F1531" s="70">
        <f t="shared" si="46"/>
        <v>2012</v>
      </c>
      <c r="G1531" s="70" t="s">
        <v>159</v>
      </c>
      <c r="H1531" s="70" t="str">
        <f t="shared" si="47"/>
        <v>MSH</v>
      </c>
    </row>
    <row r="1532" spans="1:8" ht="15" x14ac:dyDescent="0.25">
      <c r="A1532" s="88" t="s">
        <v>1484</v>
      </c>
      <c r="B1532" s="88">
        <v>2012</v>
      </c>
      <c r="C1532" s="89" t="s">
        <v>1507</v>
      </c>
      <c r="D1532" s="89" t="s">
        <v>160</v>
      </c>
      <c r="F1532" s="70">
        <f t="shared" si="46"/>
        <v>2012</v>
      </c>
      <c r="G1532" s="70" t="s">
        <v>159</v>
      </c>
      <c r="H1532" s="70" t="str">
        <f t="shared" si="47"/>
        <v>MSH</v>
      </c>
    </row>
    <row r="1533" spans="1:8" ht="15" x14ac:dyDescent="0.25">
      <c r="A1533" s="88" t="s">
        <v>1484</v>
      </c>
      <c r="B1533" s="88">
        <v>2012</v>
      </c>
      <c r="C1533" s="89" t="s">
        <v>1506</v>
      </c>
      <c r="D1533" s="89" t="s">
        <v>160</v>
      </c>
      <c r="F1533" s="70">
        <f t="shared" si="46"/>
        <v>2012</v>
      </c>
      <c r="G1533" s="70" t="s">
        <v>159</v>
      </c>
      <c r="H1533" s="70" t="str">
        <f t="shared" si="47"/>
        <v>MSH</v>
      </c>
    </row>
    <row r="1534" spans="1:8" ht="15" x14ac:dyDescent="0.25">
      <c r="A1534" s="68" t="s">
        <v>1484</v>
      </c>
      <c r="B1534" s="68">
        <v>2013</v>
      </c>
      <c r="C1534" s="86" t="s">
        <v>1505</v>
      </c>
      <c r="D1534" s="69">
        <v>5000</v>
      </c>
      <c r="F1534" s="70">
        <f t="shared" si="46"/>
        <v>2013</v>
      </c>
      <c r="G1534" s="70" t="s">
        <v>159</v>
      </c>
      <c r="H1534" s="70" t="str">
        <f t="shared" si="47"/>
        <v>MSH</v>
      </c>
    </row>
    <row r="1535" spans="1:8" ht="15" x14ac:dyDescent="0.25">
      <c r="A1535" s="68" t="s">
        <v>1484</v>
      </c>
      <c r="B1535" s="68">
        <v>2013</v>
      </c>
      <c r="C1535" s="86" t="s">
        <v>1504</v>
      </c>
      <c r="D1535" s="69">
        <v>5000</v>
      </c>
      <c r="F1535" s="70">
        <f t="shared" si="46"/>
        <v>2013</v>
      </c>
      <c r="G1535" s="70" t="s">
        <v>159</v>
      </c>
      <c r="H1535" s="70" t="str">
        <f t="shared" si="47"/>
        <v>MSH</v>
      </c>
    </row>
    <row r="1536" spans="1:8" ht="15" x14ac:dyDescent="0.25">
      <c r="A1536" s="68" t="s">
        <v>1484</v>
      </c>
      <c r="B1536" s="68">
        <v>2013</v>
      </c>
      <c r="C1536" s="86" t="s">
        <v>1503</v>
      </c>
      <c r="D1536" s="69">
        <v>5000</v>
      </c>
      <c r="F1536" s="70">
        <f t="shared" si="46"/>
        <v>2013</v>
      </c>
      <c r="G1536" s="70" t="s">
        <v>159</v>
      </c>
      <c r="H1536" s="70" t="str">
        <f t="shared" si="47"/>
        <v>MSH</v>
      </c>
    </row>
    <row r="1537" spans="1:8" ht="15" x14ac:dyDescent="0.25">
      <c r="A1537" s="68" t="s">
        <v>1484</v>
      </c>
      <c r="B1537" s="68">
        <v>2014</v>
      </c>
      <c r="C1537" s="86" t="s">
        <v>1502</v>
      </c>
      <c r="D1537" s="69" t="s">
        <v>160</v>
      </c>
      <c r="F1537" s="70">
        <f t="shared" si="46"/>
        <v>2014</v>
      </c>
      <c r="G1537" s="70" t="s">
        <v>159</v>
      </c>
      <c r="H1537" s="70" t="str">
        <f t="shared" si="47"/>
        <v>MSH</v>
      </c>
    </row>
    <row r="1538" spans="1:8" ht="15" x14ac:dyDescent="0.25">
      <c r="A1538" s="68" t="s">
        <v>1484</v>
      </c>
      <c r="B1538" s="68">
        <v>2014</v>
      </c>
      <c r="C1538" s="86" t="s">
        <v>1501</v>
      </c>
      <c r="D1538" s="69" t="s">
        <v>160</v>
      </c>
      <c r="F1538" s="70">
        <f t="shared" si="46"/>
        <v>2014</v>
      </c>
      <c r="G1538" s="70" t="s">
        <v>159</v>
      </c>
      <c r="H1538" s="70" t="str">
        <f t="shared" si="47"/>
        <v>MSH</v>
      </c>
    </row>
    <row r="1539" spans="1:8" ht="15" x14ac:dyDescent="0.25">
      <c r="A1539" s="68" t="s">
        <v>1484</v>
      </c>
      <c r="B1539" s="68">
        <v>2014</v>
      </c>
      <c r="C1539" s="86" t="s">
        <v>1500</v>
      </c>
      <c r="D1539" s="69" t="s">
        <v>160</v>
      </c>
      <c r="F1539" s="70">
        <f t="shared" si="46"/>
        <v>2014</v>
      </c>
      <c r="G1539" s="70" t="s">
        <v>159</v>
      </c>
      <c r="H1539" s="70" t="str">
        <f t="shared" si="47"/>
        <v>MSH</v>
      </c>
    </row>
    <row r="1540" spans="1:8" ht="15" x14ac:dyDescent="0.25">
      <c r="A1540" s="68" t="s">
        <v>1484</v>
      </c>
      <c r="B1540" s="68">
        <v>2014</v>
      </c>
      <c r="C1540" s="86" t="s">
        <v>1499</v>
      </c>
      <c r="D1540" s="69" t="s">
        <v>160</v>
      </c>
      <c r="F1540" s="70">
        <f t="shared" si="46"/>
        <v>2014</v>
      </c>
      <c r="G1540" s="70" t="s">
        <v>159</v>
      </c>
      <c r="H1540" s="70" t="str">
        <f t="shared" si="47"/>
        <v>MSH</v>
      </c>
    </row>
    <row r="1541" spans="1:8" ht="15" x14ac:dyDescent="0.25">
      <c r="A1541" s="68" t="s">
        <v>1484</v>
      </c>
      <c r="B1541" s="68">
        <v>2014</v>
      </c>
      <c r="C1541" s="86" t="s">
        <v>1498</v>
      </c>
      <c r="D1541" s="69" t="s">
        <v>160</v>
      </c>
      <c r="F1541" s="70">
        <f t="shared" si="46"/>
        <v>2014</v>
      </c>
      <c r="G1541" s="70" t="s">
        <v>159</v>
      </c>
      <c r="H1541" s="70" t="str">
        <f t="shared" si="47"/>
        <v>MSH</v>
      </c>
    </row>
    <row r="1542" spans="1:8" ht="15" x14ac:dyDescent="0.25">
      <c r="A1542" s="85" t="s">
        <v>1484</v>
      </c>
      <c r="B1542" s="85">
        <v>2015</v>
      </c>
      <c r="C1542" s="87" t="s">
        <v>1497</v>
      </c>
      <c r="D1542" s="83" t="s">
        <v>160</v>
      </c>
      <c r="F1542" s="70">
        <f t="shared" si="46"/>
        <v>2015</v>
      </c>
      <c r="G1542" s="70" t="s">
        <v>159</v>
      </c>
      <c r="H1542" s="70" t="str">
        <f t="shared" si="47"/>
        <v>MSH</v>
      </c>
    </row>
    <row r="1543" spans="1:8" ht="15" x14ac:dyDescent="0.25">
      <c r="A1543" s="85" t="s">
        <v>1484</v>
      </c>
      <c r="B1543" s="85">
        <v>2015</v>
      </c>
      <c r="C1543" s="87" t="s">
        <v>1496</v>
      </c>
      <c r="D1543" s="83" t="s">
        <v>160</v>
      </c>
      <c r="F1543" s="70">
        <f t="shared" si="46"/>
        <v>2015</v>
      </c>
      <c r="G1543" s="70" t="s">
        <v>159</v>
      </c>
      <c r="H1543" s="70" t="str">
        <f t="shared" si="47"/>
        <v>MSH</v>
      </c>
    </row>
    <row r="1544" spans="1:8" ht="15" x14ac:dyDescent="0.25">
      <c r="A1544" s="85" t="s">
        <v>1484</v>
      </c>
      <c r="B1544" s="85">
        <v>2015</v>
      </c>
      <c r="C1544" s="87" t="s">
        <v>1495</v>
      </c>
      <c r="D1544" s="83" t="s">
        <v>160</v>
      </c>
      <c r="F1544" s="70">
        <f t="shared" ref="F1544:F1607" si="48">+B1544</f>
        <v>2015</v>
      </c>
      <c r="G1544" s="70" t="s">
        <v>159</v>
      </c>
      <c r="H1544" s="70" t="str">
        <f t="shared" ref="H1544:H1607" si="49">A1544</f>
        <v>MSH</v>
      </c>
    </row>
    <row r="1545" spans="1:8" ht="15" x14ac:dyDescent="0.25">
      <c r="A1545" s="68" t="s">
        <v>1484</v>
      </c>
      <c r="B1545" s="68">
        <v>2016</v>
      </c>
      <c r="C1545" s="76" t="s">
        <v>1494</v>
      </c>
      <c r="D1545" s="69" t="s">
        <v>160</v>
      </c>
      <c r="F1545" s="70">
        <f t="shared" si="48"/>
        <v>2016</v>
      </c>
      <c r="G1545" s="70" t="s">
        <v>159</v>
      </c>
      <c r="H1545" s="70" t="str">
        <f t="shared" si="49"/>
        <v>MSH</v>
      </c>
    </row>
    <row r="1546" spans="1:8" ht="15" x14ac:dyDescent="0.25">
      <c r="A1546" s="68" t="s">
        <v>1484</v>
      </c>
      <c r="B1546" s="68">
        <v>2016</v>
      </c>
      <c r="C1546" s="76" t="s">
        <v>1493</v>
      </c>
      <c r="D1546" s="69" t="s">
        <v>160</v>
      </c>
      <c r="F1546" s="70">
        <f t="shared" si="48"/>
        <v>2016</v>
      </c>
      <c r="G1546" s="70" t="s">
        <v>159</v>
      </c>
      <c r="H1546" s="70" t="str">
        <f t="shared" si="49"/>
        <v>MSH</v>
      </c>
    </row>
    <row r="1547" spans="1:8" ht="15" x14ac:dyDescent="0.25">
      <c r="A1547" s="68" t="s">
        <v>1484</v>
      </c>
      <c r="B1547" s="68">
        <v>2016</v>
      </c>
      <c r="C1547" s="76" t="s">
        <v>1492</v>
      </c>
      <c r="D1547" s="69" t="s">
        <v>160</v>
      </c>
      <c r="F1547" s="70">
        <f t="shared" si="48"/>
        <v>2016</v>
      </c>
      <c r="G1547" s="70" t="s">
        <v>159</v>
      </c>
      <c r="H1547" s="70" t="str">
        <f t="shared" si="49"/>
        <v>MSH</v>
      </c>
    </row>
    <row r="1548" spans="1:8" ht="15" x14ac:dyDescent="0.25">
      <c r="A1548" s="85" t="s">
        <v>1484</v>
      </c>
      <c r="B1548" s="85">
        <v>2017</v>
      </c>
      <c r="C1548" s="92" t="s">
        <v>1491</v>
      </c>
      <c r="D1548" s="83" t="s">
        <v>160</v>
      </c>
      <c r="F1548" s="70">
        <f t="shared" si="48"/>
        <v>2017</v>
      </c>
      <c r="G1548" s="70" t="s">
        <v>159</v>
      </c>
      <c r="H1548" s="70" t="str">
        <f t="shared" si="49"/>
        <v>MSH</v>
      </c>
    </row>
    <row r="1549" spans="1:8" ht="15" x14ac:dyDescent="0.25">
      <c r="A1549" s="85" t="s">
        <v>1484</v>
      </c>
      <c r="B1549" s="85">
        <v>2017</v>
      </c>
      <c r="C1549" s="92" t="s">
        <v>1490</v>
      </c>
      <c r="D1549" s="83" t="s">
        <v>160</v>
      </c>
      <c r="F1549" s="70">
        <f t="shared" si="48"/>
        <v>2017</v>
      </c>
      <c r="G1549" s="70" t="s">
        <v>159</v>
      </c>
      <c r="H1549" s="70" t="str">
        <f t="shared" si="49"/>
        <v>MSH</v>
      </c>
    </row>
    <row r="1550" spans="1:8" ht="15" x14ac:dyDescent="0.25">
      <c r="A1550" s="85" t="s">
        <v>1484</v>
      </c>
      <c r="B1550" s="85">
        <v>2017</v>
      </c>
      <c r="C1550" s="92" t="s">
        <v>1489</v>
      </c>
      <c r="D1550" s="83" t="s">
        <v>160</v>
      </c>
      <c r="F1550" s="70">
        <f t="shared" si="48"/>
        <v>2017</v>
      </c>
      <c r="G1550" s="70" t="s">
        <v>159</v>
      </c>
      <c r="H1550" s="70" t="str">
        <f t="shared" si="49"/>
        <v>MSH</v>
      </c>
    </row>
    <row r="1551" spans="1:8" ht="15" x14ac:dyDescent="0.25">
      <c r="A1551" s="85" t="s">
        <v>1484</v>
      </c>
      <c r="B1551" s="85">
        <v>2017</v>
      </c>
      <c r="C1551" s="92" t="s">
        <v>1488</v>
      </c>
      <c r="D1551" s="83" t="s">
        <v>160</v>
      </c>
      <c r="F1551" s="70">
        <f t="shared" si="48"/>
        <v>2017</v>
      </c>
      <c r="G1551" s="70" t="s">
        <v>159</v>
      </c>
      <c r="H1551" s="70" t="str">
        <f t="shared" si="49"/>
        <v>MSH</v>
      </c>
    </row>
    <row r="1552" spans="1:8" ht="15" x14ac:dyDescent="0.25">
      <c r="A1552" s="75" t="s">
        <v>1484</v>
      </c>
      <c r="B1552" s="75">
        <v>2018</v>
      </c>
      <c r="C1552" s="90" t="s">
        <v>1487</v>
      </c>
      <c r="D1552" s="82" t="s">
        <v>160</v>
      </c>
      <c r="F1552" s="70">
        <f t="shared" si="48"/>
        <v>2018</v>
      </c>
      <c r="G1552" s="70" t="s">
        <v>159</v>
      </c>
      <c r="H1552" s="70" t="str">
        <f t="shared" si="49"/>
        <v>MSH</v>
      </c>
    </row>
    <row r="1553" spans="1:8" ht="15" x14ac:dyDescent="0.25">
      <c r="A1553" s="75" t="s">
        <v>1484</v>
      </c>
      <c r="B1553" s="75">
        <v>2018</v>
      </c>
      <c r="C1553" s="90" t="s">
        <v>1486</v>
      </c>
      <c r="D1553" s="82" t="s">
        <v>160</v>
      </c>
      <c r="F1553" s="70">
        <f t="shared" si="48"/>
        <v>2018</v>
      </c>
      <c r="G1553" s="70" t="s">
        <v>159</v>
      </c>
      <c r="H1553" s="70" t="str">
        <f t="shared" si="49"/>
        <v>MSH</v>
      </c>
    </row>
    <row r="1554" spans="1:8" ht="15" x14ac:dyDescent="0.25">
      <c r="A1554" s="75" t="s">
        <v>1484</v>
      </c>
      <c r="B1554" s="75">
        <v>2018</v>
      </c>
      <c r="C1554" s="90" t="s">
        <v>1485</v>
      </c>
      <c r="D1554" s="82" t="s">
        <v>160</v>
      </c>
      <c r="F1554" s="70">
        <f t="shared" si="48"/>
        <v>2018</v>
      </c>
      <c r="G1554" s="70" t="s">
        <v>159</v>
      </c>
      <c r="H1554" s="70" t="str">
        <f t="shared" si="49"/>
        <v>MSH</v>
      </c>
    </row>
    <row r="1555" spans="1:8" ht="15" x14ac:dyDescent="0.25">
      <c r="A1555" s="75" t="s">
        <v>1484</v>
      </c>
      <c r="B1555" s="75">
        <v>2018</v>
      </c>
      <c r="C1555" s="90" t="s">
        <v>1483</v>
      </c>
      <c r="D1555" s="82" t="s">
        <v>160</v>
      </c>
      <c r="F1555" s="70">
        <f t="shared" si="48"/>
        <v>2018</v>
      </c>
      <c r="G1555" s="70" t="s">
        <v>159</v>
      </c>
      <c r="H1555" s="70" t="str">
        <f t="shared" si="49"/>
        <v>MSH</v>
      </c>
    </row>
    <row r="1556" spans="1:8" ht="15" x14ac:dyDescent="0.25">
      <c r="A1556" s="88" t="s">
        <v>1416</v>
      </c>
      <c r="B1556" s="88">
        <v>1979</v>
      </c>
      <c r="C1556" s="89" t="s">
        <v>1482</v>
      </c>
      <c r="D1556" s="88" t="s">
        <v>160</v>
      </c>
      <c r="F1556" s="70">
        <f t="shared" si="48"/>
        <v>1979</v>
      </c>
      <c r="G1556" s="70" t="s">
        <v>159</v>
      </c>
      <c r="H1556" s="70" t="str">
        <f t="shared" si="49"/>
        <v>NAN</v>
      </c>
    </row>
    <row r="1557" spans="1:8" ht="15" x14ac:dyDescent="0.25">
      <c r="A1557" s="88" t="s">
        <v>1416</v>
      </c>
      <c r="B1557" s="88">
        <v>1980</v>
      </c>
      <c r="C1557" s="89" t="s">
        <v>1481</v>
      </c>
      <c r="D1557" s="88" t="s">
        <v>160</v>
      </c>
      <c r="F1557" s="70">
        <f t="shared" si="48"/>
        <v>1980</v>
      </c>
      <c r="G1557" s="70" t="s">
        <v>159</v>
      </c>
      <c r="H1557" s="70" t="str">
        <f t="shared" si="49"/>
        <v>NAN</v>
      </c>
    </row>
    <row r="1558" spans="1:8" ht="15" x14ac:dyDescent="0.25">
      <c r="A1558" s="88" t="s">
        <v>1416</v>
      </c>
      <c r="B1558" s="88">
        <v>1982</v>
      </c>
      <c r="C1558" s="89" t="s">
        <v>1480</v>
      </c>
      <c r="D1558" s="88" t="s">
        <v>160</v>
      </c>
      <c r="F1558" s="70">
        <f t="shared" si="48"/>
        <v>1982</v>
      </c>
      <c r="G1558" s="70" t="s">
        <v>159</v>
      </c>
      <c r="H1558" s="70" t="str">
        <f t="shared" si="49"/>
        <v>NAN</v>
      </c>
    </row>
    <row r="1559" spans="1:8" ht="15" x14ac:dyDescent="0.25">
      <c r="A1559" s="88" t="s">
        <v>1416</v>
      </c>
      <c r="B1559" s="88">
        <v>1987</v>
      </c>
      <c r="C1559" s="89" t="s">
        <v>1479</v>
      </c>
      <c r="D1559" s="88" t="s">
        <v>160</v>
      </c>
      <c r="F1559" s="70">
        <f t="shared" si="48"/>
        <v>1987</v>
      </c>
      <c r="G1559" s="70" t="s">
        <v>159</v>
      </c>
      <c r="H1559" s="70" t="str">
        <f t="shared" si="49"/>
        <v>NAN</v>
      </c>
    </row>
    <row r="1560" spans="1:8" ht="15" x14ac:dyDescent="0.25">
      <c r="A1560" s="88" t="s">
        <v>1416</v>
      </c>
      <c r="B1560" s="88">
        <v>1987</v>
      </c>
      <c r="C1560" s="89" t="s">
        <v>1478</v>
      </c>
      <c r="D1560" s="88" t="s">
        <v>160</v>
      </c>
      <c r="F1560" s="70">
        <f t="shared" si="48"/>
        <v>1987</v>
      </c>
      <c r="G1560" s="70" t="s">
        <v>159</v>
      </c>
      <c r="H1560" s="70" t="str">
        <f t="shared" si="49"/>
        <v>NAN</v>
      </c>
    </row>
    <row r="1561" spans="1:8" ht="15" x14ac:dyDescent="0.25">
      <c r="A1561" s="88" t="s">
        <v>1416</v>
      </c>
      <c r="B1561" s="88">
        <v>1987</v>
      </c>
      <c r="C1561" s="89" t="s">
        <v>1477</v>
      </c>
      <c r="D1561" s="88" t="s">
        <v>160</v>
      </c>
      <c r="F1561" s="70">
        <f t="shared" si="48"/>
        <v>1987</v>
      </c>
      <c r="G1561" s="70" t="s">
        <v>159</v>
      </c>
      <c r="H1561" s="70" t="str">
        <f t="shared" si="49"/>
        <v>NAN</v>
      </c>
    </row>
    <row r="1562" spans="1:8" ht="15" x14ac:dyDescent="0.25">
      <c r="A1562" s="88" t="s">
        <v>1416</v>
      </c>
      <c r="B1562" s="88">
        <v>1987</v>
      </c>
      <c r="C1562" s="89" t="s">
        <v>1476</v>
      </c>
      <c r="D1562" s="88" t="s">
        <v>160</v>
      </c>
      <c r="F1562" s="70">
        <f t="shared" si="48"/>
        <v>1987</v>
      </c>
      <c r="G1562" s="70" t="s">
        <v>159</v>
      </c>
      <c r="H1562" s="70" t="str">
        <f t="shared" si="49"/>
        <v>NAN</v>
      </c>
    </row>
    <row r="1563" spans="1:8" ht="15" x14ac:dyDescent="0.25">
      <c r="A1563" s="88" t="s">
        <v>1416</v>
      </c>
      <c r="B1563" s="88">
        <v>1988</v>
      </c>
      <c r="C1563" s="89" t="s">
        <v>1475</v>
      </c>
      <c r="D1563" s="88" t="s">
        <v>160</v>
      </c>
      <c r="F1563" s="70">
        <f t="shared" si="48"/>
        <v>1988</v>
      </c>
      <c r="G1563" s="70" t="s">
        <v>159</v>
      </c>
      <c r="H1563" s="70" t="str">
        <f t="shared" si="49"/>
        <v>NAN</v>
      </c>
    </row>
    <row r="1564" spans="1:8" ht="15" x14ac:dyDescent="0.25">
      <c r="A1564" s="88" t="s">
        <v>1416</v>
      </c>
      <c r="B1564" s="88">
        <v>1988</v>
      </c>
      <c r="C1564" s="89" t="s">
        <v>1474</v>
      </c>
      <c r="D1564" s="88" t="s">
        <v>160</v>
      </c>
      <c r="F1564" s="70">
        <f t="shared" si="48"/>
        <v>1988</v>
      </c>
      <c r="G1564" s="70" t="s">
        <v>159</v>
      </c>
      <c r="H1564" s="70" t="str">
        <f t="shared" si="49"/>
        <v>NAN</v>
      </c>
    </row>
    <row r="1565" spans="1:8" ht="15" x14ac:dyDescent="0.25">
      <c r="A1565" s="88" t="s">
        <v>1416</v>
      </c>
      <c r="B1565" s="88">
        <v>1988</v>
      </c>
      <c r="C1565" s="89" t="s">
        <v>1473</v>
      </c>
      <c r="D1565" s="88" t="s">
        <v>160</v>
      </c>
      <c r="F1565" s="70">
        <f t="shared" si="48"/>
        <v>1988</v>
      </c>
      <c r="G1565" s="70" t="s">
        <v>159</v>
      </c>
      <c r="H1565" s="70" t="str">
        <f t="shared" si="49"/>
        <v>NAN</v>
      </c>
    </row>
    <row r="1566" spans="1:8" ht="15" x14ac:dyDescent="0.25">
      <c r="A1566" s="88" t="s">
        <v>1416</v>
      </c>
      <c r="B1566" s="88">
        <v>1988</v>
      </c>
      <c r="C1566" s="89" t="s">
        <v>1472</v>
      </c>
      <c r="D1566" s="88" t="s">
        <v>160</v>
      </c>
      <c r="F1566" s="70">
        <f t="shared" si="48"/>
        <v>1988</v>
      </c>
      <c r="G1566" s="70" t="s">
        <v>159</v>
      </c>
      <c r="H1566" s="70" t="str">
        <f t="shared" si="49"/>
        <v>NAN</v>
      </c>
    </row>
    <row r="1567" spans="1:8" ht="15" x14ac:dyDescent="0.25">
      <c r="A1567" s="88" t="s">
        <v>1416</v>
      </c>
      <c r="B1567" s="88">
        <v>1989</v>
      </c>
      <c r="C1567" s="89" t="s">
        <v>1471</v>
      </c>
      <c r="D1567" s="88" t="s">
        <v>160</v>
      </c>
      <c r="F1567" s="70">
        <f t="shared" si="48"/>
        <v>1989</v>
      </c>
      <c r="G1567" s="70" t="s">
        <v>159</v>
      </c>
      <c r="H1567" s="70" t="str">
        <f t="shared" si="49"/>
        <v>NAN</v>
      </c>
    </row>
    <row r="1568" spans="1:8" ht="15" x14ac:dyDescent="0.25">
      <c r="A1568" s="88" t="s">
        <v>1416</v>
      </c>
      <c r="B1568" s="88">
        <v>1989</v>
      </c>
      <c r="C1568" s="89" t="s">
        <v>1470</v>
      </c>
      <c r="D1568" s="88" t="s">
        <v>160</v>
      </c>
      <c r="F1568" s="70">
        <f t="shared" si="48"/>
        <v>1989</v>
      </c>
      <c r="G1568" s="70" t="s">
        <v>159</v>
      </c>
      <c r="H1568" s="70" t="str">
        <f t="shared" si="49"/>
        <v>NAN</v>
      </c>
    </row>
    <row r="1569" spans="1:8" ht="15" x14ac:dyDescent="0.25">
      <c r="A1569" s="88" t="s">
        <v>1416</v>
      </c>
      <c r="B1569" s="88">
        <v>1989</v>
      </c>
      <c r="C1569" s="89" t="s">
        <v>1469</v>
      </c>
      <c r="D1569" s="88" t="s">
        <v>160</v>
      </c>
      <c r="F1569" s="70">
        <f t="shared" si="48"/>
        <v>1989</v>
      </c>
      <c r="G1569" s="70" t="s">
        <v>159</v>
      </c>
      <c r="H1569" s="70" t="str">
        <f t="shared" si="49"/>
        <v>NAN</v>
      </c>
    </row>
    <row r="1570" spans="1:8" ht="15" x14ac:dyDescent="0.25">
      <c r="A1570" s="88" t="s">
        <v>1416</v>
      </c>
      <c r="B1570" s="88">
        <v>1989</v>
      </c>
      <c r="C1570" s="89" t="s">
        <v>1468</v>
      </c>
      <c r="D1570" s="88" t="s">
        <v>160</v>
      </c>
      <c r="F1570" s="70">
        <f t="shared" si="48"/>
        <v>1989</v>
      </c>
      <c r="G1570" s="70" t="s">
        <v>159</v>
      </c>
      <c r="H1570" s="70" t="str">
        <f t="shared" si="49"/>
        <v>NAN</v>
      </c>
    </row>
    <row r="1571" spans="1:8" ht="15" x14ac:dyDescent="0.25">
      <c r="A1571" s="88" t="s">
        <v>1416</v>
      </c>
      <c r="B1571" s="88">
        <v>1990</v>
      </c>
      <c r="C1571" s="89" t="s">
        <v>1467</v>
      </c>
      <c r="D1571" s="88" t="s">
        <v>160</v>
      </c>
      <c r="F1571" s="70">
        <f t="shared" si="48"/>
        <v>1990</v>
      </c>
      <c r="G1571" s="70" t="s">
        <v>159</v>
      </c>
      <c r="H1571" s="70" t="str">
        <f t="shared" si="49"/>
        <v>NAN</v>
      </c>
    </row>
    <row r="1572" spans="1:8" ht="15" x14ac:dyDescent="0.25">
      <c r="A1572" s="88" t="s">
        <v>1416</v>
      </c>
      <c r="B1572" s="88">
        <v>1990</v>
      </c>
      <c r="C1572" s="89" t="s">
        <v>1466</v>
      </c>
      <c r="D1572" s="88" t="s">
        <v>160</v>
      </c>
      <c r="F1572" s="70">
        <f t="shared" si="48"/>
        <v>1990</v>
      </c>
      <c r="G1572" s="70" t="s">
        <v>159</v>
      </c>
      <c r="H1572" s="70" t="str">
        <f t="shared" si="49"/>
        <v>NAN</v>
      </c>
    </row>
    <row r="1573" spans="1:8" ht="15" x14ac:dyDescent="0.25">
      <c r="A1573" s="88" t="s">
        <v>1416</v>
      </c>
      <c r="B1573" s="88">
        <v>1990</v>
      </c>
      <c r="C1573" s="89" t="s">
        <v>1465</v>
      </c>
      <c r="D1573" s="88" t="s">
        <v>160</v>
      </c>
      <c r="F1573" s="70">
        <f t="shared" si="48"/>
        <v>1990</v>
      </c>
      <c r="G1573" s="70" t="s">
        <v>159</v>
      </c>
      <c r="H1573" s="70" t="str">
        <f t="shared" si="49"/>
        <v>NAN</v>
      </c>
    </row>
    <row r="1574" spans="1:8" ht="15" x14ac:dyDescent="0.25">
      <c r="A1574" s="88" t="s">
        <v>1416</v>
      </c>
      <c r="B1574" s="88">
        <v>1990</v>
      </c>
      <c r="C1574" s="89" t="s">
        <v>1464</v>
      </c>
      <c r="D1574" s="88" t="s">
        <v>160</v>
      </c>
      <c r="F1574" s="70">
        <f t="shared" si="48"/>
        <v>1990</v>
      </c>
      <c r="G1574" s="70" t="s">
        <v>159</v>
      </c>
      <c r="H1574" s="70" t="str">
        <f t="shared" si="49"/>
        <v>NAN</v>
      </c>
    </row>
    <row r="1575" spans="1:8" ht="15" x14ac:dyDescent="0.25">
      <c r="A1575" s="88" t="s">
        <v>1416</v>
      </c>
      <c r="B1575" s="88">
        <v>1990</v>
      </c>
      <c r="C1575" s="89" t="s">
        <v>1463</v>
      </c>
      <c r="D1575" s="88" t="s">
        <v>160</v>
      </c>
      <c r="F1575" s="70">
        <f t="shared" si="48"/>
        <v>1990</v>
      </c>
      <c r="G1575" s="70" t="s">
        <v>159</v>
      </c>
      <c r="H1575" s="70" t="str">
        <f t="shared" si="49"/>
        <v>NAN</v>
      </c>
    </row>
    <row r="1576" spans="1:8" ht="15" x14ac:dyDescent="0.25">
      <c r="A1576" s="88" t="s">
        <v>1416</v>
      </c>
      <c r="B1576" s="88">
        <v>1991</v>
      </c>
      <c r="C1576" s="89" t="s">
        <v>1462</v>
      </c>
      <c r="D1576" s="88" t="s">
        <v>160</v>
      </c>
      <c r="F1576" s="70">
        <f t="shared" si="48"/>
        <v>1991</v>
      </c>
      <c r="G1576" s="70" t="s">
        <v>159</v>
      </c>
      <c r="H1576" s="70" t="str">
        <f t="shared" si="49"/>
        <v>NAN</v>
      </c>
    </row>
    <row r="1577" spans="1:8" ht="15" x14ac:dyDescent="0.25">
      <c r="A1577" s="88" t="s">
        <v>1416</v>
      </c>
      <c r="B1577" s="88">
        <v>1991</v>
      </c>
      <c r="C1577" s="89" t="s">
        <v>1461</v>
      </c>
      <c r="D1577" s="88" t="s">
        <v>160</v>
      </c>
      <c r="F1577" s="70">
        <f t="shared" si="48"/>
        <v>1991</v>
      </c>
      <c r="G1577" s="70" t="s">
        <v>159</v>
      </c>
      <c r="H1577" s="70" t="str">
        <f t="shared" si="49"/>
        <v>NAN</v>
      </c>
    </row>
    <row r="1578" spans="1:8" ht="15" x14ac:dyDescent="0.25">
      <c r="A1578" s="88" t="s">
        <v>1416</v>
      </c>
      <c r="B1578" s="88">
        <v>1991</v>
      </c>
      <c r="C1578" s="89" t="s">
        <v>1460</v>
      </c>
      <c r="D1578" s="88" t="s">
        <v>160</v>
      </c>
      <c r="F1578" s="70">
        <f t="shared" si="48"/>
        <v>1991</v>
      </c>
      <c r="G1578" s="70" t="s">
        <v>159</v>
      </c>
      <c r="H1578" s="70" t="str">
        <f t="shared" si="49"/>
        <v>NAN</v>
      </c>
    </row>
    <row r="1579" spans="1:8" ht="15" x14ac:dyDescent="0.25">
      <c r="A1579" s="88" t="s">
        <v>1416</v>
      </c>
      <c r="B1579" s="88">
        <v>1991</v>
      </c>
      <c r="C1579" s="89" t="s">
        <v>1459</v>
      </c>
      <c r="D1579" s="88" t="s">
        <v>160</v>
      </c>
      <c r="F1579" s="70">
        <f t="shared" si="48"/>
        <v>1991</v>
      </c>
      <c r="G1579" s="70" t="s">
        <v>159</v>
      </c>
      <c r="H1579" s="70" t="str">
        <f t="shared" si="49"/>
        <v>NAN</v>
      </c>
    </row>
    <row r="1580" spans="1:8" ht="15" x14ac:dyDescent="0.25">
      <c r="A1580" s="88" t="s">
        <v>1416</v>
      </c>
      <c r="B1580" s="88">
        <v>1992</v>
      </c>
      <c r="C1580" s="89" t="s">
        <v>1458</v>
      </c>
      <c r="D1580" s="88" t="s">
        <v>160</v>
      </c>
      <c r="F1580" s="70">
        <f t="shared" si="48"/>
        <v>1992</v>
      </c>
      <c r="G1580" s="70" t="s">
        <v>159</v>
      </c>
      <c r="H1580" s="70" t="str">
        <f t="shared" si="49"/>
        <v>NAN</v>
      </c>
    </row>
    <row r="1581" spans="1:8" ht="15" x14ac:dyDescent="0.25">
      <c r="A1581" s="88" t="s">
        <v>1416</v>
      </c>
      <c r="B1581" s="88">
        <v>1992</v>
      </c>
      <c r="C1581" s="89" t="s">
        <v>1457</v>
      </c>
      <c r="D1581" s="88" t="s">
        <v>160</v>
      </c>
      <c r="F1581" s="70">
        <f t="shared" si="48"/>
        <v>1992</v>
      </c>
      <c r="G1581" s="70" t="s">
        <v>159</v>
      </c>
      <c r="H1581" s="70" t="str">
        <f t="shared" si="49"/>
        <v>NAN</v>
      </c>
    </row>
    <row r="1582" spans="1:8" ht="15" x14ac:dyDescent="0.25">
      <c r="A1582" s="88" t="s">
        <v>1416</v>
      </c>
      <c r="B1582" s="88">
        <v>1992</v>
      </c>
      <c r="C1582" s="89" t="s">
        <v>1456</v>
      </c>
      <c r="D1582" s="88" t="s">
        <v>160</v>
      </c>
      <c r="F1582" s="70">
        <f t="shared" si="48"/>
        <v>1992</v>
      </c>
      <c r="G1582" s="70" t="s">
        <v>159</v>
      </c>
      <c r="H1582" s="70" t="str">
        <f t="shared" si="49"/>
        <v>NAN</v>
      </c>
    </row>
    <row r="1583" spans="1:8" ht="15" x14ac:dyDescent="0.25">
      <c r="A1583" s="88" t="s">
        <v>1416</v>
      </c>
      <c r="B1583" s="88">
        <v>1992</v>
      </c>
      <c r="C1583" s="89" t="s">
        <v>1455</v>
      </c>
      <c r="D1583" s="88" t="s">
        <v>160</v>
      </c>
      <c r="F1583" s="70">
        <f t="shared" si="48"/>
        <v>1992</v>
      </c>
      <c r="G1583" s="70" t="s">
        <v>159</v>
      </c>
      <c r="H1583" s="70" t="str">
        <f t="shared" si="49"/>
        <v>NAN</v>
      </c>
    </row>
    <row r="1584" spans="1:8" ht="15" x14ac:dyDescent="0.25">
      <c r="A1584" s="88" t="s">
        <v>1416</v>
      </c>
      <c r="B1584" s="88">
        <v>1993</v>
      </c>
      <c r="C1584" s="89" t="s">
        <v>1454</v>
      </c>
      <c r="D1584" s="88" t="s">
        <v>160</v>
      </c>
      <c r="F1584" s="70">
        <f t="shared" si="48"/>
        <v>1993</v>
      </c>
      <c r="G1584" s="70" t="s">
        <v>159</v>
      </c>
      <c r="H1584" s="70" t="str">
        <f t="shared" si="49"/>
        <v>NAN</v>
      </c>
    </row>
    <row r="1585" spans="1:8" ht="15" x14ac:dyDescent="0.25">
      <c r="A1585" s="88" t="s">
        <v>1416</v>
      </c>
      <c r="B1585" s="88">
        <v>1993</v>
      </c>
      <c r="C1585" s="89" t="s">
        <v>1453</v>
      </c>
      <c r="D1585" s="88" t="s">
        <v>160</v>
      </c>
      <c r="F1585" s="70">
        <f t="shared" si="48"/>
        <v>1993</v>
      </c>
      <c r="G1585" s="70" t="s">
        <v>159</v>
      </c>
      <c r="H1585" s="70" t="str">
        <f t="shared" si="49"/>
        <v>NAN</v>
      </c>
    </row>
    <row r="1586" spans="1:8" ht="15" x14ac:dyDescent="0.25">
      <c r="A1586" s="88" t="s">
        <v>1416</v>
      </c>
      <c r="B1586" s="88">
        <v>1993</v>
      </c>
      <c r="C1586" s="89" t="s">
        <v>1452</v>
      </c>
      <c r="D1586" s="88" t="s">
        <v>160</v>
      </c>
      <c r="F1586" s="70">
        <f t="shared" si="48"/>
        <v>1993</v>
      </c>
      <c r="G1586" s="70" t="s">
        <v>159</v>
      </c>
      <c r="H1586" s="70" t="str">
        <f t="shared" si="49"/>
        <v>NAN</v>
      </c>
    </row>
    <row r="1587" spans="1:8" ht="15" x14ac:dyDescent="0.25">
      <c r="A1587" s="88" t="s">
        <v>1416</v>
      </c>
      <c r="B1587" s="88">
        <v>1993</v>
      </c>
      <c r="C1587" s="89" t="s">
        <v>1451</v>
      </c>
      <c r="D1587" s="88" t="s">
        <v>160</v>
      </c>
      <c r="F1587" s="70">
        <f t="shared" si="48"/>
        <v>1993</v>
      </c>
      <c r="G1587" s="70" t="s">
        <v>159</v>
      </c>
      <c r="H1587" s="70" t="str">
        <f t="shared" si="49"/>
        <v>NAN</v>
      </c>
    </row>
    <row r="1588" spans="1:8" ht="15" x14ac:dyDescent="0.25">
      <c r="A1588" s="88" t="s">
        <v>1416</v>
      </c>
      <c r="B1588" s="88">
        <v>1994</v>
      </c>
      <c r="C1588" s="89" t="s">
        <v>1450</v>
      </c>
      <c r="D1588" s="88" t="s">
        <v>160</v>
      </c>
      <c r="F1588" s="70">
        <f t="shared" si="48"/>
        <v>1994</v>
      </c>
      <c r="G1588" s="70" t="s">
        <v>159</v>
      </c>
      <c r="H1588" s="70" t="str">
        <f t="shared" si="49"/>
        <v>NAN</v>
      </c>
    </row>
    <row r="1589" spans="1:8" ht="15" x14ac:dyDescent="0.25">
      <c r="A1589" s="88" t="s">
        <v>1416</v>
      </c>
      <c r="B1589" s="88">
        <v>1994</v>
      </c>
      <c r="C1589" s="89" t="s">
        <v>1449</v>
      </c>
      <c r="D1589" s="88" t="s">
        <v>160</v>
      </c>
      <c r="F1589" s="70">
        <f t="shared" si="48"/>
        <v>1994</v>
      </c>
      <c r="G1589" s="70" t="s">
        <v>159</v>
      </c>
      <c r="H1589" s="70" t="str">
        <f t="shared" si="49"/>
        <v>NAN</v>
      </c>
    </row>
    <row r="1590" spans="1:8" ht="15" x14ac:dyDescent="0.25">
      <c r="A1590" s="88" t="s">
        <v>1416</v>
      </c>
      <c r="B1590" s="88">
        <v>1994</v>
      </c>
      <c r="C1590" s="89" t="s">
        <v>1448</v>
      </c>
      <c r="D1590" s="88" t="s">
        <v>160</v>
      </c>
      <c r="F1590" s="70">
        <f t="shared" si="48"/>
        <v>1994</v>
      </c>
      <c r="G1590" s="70" t="s">
        <v>159</v>
      </c>
      <c r="H1590" s="70" t="str">
        <f t="shared" si="49"/>
        <v>NAN</v>
      </c>
    </row>
    <row r="1591" spans="1:8" ht="15" x14ac:dyDescent="0.25">
      <c r="A1591" s="88" t="s">
        <v>1416</v>
      </c>
      <c r="B1591" s="88">
        <v>1995</v>
      </c>
      <c r="C1591" s="89" t="s">
        <v>1447</v>
      </c>
      <c r="D1591" s="88" t="s">
        <v>160</v>
      </c>
      <c r="F1591" s="70">
        <f t="shared" si="48"/>
        <v>1995</v>
      </c>
      <c r="G1591" s="70" t="s">
        <v>159</v>
      </c>
      <c r="H1591" s="70" t="str">
        <f t="shared" si="49"/>
        <v>NAN</v>
      </c>
    </row>
    <row r="1592" spans="1:8" ht="15" x14ac:dyDescent="0.25">
      <c r="A1592" s="88" t="s">
        <v>1416</v>
      </c>
      <c r="B1592" s="88">
        <v>1995</v>
      </c>
      <c r="C1592" s="89" t="s">
        <v>1446</v>
      </c>
      <c r="D1592" s="88" t="s">
        <v>160</v>
      </c>
      <c r="F1592" s="70">
        <f t="shared" si="48"/>
        <v>1995</v>
      </c>
      <c r="G1592" s="70" t="s">
        <v>159</v>
      </c>
      <c r="H1592" s="70" t="str">
        <f t="shared" si="49"/>
        <v>NAN</v>
      </c>
    </row>
    <row r="1593" spans="1:8" ht="15" x14ac:dyDescent="0.25">
      <c r="A1593" s="88" t="s">
        <v>1416</v>
      </c>
      <c r="B1593" s="88">
        <v>1996</v>
      </c>
      <c r="C1593" s="89" t="s">
        <v>1445</v>
      </c>
      <c r="D1593" s="88" t="s">
        <v>160</v>
      </c>
      <c r="F1593" s="70">
        <f t="shared" si="48"/>
        <v>1996</v>
      </c>
      <c r="G1593" s="70" t="s">
        <v>159</v>
      </c>
      <c r="H1593" s="70" t="str">
        <f t="shared" si="49"/>
        <v>NAN</v>
      </c>
    </row>
    <row r="1594" spans="1:8" ht="15" x14ac:dyDescent="0.25">
      <c r="A1594" s="88" t="s">
        <v>1416</v>
      </c>
      <c r="B1594" s="88">
        <v>1996</v>
      </c>
      <c r="C1594" s="89" t="s">
        <v>1444</v>
      </c>
      <c r="D1594" s="88" t="s">
        <v>160</v>
      </c>
      <c r="F1594" s="70">
        <f t="shared" si="48"/>
        <v>1996</v>
      </c>
      <c r="G1594" s="70" t="s">
        <v>159</v>
      </c>
      <c r="H1594" s="70" t="str">
        <f t="shared" si="49"/>
        <v>NAN</v>
      </c>
    </row>
    <row r="1595" spans="1:8" ht="15" x14ac:dyDescent="0.25">
      <c r="A1595" s="88" t="s">
        <v>1416</v>
      </c>
      <c r="B1595" s="88">
        <v>1996</v>
      </c>
      <c r="C1595" s="89" t="s">
        <v>1443</v>
      </c>
      <c r="D1595" s="88" t="s">
        <v>160</v>
      </c>
      <c r="F1595" s="70">
        <f t="shared" si="48"/>
        <v>1996</v>
      </c>
      <c r="G1595" s="70" t="s">
        <v>159</v>
      </c>
      <c r="H1595" s="70" t="str">
        <f t="shared" si="49"/>
        <v>NAN</v>
      </c>
    </row>
    <row r="1596" spans="1:8" ht="15" x14ac:dyDescent="0.25">
      <c r="A1596" s="88" t="s">
        <v>1416</v>
      </c>
      <c r="B1596" s="88">
        <v>1996</v>
      </c>
      <c r="C1596" s="89" t="s">
        <v>1442</v>
      </c>
      <c r="D1596" s="88" t="s">
        <v>160</v>
      </c>
      <c r="F1596" s="70">
        <f t="shared" si="48"/>
        <v>1996</v>
      </c>
      <c r="G1596" s="70" t="s">
        <v>159</v>
      </c>
      <c r="H1596" s="70" t="str">
        <f t="shared" si="49"/>
        <v>NAN</v>
      </c>
    </row>
    <row r="1597" spans="1:8" ht="15" x14ac:dyDescent="0.25">
      <c r="A1597" s="88" t="s">
        <v>1416</v>
      </c>
      <c r="B1597" s="88">
        <v>1997</v>
      </c>
      <c r="C1597" s="89" t="s">
        <v>1441</v>
      </c>
      <c r="D1597" s="88" t="s">
        <v>160</v>
      </c>
      <c r="F1597" s="70">
        <f t="shared" si="48"/>
        <v>1997</v>
      </c>
      <c r="G1597" s="70" t="s">
        <v>159</v>
      </c>
      <c r="H1597" s="70" t="str">
        <f t="shared" si="49"/>
        <v>NAN</v>
      </c>
    </row>
    <row r="1598" spans="1:8" ht="15" x14ac:dyDescent="0.25">
      <c r="A1598" s="88" t="s">
        <v>1416</v>
      </c>
      <c r="B1598" s="88">
        <v>1997</v>
      </c>
      <c r="C1598" s="89" t="s">
        <v>1440</v>
      </c>
      <c r="D1598" s="88" t="s">
        <v>160</v>
      </c>
      <c r="F1598" s="70">
        <f t="shared" si="48"/>
        <v>1997</v>
      </c>
      <c r="G1598" s="70" t="s">
        <v>159</v>
      </c>
      <c r="H1598" s="70" t="str">
        <f t="shared" si="49"/>
        <v>NAN</v>
      </c>
    </row>
    <row r="1599" spans="1:8" ht="15" x14ac:dyDescent="0.25">
      <c r="A1599" s="88" t="s">
        <v>1416</v>
      </c>
      <c r="B1599" s="88">
        <v>1999</v>
      </c>
      <c r="C1599" s="89" t="s">
        <v>1439</v>
      </c>
      <c r="D1599" s="88" t="s">
        <v>160</v>
      </c>
      <c r="F1599" s="70">
        <f t="shared" si="48"/>
        <v>1999</v>
      </c>
      <c r="G1599" s="70" t="s">
        <v>159</v>
      </c>
      <c r="H1599" s="70" t="str">
        <f t="shared" si="49"/>
        <v>NAN</v>
      </c>
    </row>
    <row r="1600" spans="1:8" ht="15" x14ac:dyDescent="0.25">
      <c r="A1600" s="88" t="s">
        <v>1416</v>
      </c>
      <c r="B1600" s="88">
        <v>1999</v>
      </c>
      <c r="C1600" s="89" t="s">
        <v>1438</v>
      </c>
      <c r="D1600" s="88" t="s">
        <v>160</v>
      </c>
      <c r="F1600" s="70">
        <f t="shared" si="48"/>
        <v>1999</v>
      </c>
      <c r="G1600" s="70" t="s">
        <v>159</v>
      </c>
      <c r="H1600" s="70" t="str">
        <f t="shared" si="49"/>
        <v>NAN</v>
      </c>
    </row>
    <row r="1601" spans="1:8" ht="15" x14ac:dyDescent="0.25">
      <c r="A1601" s="88" t="s">
        <v>1416</v>
      </c>
      <c r="B1601" s="88">
        <v>1999</v>
      </c>
      <c r="C1601" s="89" t="s">
        <v>1437</v>
      </c>
      <c r="D1601" s="88" t="s">
        <v>160</v>
      </c>
      <c r="F1601" s="70">
        <f t="shared" si="48"/>
        <v>1999</v>
      </c>
      <c r="G1601" s="70" t="s">
        <v>159</v>
      </c>
      <c r="H1601" s="70" t="str">
        <f t="shared" si="49"/>
        <v>NAN</v>
      </c>
    </row>
    <row r="1602" spans="1:8" ht="15" x14ac:dyDescent="0.25">
      <c r="A1602" s="88" t="s">
        <v>1416</v>
      </c>
      <c r="B1602" s="88">
        <v>1999</v>
      </c>
      <c r="C1602" s="89" t="s">
        <v>1436</v>
      </c>
      <c r="D1602" s="88" t="s">
        <v>160</v>
      </c>
      <c r="F1602" s="70">
        <f t="shared" si="48"/>
        <v>1999</v>
      </c>
      <c r="G1602" s="70" t="s">
        <v>159</v>
      </c>
      <c r="H1602" s="70" t="str">
        <f t="shared" si="49"/>
        <v>NAN</v>
      </c>
    </row>
    <row r="1603" spans="1:8" ht="15" x14ac:dyDescent="0.25">
      <c r="A1603" s="88" t="s">
        <v>1416</v>
      </c>
      <c r="B1603" s="88">
        <v>1999</v>
      </c>
      <c r="C1603" s="89" t="s">
        <v>1435</v>
      </c>
      <c r="D1603" s="88" t="s">
        <v>160</v>
      </c>
      <c r="F1603" s="70">
        <f t="shared" si="48"/>
        <v>1999</v>
      </c>
      <c r="G1603" s="70" t="s">
        <v>159</v>
      </c>
      <c r="H1603" s="70" t="str">
        <f t="shared" si="49"/>
        <v>NAN</v>
      </c>
    </row>
    <row r="1604" spans="1:8" ht="15" x14ac:dyDescent="0.25">
      <c r="A1604" s="88" t="s">
        <v>1416</v>
      </c>
      <c r="B1604" s="88">
        <v>1999</v>
      </c>
      <c r="C1604" s="89" t="s">
        <v>1434</v>
      </c>
      <c r="D1604" s="88" t="s">
        <v>160</v>
      </c>
      <c r="F1604" s="70">
        <f t="shared" si="48"/>
        <v>1999</v>
      </c>
      <c r="G1604" s="70" t="s">
        <v>159</v>
      </c>
      <c r="H1604" s="70" t="str">
        <f t="shared" si="49"/>
        <v>NAN</v>
      </c>
    </row>
    <row r="1605" spans="1:8" ht="15" x14ac:dyDescent="0.25">
      <c r="A1605" s="88" t="s">
        <v>1416</v>
      </c>
      <c r="B1605" s="88">
        <v>2000</v>
      </c>
      <c r="C1605" s="89" t="s">
        <v>1433</v>
      </c>
      <c r="D1605" s="88" t="s">
        <v>160</v>
      </c>
      <c r="F1605" s="70">
        <f t="shared" si="48"/>
        <v>2000</v>
      </c>
      <c r="G1605" s="70" t="s">
        <v>159</v>
      </c>
      <c r="H1605" s="70" t="str">
        <f t="shared" si="49"/>
        <v>NAN</v>
      </c>
    </row>
    <row r="1606" spans="1:8" ht="15" x14ac:dyDescent="0.25">
      <c r="A1606" s="88" t="s">
        <v>1416</v>
      </c>
      <c r="B1606" s="88">
        <v>2000</v>
      </c>
      <c r="C1606" s="89" t="s">
        <v>1432</v>
      </c>
      <c r="D1606" s="88" t="s">
        <v>160</v>
      </c>
      <c r="F1606" s="70">
        <f t="shared" si="48"/>
        <v>2000</v>
      </c>
      <c r="G1606" s="70" t="s">
        <v>159</v>
      </c>
      <c r="H1606" s="70" t="str">
        <f t="shared" si="49"/>
        <v>NAN</v>
      </c>
    </row>
    <row r="1607" spans="1:8" ht="15" x14ac:dyDescent="0.25">
      <c r="A1607" s="88" t="s">
        <v>1416</v>
      </c>
      <c r="B1607" s="88">
        <v>2000</v>
      </c>
      <c r="C1607" s="89" t="s">
        <v>1431</v>
      </c>
      <c r="D1607" s="88" t="s">
        <v>160</v>
      </c>
      <c r="F1607" s="70">
        <f t="shared" si="48"/>
        <v>2000</v>
      </c>
      <c r="G1607" s="70" t="s">
        <v>159</v>
      </c>
      <c r="H1607" s="70" t="str">
        <f t="shared" si="49"/>
        <v>NAN</v>
      </c>
    </row>
    <row r="1608" spans="1:8" ht="15" x14ac:dyDescent="0.25">
      <c r="A1608" s="88" t="s">
        <v>1416</v>
      </c>
      <c r="B1608" s="88">
        <v>2001</v>
      </c>
      <c r="C1608" s="89" t="s">
        <v>1430</v>
      </c>
      <c r="D1608" s="88" t="s">
        <v>160</v>
      </c>
      <c r="F1608" s="70">
        <f t="shared" ref="F1608:F1671" si="50">+B1608</f>
        <v>2001</v>
      </c>
      <c r="G1608" s="70" t="s">
        <v>159</v>
      </c>
      <c r="H1608" s="70" t="str">
        <f t="shared" ref="H1608:H1671" si="51">A1608</f>
        <v>NAN</v>
      </c>
    </row>
    <row r="1609" spans="1:8" ht="15" x14ac:dyDescent="0.25">
      <c r="A1609" s="88" t="s">
        <v>1416</v>
      </c>
      <c r="B1609" s="88">
        <v>2001</v>
      </c>
      <c r="C1609" s="89" t="s">
        <v>1429</v>
      </c>
      <c r="D1609" s="88" t="s">
        <v>160</v>
      </c>
      <c r="F1609" s="70">
        <f t="shared" si="50"/>
        <v>2001</v>
      </c>
      <c r="G1609" s="70" t="s">
        <v>159</v>
      </c>
      <c r="H1609" s="70" t="str">
        <f t="shared" si="51"/>
        <v>NAN</v>
      </c>
    </row>
    <row r="1610" spans="1:8" ht="15" x14ac:dyDescent="0.25">
      <c r="A1610" s="88" t="s">
        <v>1416</v>
      </c>
      <c r="B1610" s="88">
        <v>2001</v>
      </c>
      <c r="C1610" s="89" t="s">
        <v>1428</v>
      </c>
      <c r="D1610" s="88" t="s">
        <v>160</v>
      </c>
      <c r="F1610" s="70">
        <f t="shared" si="50"/>
        <v>2001</v>
      </c>
      <c r="G1610" s="70" t="s">
        <v>159</v>
      </c>
      <c r="H1610" s="70" t="str">
        <f t="shared" si="51"/>
        <v>NAN</v>
      </c>
    </row>
    <row r="1611" spans="1:8" ht="15" x14ac:dyDescent="0.25">
      <c r="A1611" s="88" t="s">
        <v>1416</v>
      </c>
      <c r="B1611" s="88">
        <v>2001</v>
      </c>
      <c r="C1611" s="89" t="s">
        <v>1427</v>
      </c>
      <c r="D1611" s="88" t="s">
        <v>160</v>
      </c>
      <c r="F1611" s="70">
        <f t="shared" si="50"/>
        <v>2001</v>
      </c>
      <c r="G1611" s="70" t="s">
        <v>159</v>
      </c>
      <c r="H1611" s="70" t="str">
        <f t="shared" si="51"/>
        <v>NAN</v>
      </c>
    </row>
    <row r="1612" spans="1:8" ht="15" x14ac:dyDescent="0.25">
      <c r="A1612" s="88" t="s">
        <v>1416</v>
      </c>
      <c r="B1612" s="88">
        <v>2001</v>
      </c>
      <c r="C1612" s="89" t="s">
        <v>1426</v>
      </c>
      <c r="D1612" s="88" t="s">
        <v>160</v>
      </c>
      <c r="F1612" s="70">
        <f t="shared" si="50"/>
        <v>2001</v>
      </c>
      <c r="G1612" s="70" t="s">
        <v>159</v>
      </c>
      <c r="H1612" s="70" t="str">
        <f t="shared" si="51"/>
        <v>NAN</v>
      </c>
    </row>
    <row r="1613" spans="1:8" ht="15" x14ac:dyDescent="0.25">
      <c r="A1613" s="88" t="s">
        <v>1416</v>
      </c>
      <c r="B1613" s="88">
        <v>2001</v>
      </c>
      <c r="C1613" s="89" t="s">
        <v>1425</v>
      </c>
      <c r="D1613" s="88" t="s">
        <v>160</v>
      </c>
      <c r="F1613" s="70">
        <f t="shared" si="50"/>
        <v>2001</v>
      </c>
      <c r="G1613" s="70" t="s">
        <v>159</v>
      </c>
      <c r="H1613" s="70" t="str">
        <f t="shared" si="51"/>
        <v>NAN</v>
      </c>
    </row>
    <row r="1614" spans="1:8" ht="15" x14ac:dyDescent="0.25">
      <c r="A1614" s="88" t="s">
        <v>1416</v>
      </c>
      <c r="B1614" s="88">
        <v>2002</v>
      </c>
      <c r="C1614" s="89" t="s">
        <v>1424</v>
      </c>
      <c r="D1614" s="88" t="s">
        <v>160</v>
      </c>
      <c r="F1614" s="70">
        <f t="shared" si="50"/>
        <v>2002</v>
      </c>
      <c r="G1614" s="70" t="s">
        <v>159</v>
      </c>
      <c r="H1614" s="70" t="str">
        <f t="shared" si="51"/>
        <v>NAN</v>
      </c>
    </row>
    <row r="1615" spans="1:8" ht="15" x14ac:dyDescent="0.25">
      <c r="A1615" s="88" t="s">
        <v>1416</v>
      </c>
      <c r="B1615" s="88">
        <v>2002</v>
      </c>
      <c r="C1615" s="89" t="s">
        <v>1423</v>
      </c>
      <c r="D1615" s="88" t="s">
        <v>160</v>
      </c>
      <c r="F1615" s="70">
        <f t="shared" si="50"/>
        <v>2002</v>
      </c>
      <c r="G1615" s="70" t="s">
        <v>159</v>
      </c>
      <c r="H1615" s="70" t="str">
        <f t="shared" si="51"/>
        <v>NAN</v>
      </c>
    </row>
    <row r="1616" spans="1:8" ht="15" x14ac:dyDescent="0.25">
      <c r="A1616" s="88" t="s">
        <v>1416</v>
      </c>
      <c r="B1616" s="88">
        <v>2004</v>
      </c>
      <c r="C1616" s="89" t="s">
        <v>1422</v>
      </c>
      <c r="D1616" s="88" t="s">
        <v>160</v>
      </c>
      <c r="F1616" s="70">
        <f t="shared" si="50"/>
        <v>2004</v>
      </c>
      <c r="G1616" s="70" t="s">
        <v>159</v>
      </c>
      <c r="H1616" s="70" t="str">
        <f t="shared" si="51"/>
        <v>NAN</v>
      </c>
    </row>
    <row r="1617" spans="1:8" ht="15" x14ac:dyDescent="0.25">
      <c r="A1617" s="88" t="s">
        <v>1416</v>
      </c>
      <c r="B1617" s="88">
        <v>2004</v>
      </c>
      <c r="C1617" s="89" t="s">
        <v>1421</v>
      </c>
      <c r="D1617" s="88" t="s">
        <v>160</v>
      </c>
      <c r="F1617" s="70">
        <f t="shared" si="50"/>
        <v>2004</v>
      </c>
      <c r="G1617" s="70" t="s">
        <v>159</v>
      </c>
      <c r="H1617" s="70" t="str">
        <f t="shared" si="51"/>
        <v>NAN</v>
      </c>
    </row>
    <row r="1618" spans="1:8" ht="15" x14ac:dyDescent="0.25">
      <c r="A1618" s="88" t="s">
        <v>1416</v>
      </c>
      <c r="B1618" s="88">
        <v>2004</v>
      </c>
      <c r="C1618" s="89" t="s">
        <v>1420</v>
      </c>
      <c r="D1618" s="88" t="s">
        <v>160</v>
      </c>
      <c r="F1618" s="70">
        <f t="shared" si="50"/>
        <v>2004</v>
      </c>
      <c r="G1618" s="70" t="s">
        <v>159</v>
      </c>
      <c r="H1618" s="70" t="str">
        <f t="shared" si="51"/>
        <v>NAN</v>
      </c>
    </row>
    <row r="1619" spans="1:8" ht="15" x14ac:dyDescent="0.25">
      <c r="A1619" s="88" t="s">
        <v>1416</v>
      </c>
      <c r="B1619" s="88">
        <v>2004</v>
      </c>
      <c r="C1619" s="89" t="s">
        <v>1419</v>
      </c>
      <c r="D1619" s="88" t="s">
        <v>160</v>
      </c>
      <c r="F1619" s="70">
        <f t="shared" si="50"/>
        <v>2004</v>
      </c>
      <c r="G1619" s="70" t="s">
        <v>159</v>
      </c>
      <c r="H1619" s="70" t="str">
        <f t="shared" si="51"/>
        <v>NAN</v>
      </c>
    </row>
    <row r="1620" spans="1:8" ht="15" x14ac:dyDescent="0.25">
      <c r="A1620" s="88" t="s">
        <v>1416</v>
      </c>
      <c r="B1620" s="88">
        <v>2004</v>
      </c>
      <c r="C1620" s="89" t="s">
        <v>1418</v>
      </c>
      <c r="D1620" s="88" t="s">
        <v>160</v>
      </c>
      <c r="F1620" s="70">
        <f t="shared" si="50"/>
        <v>2004</v>
      </c>
      <c r="G1620" s="70" t="s">
        <v>159</v>
      </c>
      <c r="H1620" s="70" t="str">
        <f t="shared" si="51"/>
        <v>NAN</v>
      </c>
    </row>
    <row r="1621" spans="1:8" ht="15" x14ac:dyDescent="0.25">
      <c r="A1621" s="88" t="s">
        <v>1416</v>
      </c>
      <c r="B1621" s="88">
        <v>2004</v>
      </c>
      <c r="C1621" s="89" t="s">
        <v>1417</v>
      </c>
      <c r="D1621" s="88" t="s">
        <v>160</v>
      </c>
      <c r="F1621" s="70">
        <f t="shared" si="50"/>
        <v>2004</v>
      </c>
      <c r="G1621" s="70" t="s">
        <v>159</v>
      </c>
      <c r="H1621" s="70" t="str">
        <f t="shared" si="51"/>
        <v>NAN</v>
      </c>
    </row>
    <row r="1622" spans="1:8" ht="15" x14ac:dyDescent="0.25">
      <c r="A1622" s="88" t="s">
        <v>1416</v>
      </c>
      <c r="B1622" s="88">
        <v>2004</v>
      </c>
      <c r="C1622" s="89" t="s">
        <v>1415</v>
      </c>
      <c r="D1622" s="88" t="s">
        <v>160</v>
      </c>
      <c r="F1622" s="70">
        <f t="shared" si="50"/>
        <v>2004</v>
      </c>
      <c r="G1622" s="70" t="s">
        <v>159</v>
      </c>
      <c r="H1622" s="70" t="str">
        <f t="shared" si="51"/>
        <v>NAN</v>
      </c>
    </row>
    <row r="1623" spans="1:8" ht="15" x14ac:dyDescent="0.25">
      <c r="A1623" s="88" t="s">
        <v>164</v>
      </c>
      <c r="B1623" s="88">
        <v>1985</v>
      </c>
      <c r="C1623" s="89" t="s">
        <v>1414</v>
      </c>
      <c r="D1623" s="88" t="s">
        <v>160</v>
      </c>
      <c r="F1623" s="70">
        <f t="shared" si="50"/>
        <v>1985</v>
      </c>
      <c r="G1623" s="70" t="s">
        <v>159</v>
      </c>
      <c r="H1623" s="70" t="str">
        <f t="shared" si="51"/>
        <v>NIC</v>
      </c>
    </row>
    <row r="1624" spans="1:8" ht="15" x14ac:dyDescent="0.25">
      <c r="A1624" s="88" t="s">
        <v>164</v>
      </c>
      <c r="B1624" s="88">
        <v>1985</v>
      </c>
      <c r="C1624" s="89" t="s">
        <v>1413</v>
      </c>
      <c r="D1624" s="88" t="s">
        <v>160</v>
      </c>
      <c r="F1624" s="70">
        <f t="shared" si="50"/>
        <v>1985</v>
      </c>
      <c r="G1624" s="70" t="s">
        <v>159</v>
      </c>
      <c r="H1624" s="70" t="str">
        <f t="shared" si="51"/>
        <v>NIC</v>
      </c>
    </row>
    <row r="1625" spans="1:8" ht="15" x14ac:dyDescent="0.25">
      <c r="A1625" s="88" t="s">
        <v>164</v>
      </c>
      <c r="B1625" s="88">
        <v>1985</v>
      </c>
      <c r="C1625" s="89" t="s">
        <v>1412</v>
      </c>
      <c r="D1625" s="88" t="s">
        <v>160</v>
      </c>
      <c r="F1625" s="70">
        <f t="shared" si="50"/>
        <v>1985</v>
      </c>
      <c r="G1625" s="70" t="s">
        <v>159</v>
      </c>
      <c r="H1625" s="70" t="str">
        <f t="shared" si="51"/>
        <v>NIC</v>
      </c>
    </row>
    <row r="1626" spans="1:8" ht="15" x14ac:dyDescent="0.25">
      <c r="A1626" s="88" t="s">
        <v>164</v>
      </c>
      <c r="B1626" s="88">
        <v>1986</v>
      </c>
      <c r="C1626" s="89" t="s">
        <v>1411</v>
      </c>
      <c r="D1626" s="88" t="s">
        <v>160</v>
      </c>
      <c r="F1626" s="70">
        <f t="shared" si="50"/>
        <v>1986</v>
      </c>
      <c r="G1626" s="70" t="s">
        <v>159</v>
      </c>
      <c r="H1626" s="70" t="str">
        <f t="shared" si="51"/>
        <v>NIC</v>
      </c>
    </row>
    <row r="1627" spans="1:8" ht="15" x14ac:dyDescent="0.25">
      <c r="A1627" s="88" t="s">
        <v>164</v>
      </c>
      <c r="B1627" s="88">
        <v>1986</v>
      </c>
      <c r="C1627" s="89" t="s">
        <v>1410</v>
      </c>
      <c r="D1627" s="88" t="s">
        <v>160</v>
      </c>
      <c r="F1627" s="70">
        <f t="shared" si="50"/>
        <v>1986</v>
      </c>
      <c r="G1627" s="70" t="s">
        <v>159</v>
      </c>
      <c r="H1627" s="70" t="str">
        <f t="shared" si="51"/>
        <v>NIC</v>
      </c>
    </row>
    <row r="1628" spans="1:8" ht="15" x14ac:dyDescent="0.25">
      <c r="A1628" s="88" t="s">
        <v>164</v>
      </c>
      <c r="B1628" s="88">
        <v>1986</v>
      </c>
      <c r="C1628" s="89" t="s">
        <v>1409</v>
      </c>
      <c r="D1628" s="88" t="s">
        <v>160</v>
      </c>
      <c r="F1628" s="70">
        <f t="shared" si="50"/>
        <v>1986</v>
      </c>
      <c r="G1628" s="70" t="s">
        <v>159</v>
      </c>
      <c r="H1628" s="70" t="str">
        <f t="shared" si="51"/>
        <v>NIC</v>
      </c>
    </row>
    <row r="1629" spans="1:8" ht="15" x14ac:dyDescent="0.25">
      <c r="A1629" s="88" t="s">
        <v>164</v>
      </c>
      <c r="B1629" s="88">
        <v>1987</v>
      </c>
      <c r="C1629" s="89" t="s">
        <v>1408</v>
      </c>
      <c r="D1629" s="88" t="s">
        <v>160</v>
      </c>
      <c r="F1629" s="70">
        <f t="shared" si="50"/>
        <v>1987</v>
      </c>
      <c r="G1629" s="70" t="s">
        <v>159</v>
      </c>
      <c r="H1629" s="70" t="str">
        <f t="shared" si="51"/>
        <v>NIC</v>
      </c>
    </row>
    <row r="1630" spans="1:8" ht="15" x14ac:dyDescent="0.25">
      <c r="A1630" s="88" t="s">
        <v>164</v>
      </c>
      <c r="B1630" s="88">
        <v>1987</v>
      </c>
      <c r="C1630" s="89" t="s">
        <v>1407</v>
      </c>
      <c r="D1630" s="88" t="s">
        <v>160</v>
      </c>
      <c r="F1630" s="70">
        <f t="shared" si="50"/>
        <v>1987</v>
      </c>
      <c r="G1630" s="70" t="s">
        <v>159</v>
      </c>
      <c r="H1630" s="70" t="str">
        <f t="shared" si="51"/>
        <v>NIC</v>
      </c>
    </row>
    <row r="1631" spans="1:8" ht="15" x14ac:dyDescent="0.25">
      <c r="A1631" s="88" t="s">
        <v>164</v>
      </c>
      <c r="B1631" s="88">
        <v>1987</v>
      </c>
      <c r="C1631" s="89" t="s">
        <v>1406</v>
      </c>
      <c r="D1631" s="88" t="s">
        <v>160</v>
      </c>
      <c r="F1631" s="70">
        <f t="shared" si="50"/>
        <v>1987</v>
      </c>
      <c r="G1631" s="70" t="s">
        <v>159</v>
      </c>
      <c r="H1631" s="70" t="str">
        <f t="shared" si="51"/>
        <v>NIC</v>
      </c>
    </row>
    <row r="1632" spans="1:8" ht="15" x14ac:dyDescent="0.25">
      <c r="A1632" s="88" t="s">
        <v>164</v>
      </c>
      <c r="B1632" s="88">
        <v>1988</v>
      </c>
      <c r="C1632" s="89" t="s">
        <v>1405</v>
      </c>
      <c r="D1632" s="88" t="s">
        <v>160</v>
      </c>
      <c r="F1632" s="70">
        <f t="shared" si="50"/>
        <v>1988</v>
      </c>
      <c r="G1632" s="70" t="s">
        <v>159</v>
      </c>
      <c r="H1632" s="70" t="str">
        <f t="shared" si="51"/>
        <v>NIC</v>
      </c>
    </row>
    <row r="1633" spans="1:8" ht="15" x14ac:dyDescent="0.25">
      <c r="A1633" s="88" t="s">
        <v>164</v>
      </c>
      <c r="B1633" s="88">
        <v>1988</v>
      </c>
      <c r="C1633" s="89" t="s">
        <v>1404</v>
      </c>
      <c r="D1633" s="88" t="s">
        <v>160</v>
      </c>
      <c r="F1633" s="70">
        <f t="shared" si="50"/>
        <v>1988</v>
      </c>
      <c r="G1633" s="70" t="s">
        <v>159</v>
      </c>
      <c r="H1633" s="70" t="str">
        <f t="shared" si="51"/>
        <v>NIC</v>
      </c>
    </row>
    <row r="1634" spans="1:8" ht="15" x14ac:dyDescent="0.25">
      <c r="A1634" s="88" t="s">
        <v>164</v>
      </c>
      <c r="B1634" s="88">
        <v>1988</v>
      </c>
      <c r="C1634" s="89" t="s">
        <v>1403</v>
      </c>
      <c r="D1634" s="88" t="s">
        <v>160</v>
      </c>
      <c r="F1634" s="70">
        <f t="shared" si="50"/>
        <v>1988</v>
      </c>
      <c r="G1634" s="70" t="s">
        <v>159</v>
      </c>
      <c r="H1634" s="70" t="str">
        <f t="shared" si="51"/>
        <v>NIC</v>
      </c>
    </row>
    <row r="1635" spans="1:8" ht="15" x14ac:dyDescent="0.25">
      <c r="A1635" s="88" t="s">
        <v>164</v>
      </c>
      <c r="B1635" s="88">
        <v>1988</v>
      </c>
      <c r="C1635" s="89" t="s">
        <v>1402</v>
      </c>
      <c r="D1635" s="88" t="s">
        <v>160</v>
      </c>
      <c r="F1635" s="70">
        <f t="shared" si="50"/>
        <v>1988</v>
      </c>
      <c r="G1635" s="70" t="s">
        <v>159</v>
      </c>
      <c r="H1635" s="70" t="str">
        <f t="shared" si="51"/>
        <v>NIC</v>
      </c>
    </row>
    <row r="1636" spans="1:8" ht="15" x14ac:dyDescent="0.25">
      <c r="A1636" s="88" t="s">
        <v>164</v>
      </c>
      <c r="B1636" s="88">
        <v>1989</v>
      </c>
      <c r="C1636" s="89" t="s">
        <v>1401</v>
      </c>
      <c r="D1636" s="88" t="s">
        <v>160</v>
      </c>
      <c r="F1636" s="70">
        <f t="shared" si="50"/>
        <v>1989</v>
      </c>
      <c r="G1636" s="70" t="s">
        <v>159</v>
      </c>
      <c r="H1636" s="70" t="str">
        <f t="shared" si="51"/>
        <v>NIC</v>
      </c>
    </row>
    <row r="1637" spans="1:8" ht="15" x14ac:dyDescent="0.25">
      <c r="A1637" s="88" t="s">
        <v>164</v>
      </c>
      <c r="B1637" s="88">
        <v>1989</v>
      </c>
      <c r="C1637" s="89" t="s">
        <v>1400</v>
      </c>
      <c r="D1637" s="88" t="s">
        <v>160</v>
      </c>
      <c r="F1637" s="70">
        <f t="shared" si="50"/>
        <v>1989</v>
      </c>
      <c r="G1637" s="70" t="s">
        <v>159</v>
      </c>
      <c r="H1637" s="70" t="str">
        <f t="shared" si="51"/>
        <v>NIC</v>
      </c>
    </row>
    <row r="1638" spans="1:8" ht="15" x14ac:dyDescent="0.25">
      <c r="A1638" s="88" t="s">
        <v>164</v>
      </c>
      <c r="B1638" s="88">
        <v>1989</v>
      </c>
      <c r="C1638" s="89" t="s">
        <v>1399</v>
      </c>
      <c r="D1638" s="88" t="s">
        <v>160</v>
      </c>
      <c r="F1638" s="70">
        <f t="shared" si="50"/>
        <v>1989</v>
      </c>
      <c r="G1638" s="70" t="s">
        <v>159</v>
      </c>
      <c r="H1638" s="70" t="str">
        <f t="shared" si="51"/>
        <v>NIC</v>
      </c>
    </row>
    <row r="1639" spans="1:8" ht="15" x14ac:dyDescent="0.25">
      <c r="A1639" s="88" t="s">
        <v>164</v>
      </c>
      <c r="B1639" s="88">
        <v>1989</v>
      </c>
      <c r="C1639" s="89" t="s">
        <v>1398</v>
      </c>
      <c r="D1639" s="88" t="s">
        <v>160</v>
      </c>
      <c r="F1639" s="70">
        <f t="shared" si="50"/>
        <v>1989</v>
      </c>
      <c r="G1639" s="70" t="s">
        <v>159</v>
      </c>
      <c r="H1639" s="70" t="str">
        <f t="shared" si="51"/>
        <v>NIC</v>
      </c>
    </row>
    <row r="1640" spans="1:8" ht="15" x14ac:dyDescent="0.25">
      <c r="A1640" s="88" t="s">
        <v>164</v>
      </c>
      <c r="B1640" s="88">
        <v>1990</v>
      </c>
      <c r="C1640" s="89" t="s">
        <v>1397</v>
      </c>
      <c r="D1640" s="88" t="s">
        <v>160</v>
      </c>
      <c r="F1640" s="70">
        <f t="shared" si="50"/>
        <v>1990</v>
      </c>
      <c r="G1640" s="70" t="s">
        <v>159</v>
      </c>
      <c r="H1640" s="70" t="str">
        <f t="shared" si="51"/>
        <v>NIC</v>
      </c>
    </row>
    <row r="1641" spans="1:8" ht="15" x14ac:dyDescent="0.25">
      <c r="A1641" s="88" t="s">
        <v>164</v>
      </c>
      <c r="B1641" s="88">
        <v>1990</v>
      </c>
      <c r="C1641" s="89" t="s">
        <v>1396</v>
      </c>
      <c r="D1641" s="88" t="s">
        <v>160</v>
      </c>
      <c r="F1641" s="70">
        <f t="shared" si="50"/>
        <v>1990</v>
      </c>
      <c r="G1641" s="70" t="s">
        <v>159</v>
      </c>
      <c r="H1641" s="70" t="str">
        <f t="shared" si="51"/>
        <v>NIC</v>
      </c>
    </row>
    <row r="1642" spans="1:8" ht="15" x14ac:dyDescent="0.25">
      <c r="A1642" s="88" t="s">
        <v>164</v>
      </c>
      <c r="B1642" s="88">
        <v>1990</v>
      </c>
      <c r="C1642" s="89" t="s">
        <v>1395</v>
      </c>
      <c r="D1642" s="88" t="s">
        <v>160</v>
      </c>
      <c r="F1642" s="70">
        <f t="shared" si="50"/>
        <v>1990</v>
      </c>
      <c r="G1642" s="70" t="s">
        <v>159</v>
      </c>
      <c r="H1642" s="70" t="str">
        <f t="shared" si="51"/>
        <v>NIC</v>
      </c>
    </row>
    <row r="1643" spans="1:8" ht="15" x14ac:dyDescent="0.25">
      <c r="A1643" s="88" t="s">
        <v>164</v>
      </c>
      <c r="B1643" s="88">
        <v>1991</v>
      </c>
      <c r="C1643" s="89" t="s">
        <v>1394</v>
      </c>
      <c r="D1643" s="88" t="s">
        <v>160</v>
      </c>
      <c r="F1643" s="70">
        <f t="shared" si="50"/>
        <v>1991</v>
      </c>
      <c r="G1643" s="70" t="s">
        <v>159</v>
      </c>
      <c r="H1643" s="70" t="str">
        <f t="shared" si="51"/>
        <v>NIC</v>
      </c>
    </row>
    <row r="1644" spans="1:8" ht="15" x14ac:dyDescent="0.25">
      <c r="A1644" s="88" t="s">
        <v>164</v>
      </c>
      <c r="B1644" s="88">
        <v>1992</v>
      </c>
      <c r="C1644" s="89" t="s">
        <v>1393</v>
      </c>
      <c r="D1644" s="88" t="s">
        <v>160</v>
      </c>
      <c r="F1644" s="70">
        <f t="shared" si="50"/>
        <v>1992</v>
      </c>
      <c r="G1644" s="70" t="s">
        <v>159</v>
      </c>
      <c r="H1644" s="70" t="str">
        <f t="shared" si="51"/>
        <v>NIC</v>
      </c>
    </row>
    <row r="1645" spans="1:8" ht="15" x14ac:dyDescent="0.25">
      <c r="A1645" s="88" t="s">
        <v>164</v>
      </c>
      <c r="B1645" s="88">
        <v>1993</v>
      </c>
      <c r="C1645" s="89" t="s">
        <v>1392</v>
      </c>
      <c r="D1645" s="88" t="s">
        <v>160</v>
      </c>
      <c r="F1645" s="70">
        <f t="shared" si="50"/>
        <v>1993</v>
      </c>
      <c r="G1645" s="70" t="s">
        <v>159</v>
      </c>
      <c r="H1645" s="70" t="str">
        <f t="shared" si="51"/>
        <v>NIC</v>
      </c>
    </row>
    <row r="1646" spans="1:8" ht="15" x14ac:dyDescent="0.25">
      <c r="A1646" s="88" t="s">
        <v>164</v>
      </c>
      <c r="B1646" s="88">
        <v>1993</v>
      </c>
      <c r="C1646" s="89" t="s">
        <v>1391</v>
      </c>
      <c r="D1646" s="88" t="s">
        <v>160</v>
      </c>
      <c r="F1646" s="70">
        <f t="shared" si="50"/>
        <v>1993</v>
      </c>
      <c r="G1646" s="70" t="s">
        <v>159</v>
      </c>
      <c r="H1646" s="70" t="str">
        <f t="shared" si="51"/>
        <v>NIC</v>
      </c>
    </row>
    <row r="1647" spans="1:8" ht="15" x14ac:dyDescent="0.25">
      <c r="A1647" s="88" t="s">
        <v>164</v>
      </c>
      <c r="B1647" s="88">
        <v>1993</v>
      </c>
      <c r="C1647" s="89" t="s">
        <v>1390</v>
      </c>
      <c r="D1647" s="88" t="s">
        <v>160</v>
      </c>
      <c r="F1647" s="70">
        <f t="shared" si="50"/>
        <v>1993</v>
      </c>
      <c r="G1647" s="70" t="s">
        <v>159</v>
      </c>
      <c r="H1647" s="70" t="str">
        <f t="shared" si="51"/>
        <v>NIC</v>
      </c>
    </row>
    <row r="1648" spans="1:8" ht="15" x14ac:dyDescent="0.25">
      <c r="A1648" s="88" t="s">
        <v>164</v>
      </c>
      <c r="B1648" s="88">
        <v>1994</v>
      </c>
      <c r="C1648" s="89" t="s">
        <v>1389</v>
      </c>
      <c r="D1648" s="88" t="s">
        <v>160</v>
      </c>
      <c r="F1648" s="70">
        <f t="shared" si="50"/>
        <v>1994</v>
      </c>
      <c r="G1648" s="70" t="s">
        <v>159</v>
      </c>
      <c r="H1648" s="70" t="str">
        <f t="shared" si="51"/>
        <v>NIC</v>
      </c>
    </row>
    <row r="1649" spans="1:8" ht="15" x14ac:dyDescent="0.25">
      <c r="A1649" s="88" t="s">
        <v>164</v>
      </c>
      <c r="B1649" s="88">
        <v>1994</v>
      </c>
      <c r="C1649" s="89" t="s">
        <v>1388</v>
      </c>
      <c r="D1649" s="88" t="s">
        <v>160</v>
      </c>
      <c r="F1649" s="70">
        <f t="shared" si="50"/>
        <v>1994</v>
      </c>
      <c r="G1649" s="70" t="s">
        <v>159</v>
      </c>
      <c r="H1649" s="70" t="str">
        <f t="shared" si="51"/>
        <v>NIC</v>
      </c>
    </row>
    <row r="1650" spans="1:8" ht="15" x14ac:dyDescent="0.25">
      <c r="A1650" s="88" t="s">
        <v>164</v>
      </c>
      <c r="B1650" s="88">
        <v>1995</v>
      </c>
      <c r="C1650" s="89" t="s">
        <v>1387</v>
      </c>
      <c r="D1650" s="88" t="s">
        <v>160</v>
      </c>
      <c r="F1650" s="70">
        <f t="shared" si="50"/>
        <v>1995</v>
      </c>
      <c r="G1650" s="70" t="s">
        <v>159</v>
      </c>
      <c r="H1650" s="70" t="str">
        <f t="shared" si="51"/>
        <v>NIC</v>
      </c>
    </row>
    <row r="1651" spans="1:8" ht="15" x14ac:dyDescent="0.25">
      <c r="A1651" s="88" t="s">
        <v>164</v>
      </c>
      <c r="B1651" s="88">
        <v>1995</v>
      </c>
      <c r="C1651" s="89" t="s">
        <v>1386</v>
      </c>
      <c r="D1651" s="88" t="s">
        <v>160</v>
      </c>
      <c r="F1651" s="70">
        <f t="shared" si="50"/>
        <v>1995</v>
      </c>
      <c r="G1651" s="70" t="s">
        <v>159</v>
      </c>
      <c r="H1651" s="70" t="str">
        <f t="shared" si="51"/>
        <v>NIC</v>
      </c>
    </row>
    <row r="1652" spans="1:8" ht="15" x14ac:dyDescent="0.25">
      <c r="A1652" s="88" t="s">
        <v>164</v>
      </c>
      <c r="B1652" s="88">
        <v>1996</v>
      </c>
      <c r="C1652" s="89" t="s">
        <v>1385</v>
      </c>
      <c r="D1652" s="88" t="s">
        <v>160</v>
      </c>
      <c r="F1652" s="70">
        <f t="shared" si="50"/>
        <v>1996</v>
      </c>
      <c r="G1652" s="70" t="s">
        <v>159</v>
      </c>
      <c r="H1652" s="70" t="str">
        <f t="shared" si="51"/>
        <v>NIC</v>
      </c>
    </row>
    <row r="1653" spans="1:8" ht="15" x14ac:dyDescent="0.25">
      <c r="A1653" s="88" t="s">
        <v>164</v>
      </c>
      <c r="B1653" s="88">
        <v>1996</v>
      </c>
      <c r="C1653" s="89" t="s">
        <v>1384</v>
      </c>
      <c r="D1653" s="88" t="s">
        <v>160</v>
      </c>
      <c r="F1653" s="70">
        <f t="shared" si="50"/>
        <v>1996</v>
      </c>
      <c r="G1653" s="70" t="s">
        <v>159</v>
      </c>
      <c r="H1653" s="70" t="str">
        <f t="shared" si="51"/>
        <v>NIC</v>
      </c>
    </row>
    <row r="1654" spans="1:8" ht="15" x14ac:dyDescent="0.25">
      <c r="A1654" s="88" t="s">
        <v>164</v>
      </c>
      <c r="B1654" s="88">
        <v>1997</v>
      </c>
      <c r="C1654" s="89" t="s">
        <v>1383</v>
      </c>
      <c r="D1654" s="88" t="s">
        <v>160</v>
      </c>
      <c r="F1654" s="70">
        <f t="shared" si="50"/>
        <v>1997</v>
      </c>
      <c r="G1654" s="70" t="s">
        <v>159</v>
      </c>
      <c r="H1654" s="70" t="str">
        <f t="shared" si="51"/>
        <v>NIC</v>
      </c>
    </row>
    <row r="1655" spans="1:8" ht="15" x14ac:dyDescent="0.25">
      <c r="A1655" s="88" t="s">
        <v>164</v>
      </c>
      <c r="B1655" s="88">
        <v>1997</v>
      </c>
      <c r="C1655" s="89" t="s">
        <v>1382</v>
      </c>
      <c r="D1655" s="88" t="s">
        <v>160</v>
      </c>
      <c r="F1655" s="70">
        <f t="shared" si="50"/>
        <v>1997</v>
      </c>
      <c r="G1655" s="70" t="s">
        <v>159</v>
      </c>
      <c r="H1655" s="70" t="str">
        <f t="shared" si="51"/>
        <v>NIC</v>
      </c>
    </row>
    <row r="1656" spans="1:8" ht="15" x14ac:dyDescent="0.25">
      <c r="A1656" s="88" t="s">
        <v>164</v>
      </c>
      <c r="B1656" s="88">
        <v>1998</v>
      </c>
      <c r="C1656" s="89" t="s">
        <v>1381</v>
      </c>
      <c r="D1656" s="88" t="s">
        <v>160</v>
      </c>
      <c r="F1656" s="70">
        <f t="shared" si="50"/>
        <v>1998</v>
      </c>
      <c r="G1656" s="70" t="s">
        <v>159</v>
      </c>
      <c r="H1656" s="70" t="str">
        <f t="shared" si="51"/>
        <v>NIC</v>
      </c>
    </row>
    <row r="1657" spans="1:8" ht="15" x14ac:dyDescent="0.25">
      <c r="A1657" s="88" t="s">
        <v>164</v>
      </c>
      <c r="B1657" s="88">
        <v>1998</v>
      </c>
      <c r="C1657" s="89" t="s">
        <v>1380</v>
      </c>
      <c r="D1657" s="88" t="s">
        <v>160</v>
      </c>
      <c r="F1657" s="70">
        <f t="shared" si="50"/>
        <v>1998</v>
      </c>
      <c r="G1657" s="70" t="s">
        <v>159</v>
      </c>
      <c r="H1657" s="70" t="str">
        <f t="shared" si="51"/>
        <v>NIC</v>
      </c>
    </row>
    <row r="1658" spans="1:8" ht="15" x14ac:dyDescent="0.25">
      <c r="A1658" s="88" t="s">
        <v>164</v>
      </c>
      <c r="B1658" s="88">
        <v>1999</v>
      </c>
      <c r="C1658" s="89" t="s">
        <v>1379</v>
      </c>
      <c r="D1658" s="88" t="s">
        <v>160</v>
      </c>
      <c r="F1658" s="70">
        <f t="shared" si="50"/>
        <v>1999</v>
      </c>
      <c r="G1658" s="70" t="s">
        <v>159</v>
      </c>
      <c r="H1658" s="70" t="str">
        <f t="shared" si="51"/>
        <v>NIC</v>
      </c>
    </row>
    <row r="1659" spans="1:8" ht="15" x14ac:dyDescent="0.25">
      <c r="A1659" s="88" t="s">
        <v>164</v>
      </c>
      <c r="B1659" s="88">
        <v>1999</v>
      </c>
      <c r="C1659" s="89" t="s">
        <v>1378</v>
      </c>
      <c r="D1659" s="88" t="s">
        <v>160</v>
      </c>
      <c r="F1659" s="70">
        <f t="shared" si="50"/>
        <v>1999</v>
      </c>
      <c r="G1659" s="70" t="s">
        <v>159</v>
      </c>
      <c r="H1659" s="70" t="str">
        <f t="shared" si="51"/>
        <v>NIC</v>
      </c>
    </row>
    <row r="1660" spans="1:8" ht="15" x14ac:dyDescent="0.25">
      <c r="A1660" s="88" t="s">
        <v>164</v>
      </c>
      <c r="B1660" s="88">
        <v>1999</v>
      </c>
      <c r="C1660" s="89" t="s">
        <v>1377</v>
      </c>
      <c r="D1660" s="88" t="s">
        <v>160</v>
      </c>
      <c r="F1660" s="70">
        <f t="shared" si="50"/>
        <v>1999</v>
      </c>
      <c r="G1660" s="70" t="s">
        <v>159</v>
      </c>
      <c r="H1660" s="70" t="str">
        <f t="shared" si="51"/>
        <v>NIC</v>
      </c>
    </row>
    <row r="1661" spans="1:8" ht="15" x14ac:dyDescent="0.25">
      <c r="A1661" s="88" t="s">
        <v>164</v>
      </c>
      <c r="B1661" s="88">
        <v>2000</v>
      </c>
      <c r="C1661" s="89" t="s">
        <v>1376</v>
      </c>
      <c r="D1661" s="88" t="s">
        <v>160</v>
      </c>
      <c r="F1661" s="70">
        <f t="shared" si="50"/>
        <v>2000</v>
      </c>
      <c r="G1661" s="70" t="s">
        <v>159</v>
      </c>
      <c r="H1661" s="70" t="str">
        <f t="shared" si="51"/>
        <v>NIC</v>
      </c>
    </row>
    <row r="1662" spans="1:8" ht="15" x14ac:dyDescent="0.25">
      <c r="A1662" s="88" t="s">
        <v>164</v>
      </c>
      <c r="B1662" s="88">
        <v>2000</v>
      </c>
      <c r="C1662" s="89" t="s">
        <v>1375</v>
      </c>
      <c r="D1662" s="88" t="s">
        <v>160</v>
      </c>
      <c r="F1662" s="70">
        <f t="shared" si="50"/>
        <v>2000</v>
      </c>
      <c r="G1662" s="70" t="s">
        <v>159</v>
      </c>
      <c r="H1662" s="70" t="str">
        <f t="shared" si="51"/>
        <v>NIC</v>
      </c>
    </row>
    <row r="1663" spans="1:8" ht="15" x14ac:dyDescent="0.25">
      <c r="A1663" s="88" t="s">
        <v>164</v>
      </c>
      <c r="B1663" s="88">
        <v>2000</v>
      </c>
      <c r="C1663" s="89" t="s">
        <v>1374</v>
      </c>
      <c r="D1663" s="88" t="s">
        <v>160</v>
      </c>
      <c r="F1663" s="70">
        <f t="shared" si="50"/>
        <v>2000</v>
      </c>
      <c r="G1663" s="70" t="s">
        <v>159</v>
      </c>
      <c r="H1663" s="70" t="str">
        <f t="shared" si="51"/>
        <v>NIC</v>
      </c>
    </row>
    <row r="1664" spans="1:8" ht="15" x14ac:dyDescent="0.25">
      <c r="A1664" s="88" t="s">
        <v>164</v>
      </c>
      <c r="B1664" s="88">
        <v>2001</v>
      </c>
      <c r="C1664" s="89" t="s">
        <v>1373</v>
      </c>
      <c r="D1664" s="88" t="s">
        <v>160</v>
      </c>
      <c r="F1664" s="70">
        <f t="shared" si="50"/>
        <v>2001</v>
      </c>
      <c r="G1664" s="70" t="s">
        <v>159</v>
      </c>
      <c r="H1664" s="70" t="str">
        <f t="shared" si="51"/>
        <v>NIC</v>
      </c>
    </row>
    <row r="1665" spans="1:8" ht="15" x14ac:dyDescent="0.25">
      <c r="A1665" s="88" t="s">
        <v>164</v>
      </c>
      <c r="B1665" s="88">
        <v>2001</v>
      </c>
      <c r="C1665" s="89" t="s">
        <v>1372</v>
      </c>
      <c r="D1665" s="88" t="s">
        <v>160</v>
      </c>
      <c r="F1665" s="70">
        <f t="shared" si="50"/>
        <v>2001</v>
      </c>
      <c r="G1665" s="70" t="s">
        <v>159</v>
      </c>
      <c r="H1665" s="70" t="str">
        <f t="shared" si="51"/>
        <v>NIC</v>
      </c>
    </row>
    <row r="1666" spans="1:8" ht="15" x14ac:dyDescent="0.25">
      <c r="A1666" s="88" t="s">
        <v>164</v>
      </c>
      <c r="B1666" s="88">
        <v>2001</v>
      </c>
      <c r="C1666" s="89" t="s">
        <v>1371</v>
      </c>
      <c r="D1666" s="88" t="s">
        <v>160</v>
      </c>
      <c r="F1666" s="70">
        <f t="shared" si="50"/>
        <v>2001</v>
      </c>
      <c r="G1666" s="70" t="s">
        <v>159</v>
      </c>
      <c r="H1666" s="70" t="str">
        <f t="shared" si="51"/>
        <v>NIC</v>
      </c>
    </row>
    <row r="1667" spans="1:8" ht="15" x14ac:dyDescent="0.25">
      <c r="A1667" s="88" t="s">
        <v>164</v>
      </c>
      <c r="B1667" s="88">
        <v>2002</v>
      </c>
      <c r="C1667" s="89" t="s">
        <v>1370</v>
      </c>
      <c r="D1667" s="88" t="s">
        <v>160</v>
      </c>
      <c r="F1667" s="70">
        <f t="shared" si="50"/>
        <v>2002</v>
      </c>
      <c r="G1667" s="70" t="s">
        <v>159</v>
      </c>
      <c r="H1667" s="70" t="str">
        <f t="shared" si="51"/>
        <v>NIC</v>
      </c>
    </row>
    <row r="1668" spans="1:8" ht="15" x14ac:dyDescent="0.25">
      <c r="A1668" s="88" t="s">
        <v>164</v>
      </c>
      <c r="B1668" s="88">
        <v>2002</v>
      </c>
      <c r="C1668" s="89" t="s">
        <v>1369</v>
      </c>
      <c r="D1668" s="88" t="s">
        <v>160</v>
      </c>
      <c r="F1668" s="70">
        <f t="shared" si="50"/>
        <v>2002</v>
      </c>
      <c r="G1668" s="70" t="s">
        <v>159</v>
      </c>
      <c r="H1668" s="70" t="str">
        <f t="shared" si="51"/>
        <v>NIC</v>
      </c>
    </row>
    <row r="1669" spans="1:8" ht="15" x14ac:dyDescent="0.25">
      <c r="A1669" s="88" t="s">
        <v>164</v>
      </c>
      <c r="B1669" s="88">
        <v>2003</v>
      </c>
      <c r="C1669" s="89" t="s">
        <v>1368</v>
      </c>
      <c r="D1669" s="88" t="s">
        <v>160</v>
      </c>
      <c r="F1669" s="70">
        <f t="shared" si="50"/>
        <v>2003</v>
      </c>
      <c r="G1669" s="70" t="s">
        <v>159</v>
      </c>
      <c r="H1669" s="70" t="str">
        <f t="shared" si="51"/>
        <v>NIC</v>
      </c>
    </row>
    <row r="1670" spans="1:8" ht="15" x14ac:dyDescent="0.25">
      <c r="A1670" s="88" t="s">
        <v>164</v>
      </c>
      <c r="B1670" s="88">
        <v>2003</v>
      </c>
      <c r="C1670" s="89" t="s">
        <v>1367</v>
      </c>
      <c r="D1670" s="88" t="s">
        <v>160</v>
      </c>
      <c r="F1670" s="70">
        <f t="shared" si="50"/>
        <v>2003</v>
      </c>
      <c r="G1670" s="70" t="s">
        <v>159</v>
      </c>
      <c r="H1670" s="70" t="str">
        <f t="shared" si="51"/>
        <v>NIC</v>
      </c>
    </row>
    <row r="1671" spans="1:8" ht="15" x14ac:dyDescent="0.25">
      <c r="A1671" s="88" t="s">
        <v>164</v>
      </c>
      <c r="B1671" s="88">
        <v>2003</v>
      </c>
      <c r="C1671" s="89" t="s">
        <v>1366</v>
      </c>
      <c r="D1671" s="88" t="s">
        <v>160</v>
      </c>
      <c r="F1671" s="70">
        <f t="shared" si="50"/>
        <v>2003</v>
      </c>
      <c r="G1671" s="70" t="s">
        <v>159</v>
      </c>
      <c r="H1671" s="70" t="str">
        <f t="shared" si="51"/>
        <v>NIC</v>
      </c>
    </row>
    <row r="1672" spans="1:8" ht="15" x14ac:dyDescent="0.25">
      <c r="A1672" s="88" t="s">
        <v>164</v>
      </c>
      <c r="B1672" s="88">
        <v>2003</v>
      </c>
      <c r="C1672" s="89" t="s">
        <v>1365</v>
      </c>
      <c r="D1672" s="88" t="s">
        <v>160</v>
      </c>
      <c r="F1672" s="70">
        <f t="shared" ref="F1672:F1735" si="52">+B1672</f>
        <v>2003</v>
      </c>
      <c r="G1672" s="70" t="s">
        <v>159</v>
      </c>
      <c r="H1672" s="70" t="str">
        <f t="shared" ref="H1672:H1735" si="53">A1672</f>
        <v>NIC</v>
      </c>
    </row>
    <row r="1673" spans="1:8" ht="15" x14ac:dyDescent="0.25">
      <c r="A1673" s="88" t="s">
        <v>164</v>
      </c>
      <c r="B1673" s="88">
        <v>2003</v>
      </c>
      <c r="C1673" s="89" t="s">
        <v>1364</v>
      </c>
      <c r="D1673" s="88" t="s">
        <v>160</v>
      </c>
      <c r="F1673" s="70">
        <f t="shared" si="52"/>
        <v>2003</v>
      </c>
      <c r="G1673" s="70" t="s">
        <v>159</v>
      </c>
      <c r="H1673" s="70" t="str">
        <f t="shared" si="53"/>
        <v>NIC</v>
      </c>
    </row>
    <row r="1674" spans="1:8" ht="15" x14ac:dyDescent="0.25">
      <c r="A1674" s="88" t="s">
        <v>164</v>
      </c>
      <c r="B1674" s="88">
        <v>2004</v>
      </c>
      <c r="C1674" s="89" t="s">
        <v>1363</v>
      </c>
      <c r="D1674" s="88" t="s">
        <v>160</v>
      </c>
      <c r="F1674" s="70">
        <f t="shared" si="52"/>
        <v>2004</v>
      </c>
      <c r="G1674" s="70" t="s">
        <v>159</v>
      </c>
      <c r="H1674" s="70" t="str">
        <f t="shared" si="53"/>
        <v>NIC</v>
      </c>
    </row>
    <row r="1675" spans="1:8" ht="15" x14ac:dyDescent="0.25">
      <c r="A1675" s="88" t="s">
        <v>164</v>
      </c>
      <c r="B1675" s="88">
        <v>2004</v>
      </c>
      <c r="C1675" s="89" t="s">
        <v>1362</v>
      </c>
      <c r="D1675" s="88" t="s">
        <v>160</v>
      </c>
      <c r="F1675" s="70">
        <f t="shared" si="52"/>
        <v>2004</v>
      </c>
      <c r="G1675" s="70" t="s">
        <v>159</v>
      </c>
      <c r="H1675" s="70" t="str">
        <f t="shared" si="53"/>
        <v>NIC</v>
      </c>
    </row>
    <row r="1676" spans="1:8" ht="15" x14ac:dyDescent="0.25">
      <c r="A1676" s="88" t="s">
        <v>164</v>
      </c>
      <c r="B1676" s="88">
        <v>2004</v>
      </c>
      <c r="C1676" s="89" t="s">
        <v>1361</v>
      </c>
      <c r="D1676" s="88" t="s">
        <v>160</v>
      </c>
      <c r="F1676" s="70">
        <f t="shared" si="52"/>
        <v>2004</v>
      </c>
      <c r="G1676" s="70" t="s">
        <v>159</v>
      </c>
      <c r="H1676" s="70" t="str">
        <f t="shared" si="53"/>
        <v>NIC</v>
      </c>
    </row>
    <row r="1677" spans="1:8" ht="15" x14ac:dyDescent="0.25">
      <c r="A1677" s="88" t="s">
        <v>164</v>
      </c>
      <c r="B1677" s="88">
        <v>2005</v>
      </c>
      <c r="C1677" s="89" t="s">
        <v>1360</v>
      </c>
      <c r="D1677" s="88" t="s">
        <v>160</v>
      </c>
      <c r="F1677" s="70">
        <f t="shared" si="52"/>
        <v>2005</v>
      </c>
      <c r="G1677" s="70" t="s">
        <v>159</v>
      </c>
      <c r="H1677" s="70" t="str">
        <f t="shared" si="53"/>
        <v>NIC</v>
      </c>
    </row>
    <row r="1678" spans="1:8" ht="15" x14ac:dyDescent="0.25">
      <c r="A1678" s="88" t="s">
        <v>164</v>
      </c>
      <c r="B1678" s="88">
        <v>2005</v>
      </c>
      <c r="C1678" s="89" t="s">
        <v>1359</v>
      </c>
      <c r="D1678" s="88" t="s">
        <v>160</v>
      </c>
      <c r="F1678" s="70">
        <f t="shared" si="52"/>
        <v>2005</v>
      </c>
      <c r="G1678" s="70" t="s">
        <v>159</v>
      </c>
      <c r="H1678" s="70" t="str">
        <f t="shared" si="53"/>
        <v>NIC</v>
      </c>
    </row>
    <row r="1679" spans="1:8" ht="15" x14ac:dyDescent="0.25">
      <c r="A1679" s="88" t="s">
        <v>164</v>
      </c>
      <c r="B1679" s="88">
        <v>2005</v>
      </c>
      <c r="C1679" s="89" t="s">
        <v>1358</v>
      </c>
      <c r="D1679" s="88" t="s">
        <v>160</v>
      </c>
      <c r="F1679" s="70">
        <f t="shared" si="52"/>
        <v>2005</v>
      </c>
      <c r="G1679" s="70" t="s">
        <v>159</v>
      </c>
      <c r="H1679" s="70" t="str">
        <f t="shared" si="53"/>
        <v>NIC</v>
      </c>
    </row>
    <row r="1680" spans="1:8" ht="15" x14ac:dyDescent="0.25">
      <c r="A1680" s="88" t="s">
        <v>164</v>
      </c>
      <c r="B1680" s="88">
        <v>2005</v>
      </c>
      <c r="C1680" s="89" t="s">
        <v>1357</v>
      </c>
      <c r="D1680" s="88" t="s">
        <v>160</v>
      </c>
      <c r="F1680" s="70">
        <f t="shared" si="52"/>
        <v>2005</v>
      </c>
      <c r="G1680" s="70" t="s">
        <v>159</v>
      </c>
      <c r="H1680" s="70" t="str">
        <f t="shared" si="53"/>
        <v>NIC</v>
      </c>
    </row>
    <row r="1681" spans="1:8" ht="15" x14ac:dyDescent="0.25">
      <c r="A1681" s="88" t="s">
        <v>164</v>
      </c>
      <c r="B1681" s="88">
        <v>2005</v>
      </c>
      <c r="C1681" s="89" t="s">
        <v>1356</v>
      </c>
      <c r="D1681" s="88" t="s">
        <v>160</v>
      </c>
      <c r="F1681" s="70">
        <f t="shared" si="52"/>
        <v>2005</v>
      </c>
      <c r="G1681" s="70" t="s">
        <v>159</v>
      </c>
      <c r="H1681" s="70" t="str">
        <f t="shared" si="53"/>
        <v>NIC</v>
      </c>
    </row>
    <row r="1682" spans="1:8" ht="15" x14ac:dyDescent="0.25">
      <c r="A1682" s="88" t="s">
        <v>164</v>
      </c>
      <c r="B1682" s="88">
        <v>2006</v>
      </c>
      <c r="C1682" s="89" t="s">
        <v>1355</v>
      </c>
      <c r="D1682" s="88" t="s">
        <v>160</v>
      </c>
      <c r="F1682" s="70">
        <f t="shared" si="52"/>
        <v>2006</v>
      </c>
      <c r="G1682" s="70" t="s">
        <v>159</v>
      </c>
      <c r="H1682" s="70" t="str">
        <f t="shared" si="53"/>
        <v>NIC</v>
      </c>
    </row>
    <row r="1683" spans="1:8" ht="15" x14ac:dyDescent="0.25">
      <c r="A1683" s="88" t="s">
        <v>164</v>
      </c>
      <c r="B1683" s="88">
        <v>2006</v>
      </c>
      <c r="C1683" s="89" t="s">
        <v>1354</v>
      </c>
      <c r="D1683" s="88" t="s">
        <v>160</v>
      </c>
      <c r="F1683" s="70">
        <f t="shared" si="52"/>
        <v>2006</v>
      </c>
      <c r="G1683" s="70" t="s">
        <v>159</v>
      </c>
      <c r="H1683" s="70" t="str">
        <f t="shared" si="53"/>
        <v>NIC</v>
      </c>
    </row>
    <row r="1684" spans="1:8" ht="15" x14ac:dyDescent="0.25">
      <c r="A1684" s="88" t="s">
        <v>164</v>
      </c>
      <c r="B1684" s="88">
        <v>2006</v>
      </c>
      <c r="C1684" s="89" t="s">
        <v>1353</v>
      </c>
      <c r="D1684" s="88" t="s">
        <v>160</v>
      </c>
      <c r="F1684" s="70">
        <f t="shared" si="52"/>
        <v>2006</v>
      </c>
      <c r="G1684" s="70" t="s">
        <v>159</v>
      </c>
      <c r="H1684" s="70" t="str">
        <f t="shared" si="53"/>
        <v>NIC</v>
      </c>
    </row>
    <row r="1685" spans="1:8" ht="15" x14ac:dyDescent="0.25">
      <c r="A1685" s="88" t="s">
        <v>164</v>
      </c>
      <c r="B1685" s="88">
        <v>2007</v>
      </c>
      <c r="C1685" s="89" t="s">
        <v>1352</v>
      </c>
      <c r="D1685" s="88" t="s">
        <v>160</v>
      </c>
      <c r="F1685" s="70">
        <f t="shared" si="52"/>
        <v>2007</v>
      </c>
      <c r="G1685" s="70" t="s">
        <v>159</v>
      </c>
      <c r="H1685" s="70" t="str">
        <f t="shared" si="53"/>
        <v>NIC</v>
      </c>
    </row>
    <row r="1686" spans="1:8" ht="15" x14ac:dyDescent="0.25">
      <c r="A1686" s="88" t="s">
        <v>164</v>
      </c>
      <c r="B1686" s="88">
        <v>2007</v>
      </c>
      <c r="C1686" s="89" t="s">
        <v>1351</v>
      </c>
      <c r="D1686" s="88" t="s">
        <v>160</v>
      </c>
      <c r="F1686" s="70">
        <f t="shared" si="52"/>
        <v>2007</v>
      </c>
      <c r="G1686" s="70" t="s">
        <v>159</v>
      </c>
      <c r="H1686" s="70" t="str">
        <f t="shared" si="53"/>
        <v>NIC</v>
      </c>
    </row>
    <row r="1687" spans="1:8" ht="15" x14ac:dyDescent="0.25">
      <c r="A1687" s="88" t="s">
        <v>164</v>
      </c>
      <c r="B1687" s="88">
        <v>2007</v>
      </c>
      <c r="C1687" s="89" t="s">
        <v>1350</v>
      </c>
      <c r="D1687" s="88" t="s">
        <v>160</v>
      </c>
      <c r="F1687" s="70">
        <f t="shared" si="52"/>
        <v>2007</v>
      </c>
      <c r="G1687" s="70" t="s">
        <v>159</v>
      </c>
      <c r="H1687" s="70" t="str">
        <f t="shared" si="53"/>
        <v>NIC</v>
      </c>
    </row>
    <row r="1688" spans="1:8" ht="15" x14ac:dyDescent="0.25">
      <c r="A1688" s="88" t="s">
        <v>164</v>
      </c>
      <c r="B1688" s="88">
        <v>2008</v>
      </c>
      <c r="C1688" s="89" t="s">
        <v>1349</v>
      </c>
      <c r="D1688" s="88" t="s">
        <v>160</v>
      </c>
      <c r="F1688" s="70">
        <f t="shared" si="52"/>
        <v>2008</v>
      </c>
      <c r="G1688" s="70" t="s">
        <v>159</v>
      </c>
      <c r="H1688" s="70" t="str">
        <f t="shared" si="53"/>
        <v>NIC</v>
      </c>
    </row>
    <row r="1689" spans="1:8" ht="15" x14ac:dyDescent="0.25">
      <c r="A1689" s="88" t="s">
        <v>164</v>
      </c>
      <c r="B1689" s="88">
        <v>2008</v>
      </c>
      <c r="C1689" s="89" t="s">
        <v>1348</v>
      </c>
      <c r="D1689" s="88" t="s">
        <v>160</v>
      </c>
      <c r="F1689" s="70">
        <f t="shared" si="52"/>
        <v>2008</v>
      </c>
      <c r="G1689" s="70" t="s">
        <v>159</v>
      </c>
      <c r="H1689" s="70" t="str">
        <f t="shared" si="53"/>
        <v>NIC</v>
      </c>
    </row>
    <row r="1690" spans="1:8" ht="15" x14ac:dyDescent="0.25">
      <c r="A1690" s="88" t="s">
        <v>164</v>
      </c>
      <c r="B1690" s="88">
        <v>2008</v>
      </c>
      <c r="C1690" s="89" t="s">
        <v>1347</v>
      </c>
      <c r="D1690" s="88" t="s">
        <v>160</v>
      </c>
      <c r="F1690" s="70">
        <f t="shared" si="52"/>
        <v>2008</v>
      </c>
      <c r="G1690" s="70" t="s">
        <v>159</v>
      </c>
      <c r="H1690" s="70" t="str">
        <f t="shared" si="53"/>
        <v>NIC</v>
      </c>
    </row>
    <row r="1691" spans="1:8" ht="15" x14ac:dyDescent="0.25">
      <c r="A1691" s="88" t="s">
        <v>164</v>
      </c>
      <c r="B1691" s="88">
        <v>2009</v>
      </c>
      <c r="C1691" s="89" t="s">
        <v>1346</v>
      </c>
      <c r="D1691" s="88" t="s">
        <v>160</v>
      </c>
      <c r="F1691" s="70">
        <f t="shared" si="52"/>
        <v>2009</v>
      </c>
      <c r="G1691" s="70" t="s">
        <v>159</v>
      </c>
      <c r="H1691" s="70" t="str">
        <f t="shared" si="53"/>
        <v>NIC</v>
      </c>
    </row>
    <row r="1692" spans="1:8" ht="15" x14ac:dyDescent="0.25">
      <c r="A1692" s="88" t="s">
        <v>164</v>
      </c>
      <c r="B1692" s="88">
        <v>2009</v>
      </c>
      <c r="C1692" s="89" t="s">
        <v>1345</v>
      </c>
      <c r="D1692" s="88" t="s">
        <v>160</v>
      </c>
      <c r="F1692" s="70">
        <f t="shared" si="52"/>
        <v>2009</v>
      </c>
      <c r="G1692" s="70" t="s">
        <v>159</v>
      </c>
      <c r="H1692" s="70" t="str">
        <f t="shared" si="53"/>
        <v>NIC</v>
      </c>
    </row>
    <row r="1693" spans="1:8" ht="15" x14ac:dyDescent="0.25">
      <c r="A1693" s="88" t="s">
        <v>164</v>
      </c>
      <c r="B1693" s="88">
        <v>2009</v>
      </c>
      <c r="C1693" s="89" t="s">
        <v>1344</v>
      </c>
      <c r="D1693" s="88" t="s">
        <v>160</v>
      </c>
      <c r="F1693" s="70">
        <f t="shared" si="52"/>
        <v>2009</v>
      </c>
      <c r="G1693" s="70" t="s">
        <v>159</v>
      </c>
      <c r="H1693" s="70" t="str">
        <f t="shared" si="53"/>
        <v>NIC</v>
      </c>
    </row>
    <row r="1694" spans="1:8" ht="15" x14ac:dyDescent="0.25">
      <c r="A1694" s="88" t="s">
        <v>164</v>
      </c>
      <c r="B1694" s="88">
        <v>2009</v>
      </c>
      <c r="C1694" s="89" t="s">
        <v>1343</v>
      </c>
      <c r="D1694" s="88" t="s">
        <v>160</v>
      </c>
      <c r="F1694" s="70">
        <f t="shared" si="52"/>
        <v>2009</v>
      </c>
      <c r="G1694" s="70" t="s">
        <v>159</v>
      </c>
      <c r="H1694" s="70" t="str">
        <f t="shared" si="53"/>
        <v>NIC</v>
      </c>
    </row>
    <row r="1695" spans="1:8" ht="15" x14ac:dyDescent="0.25">
      <c r="A1695" s="88" t="s">
        <v>164</v>
      </c>
      <c r="B1695" s="88">
        <v>2010</v>
      </c>
      <c r="C1695" s="89" t="s">
        <v>1342</v>
      </c>
      <c r="D1695" s="88" t="s">
        <v>160</v>
      </c>
      <c r="F1695" s="70">
        <f t="shared" si="52"/>
        <v>2010</v>
      </c>
      <c r="G1695" s="70" t="s">
        <v>159</v>
      </c>
      <c r="H1695" s="70" t="str">
        <f t="shared" si="53"/>
        <v>NIC</v>
      </c>
    </row>
    <row r="1696" spans="1:8" ht="15" x14ac:dyDescent="0.25">
      <c r="A1696" s="88" t="s">
        <v>164</v>
      </c>
      <c r="B1696" s="88">
        <v>2010</v>
      </c>
      <c r="C1696" s="89" t="s">
        <v>1341</v>
      </c>
      <c r="D1696" s="88" t="s">
        <v>160</v>
      </c>
      <c r="F1696" s="70">
        <f t="shared" si="52"/>
        <v>2010</v>
      </c>
      <c r="G1696" s="70" t="s">
        <v>159</v>
      </c>
      <c r="H1696" s="70" t="str">
        <f t="shared" si="53"/>
        <v>NIC</v>
      </c>
    </row>
    <row r="1697" spans="1:8" ht="15" x14ac:dyDescent="0.25">
      <c r="A1697" s="88" t="s">
        <v>164</v>
      </c>
      <c r="B1697" s="88">
        <v>2010</v>
      </c>
      <c r="C1697" s="89" t="s">
        <v>1340</v>
      </c>
      <c r="D1697" s="88" t="s">
        <v>160</v>
      </c>
      <c r="F1697" s="70">
        <f t="shared" si="52"/>
        <v>2010</v>
      </c>
      <c r="G1697" s="70" t="s">
        <v>159</v>
      </c>
      <c r="H1697" s="70" t="str">
        <f t="shared" si="53"/>
        <v>NIC</v>
      </c>
    </row>
    <row r="1698" spans="1:8" ht="15" x14ac:dyDescent="0.25">
      <c r="A1698" s="88" t="s">
        <v>164</v>
      </c>
      <c r="B1698" s="88">
        <v>2010</v>
      </c>
      <c r="C1698" s="89" t="s">
        <v>1339</v>
      </c>
      <c r="D1698" s="88" t="s">
        <v>160</v>
      </c>
      <c r="F1698" s="70">
        <f t="shared" si="52"/>
        <v>2010</v>
      </c>
      <c r="G1698" s="70" t="s">
        <v>159</v>
      </c>
      <c r="H1698" s="70" t="str">
        <f t="shared" si="53"/>
        <v>NIC</v>
      </c>
    </row>
    <row r="1699" spans="1:8" ht="15" x14ac:dyDescent="0.25">
      <c r="A1699" s="88" t="s">
        <v>164</v>
      </c>
      <c r="B1699" s="88">
        <v>2010</v>
      </c>
      <c r="C1699" s="89" t="s">
        <v>1338</v>
      </c>
      <c r="D1699" s="88" t="s">
        <v>160</v>
      </c>
      <c r="F1699" s="70">
        <f t="shared" si="52"/>
        <v>2010</v>
      </c>
      <c r="G1699" s="70" t="s">
        <v>159</v>
      </c>
      <c r="H1699" s="70" t="str">
        <f t="shared" si="53"/>
        <v>NIC</v>
      </c>
    </row>
    <row r="1700" spans="1:8" ht="15" x14ac:dyDescent="0.25">
      <c r="A1700" s="88" t="s">
        <v>164</v>
      </c>
      <c r="B1700" s="88">
        <v>2010</v>
      </c>
      <c r="C1700" s="89" t="s">
        <v>1337</v>
      </c>
      <c r="D1700" s="88" t="s">
        <v>160</v>
      </c>
      <c r="F1700" s="70">
        <f t="shared" si="52"/>
        <v>2010</v>
      </c>
      <c r="G1700" s="70" t="s">
        <v>159</v>
      </c>
      <c r="H1700" s="70" t="str">
        <f t="shared" si="53"/>
        <v>NIC</v>
      </c>
    </row>
    <row r="1701" spans="1:8" ht="15" x14ac:dyDescent="0.25">
      <c r="A1701" s="88" t="s">
        <v>164</v>
      </c>
      <c r="B1701" s="88">
        <v>2010</v>
      </c>
      <c r="C1701" s="89" t="s">
        <v>1336</v>
      </c>
      <c r="D1701" s="88" t="s">
        <v>160</v>
      </c>
      <c r="F1701" s="70">
        <f t="shared" si="52"/>
        <v>2010</v>
      </c>
      <c r="G1701" s="70" t="s">
        <v>159</v>
      </c>
      <c r="H1701" s="70" t="str">
        <f t="shared" si="53"/>
        <v>NIC</v>
      </c>
    </row>
    <row r="1702" spans="1:8" ht="15" x14ac:dyDescent="0.25">
      <c r="A1702" s="88" t="s">
        <v>164</v>
      </c>
      <c r="B1702" s="88">
        <v>2011</v>
      </c>
      <c r="C1702" s="89" t="s">
        <v>1335</v>
      </c>
      <c r="D1702" s="88" t="s">
        <v>160</v>
      </c>
      <c r="F1702" s="70">
        <f t="shared" si="52"/>
        <v>2011</v>
      </c>
      <c r="G1702" s="70" t="s">
        <v>159</v>
      </c>
      <c r="H1702" s="70" t="str">
        <f t="shared" si="53"/>
        <v>NIC</v>
      </c>
    </row>
    <row r="1703" spans="1:8" ht="15" x14ac:dyDescent="0.25">
      <c r="A1703" s="88" t="s">
        <v>164</v>
      </c>
      <c r="B1703" s="88">
        <v>2011</v>
      </c>
      <c r="C1703" s="89" t="s">
        <v>1334</v>
      </c>
      <c r="D1703" s="88" t="s">
        <v>160</v>
      </c>
      <c r="F1703" s="70">
        <f t="shared" si="52"/>
        <v>2011</v>
      </c>
      <c r="G1703" s="70" t="s">
        <v>159</v>
      </c>
      <c r="H1703" s="70" t="str">
        <f t="shared" si="53"/>
        <v>NIC</v>
      </c>
    </row>
    <row r="1704" spans="1:8" ht="15" x14ac:dyDescent="0.25">
      <c r="A1704" s="88" t="s">
        <v>164</v>
      </c>
      <c r="B1704" s="88">
        <v>2011</v>
      </c>
      <c r="C1704" s="89" t="s">
        <v>1333</v>
      </c>
      <c r="D1704" s="88" t="s">
        <v>160</v>
      </c>
      <c r="F1704" s="70">
        <f t="shared" si="52"/>
        <v>2011</v>
      </c>
      <c r="G1704" s="70" t="s">
        <v>159</v>
      </c>
      <c r="H1704" s="70" t="str">
        <f t="shared" si="53"/>
        <v>NIC</v>
      </c>
    </row>
    <row r="1705" spans="1:8" ht="15" x14ac:dyDescent="0.25">
      <c r="A1705" s="88" t="s">
        <v>164</v>
      </c>
      <c r="B1705" s="88">
        <v>2011</v>
      </c>
      <c r="C1705" s="89" t="s">
        <v>1332</v>
      </c>
      <c r="D1705" s="88" t="s">
        <v>160</v>
      </c>
      <c r="F1705" s="70">
        <f t="shared" si="52"/>
        <v>2011</v>
      </c>
      <c r="G1705" s="70" t="s">
        <v>159</v>
      </c>
      <c r="H1705" s="70" t="str">
        <f t="shared" si="53"/>
        <v>NIC</v>
      </c>
    </row>
    <row r="1706" spans="1:8" ht="15" x14ac:dyDescent="0.25">
      <c r="A1706" s="88" t="s">
        <v>164</v>
      </c>
      <c r="B1706" s="88">
        <v>2011</v>
      </c>
      <c r="C1706" s="89" t="s">
        <v>1331</v>
      </c>
      <c r="D1706" s="88" t="s">
        <v>160</v>
      </c>
      <c r="F1706" s="70">
        <f t="shared" si="52"/>
        <v>2011</v>
      </c>
      <c r="G1706" s="70" t="s">
        <v>159</v>
      </c>
      <c r="H1706" s="70" t="str">
        <f t="shared" si="53"/>
        <v>NIC</v>
      </c>
    </row>
    <row r="1707" spans="1:8" ht="15" x14ac:dyDescent="0.25">
      <c r="A1707" s="88" t="s">
        <v>164</v>
      </c>
      <c r="B1707" s="88">
        <v>2011</v>
      </c>
      <c r="C1707" s="89" t="s">
        <v>1330</v>
      </c>
      <c r="D1707" s="88" t="s">
        <v>160</v>
      </c>
      <c r="F1707" s="70">
        <f t="shared" si="52"/>
        <v>2011</v>
      </c>
      <c r="G1707" s="70" t="s">
        <v>159</v>
      </c>
      <c r="H1707" s="70" t="str">
        <f t="shared" si="53"/>
        <v>NIC</v>
      </c>
    </row>
    <row r="1708" spans="1:8" ht="15" x14ac:dyDescent="0.25">
      <c r="A1708" s="68" t="s">
        <v>164</v>
      </c>
      <c r="B1708" s="68">
        <v>2012</v>
      </c>
      <c r="C1708" s="86" t="s">
        <v>1329</v>
      </c>
      <c r="D1708" s="69">
        <v>5000</v>
      </c>
      <c r="F1708" s="70">
        <f t="shared" si="52"/>
        <v>2012</v>
      </c>
      <c r="G1708" s="70" t="s">
        <v>159</v>
      </c>
      <c r="H1708" s="70" t="str">
        <f t="shared" si="53"/>
        <v>NIC</v>
      </c>
    </row>
    <row r="1709" spans="1:8" ht="15" x14ac:dyDescent="0.25">
      <c r="A1709" s="68" t="s">
        <v>164</v>
      </c>
      <c r="B1709" s="68">
        <v>2012</v>
      </c>
      <c r="C1709" s="86" t="s">
        <v>1328</v>
      </c>
      <c r="D1709" s="69">
        <v>5000</v>
      </c>
      <c r="F1709" s="70">
        <f t="shared" si="52"/>
        <v>2012</v>
      </c>
      <c r="G1709" s="70" t="s">
        <v>159</v>
      </c>
      <c r="H1709" s="70" t="str">
        <f t="shared" si="53"/>
        <v>NIC</v>
      </c>
    </row>
    <row r="1710" spans="1:8" ht="15" x14ac:dyDescent="0.25">
      <c r="A1710" s="68" t="s">
        <v>164</v>
      </c>
      <c r="B1710" s="68">
        <v>2012</v>
      </c>
      <c r="C1710" s="86" t="s">
        <v>1327</v>
      </c>
      <c r="D1710" s="69">
        <v>5000</v>
      </c>
      <c r="F1710" s="70">
        <f t="shared" si="52"/>
        <v>2012</v>
      </c>
      <c r="G1710" s="70" t="s">
        <v>159</v>
      </c>
      <c r="H1710" s="70" t="str">
        <f t="shared" si="53"/>
        <v>NIC</v>
      </c>
    </row>
    <row r="1711" spans="1:8" ht="15" x14ac:dyDescent="0.25">
      <c r="A1711" s="68" t="s">
        <v>164</v>
      </c>
      <c r="B1711" s="68">
        <v>2012</v>
      </c>
      <c r="C1711" s="86" t="s">
        <v>1326</v>
      </c>
      <c r="D1711" s="69">
        <v>5000</v>
      </c>
      <c r="F1711" s="70">
        <f t="shared" si="52"/>
        <v>2012</v>
      </c>
      <c r="G1711" s="70" t="s">
        <v>159</v>
      </c>
      <c r="H1711" s="70" t="str">
        <f t="shared" si="53"/>
        <v>NIC</v>
      </c>
    </row>
    <row r="1712" spans="1:8" ht="15" x14ac:dyDescent="0.25">
      <c r="A1712" s="68" t="s">
        <v>164</v>
      </c>
      <c r="B1712" s="68">
        <v>2012</v>
      </c>
      <c r="C1712" s="86" t="s">
        <v>1325</v>
      </c>
      <c r="D1712" s="69">
        <v>5000</v>
      </c>
      <c r="F1712" s="70">
        <f t="shared" si="52"/>
        <v>2012</v>
      </c>
      <c r="G1712" s="70" t="s">
        <v>159</v>
      </c>
      <c r="H1712" s="70" t="str">
        <f t="shared" si="53"/>
        <v>NIC</v>
      </c>
    </row>
    <row r="1713" spans="1:8" ht="15" x14ac:dyDescent="0.25">
      <c r="A1713" s="68" t="s">
        <v>164</v>
      </c>
      <c r="B1713" s="68">
        <v>2012</v>
      </c>
      <c r="C1713" s="86" t="s">
        <v>1324</v>
      </c>
      <c r="D1713" s="69">
        <v>5000</v>
      </c>
      <c r="F1713" s="70">
        <f t="shared" si="52"/>
        <v>2012</v>
      </c>
      <c r="G1713" s="70" t="s">
        <v>159</v>
      </c>
      <c r="H1713" s="70" t="str">
        <f t="shared" si="53"/>
        <v>NIC</v>
      </c>
    </row>
    <row r="1714" spans="1:8" ht="15" x14ac:dyDescent="0.25">
      <c r="A1714" s="68" t="s">
        <v>164</v>
      </c>
      <c r="B1714" s="68">
        <v>2013</v>
      </c>
      <c r="C1714" s="86" t="s">
        <v>1323</v>
      </c>
      <c r="D1714" s="69">
        <v>5000</v>
      </c>
      <c r="F1714" s="70">
        <f t="shared" si="52"/>
        <v>2013</v>
      </c>
      <c r="G1714" s="70" t="s">
        <v>159</v>
      </c>
      <c r="H1714" s="70" t="str">
        <f t="shared" si="53"/>
        <v>NIC</v>
      </c>
    </row>
    <row r="1715" spans="1:8" ht="15" x14ac:dyDescent="0.25">
      <c r="A1715" s="68" t="s">
        <v>164</v>
      </c>
      <c r="B1715" s="68">
        <v>2013</v>
      </c>
      <c r="C1715" s="86" t="s">
        <v>1322</v>
      </c>
      <c r="D1715" s="69">
        <v>5000</v>
      </c>
      <c r="F1715" s="70">
        <f t="shared" si="52"/>
        <v>2013</v>
      </c>
      <c r="G1715" s="70" t="s">
        <v>159</v>
      </c>
      <c r="H1715" s="70" t="str">
        <f t="shared" si="53"/>
        <v>NIC</v>
      </c>
    </row>
    <row r="1716" spans="1:8" ht="15" x14ac:dyDescent="0.25">
      <c r="A1716" s="68" t="s">
        <v>164</v>
      </c>
      <c r="B1716" s="68">
        <v>2013</v>
      </c>
      <c r="C1716" s="86" t="s">
        <v>1321</v>
      </c>
      <c r="D1716" s="69">
        <v>5000</v>
      </c>
      <c r="F1716" s="70">
        <f t="shared" si="52"/>
        <v>2013</v>
      </c>
      <c r="G1716" s="70" t="s">
        <v>159</v>
      </c>
      <c r="H1716" s="70" t="str">
        <f t="shared" si="53"/>
        <v>NIC</v>
      </c>
    </row>
    <row r="1717" spans="1:8" ht="15" x14ac:dyDescent="0.25">
      <c r="A1717" s="68" t="s">
        <v>164</v>
      </c>
      <c r="B1717" s="68">
        <v>2013</v>
      </c>
      <c r="C1717" s="86" t="s">
        <v>1320</v>
      </c>
      <c r="D1717" s="69">
        <v>5000</v>
      </c>
      <c r="F1717" s="70">
        <f t="shared" si="52"/>
        <v>2013</v>
      </c>
      <c r="G1717" s="70" t="s">
        <v>159</v>
      </c>
      <c r="H1717" s="70" t="str">
        <f t="shared" si="53"/>
        <v>NIC</v>
      </c>
    </row>
    <row r="1718" spans="1:8" ht="15" x14ac:dyDescent="0.25">
      <c r="A1718" s="68" t="s">
        <v>164</v>
      </c>
      <c r="B1718" s="68">
        <v>2013</v>
      </c>
      <c r="C1718" s="86" t="s">
        <v>1319</v>
      </c>
      <c r="D1718" s="69">
        <v>5000</v>
      </c>
      <c r="F1718" s="70">
        <f t="shared" si="52"/>
        <v>2013</v>
      </c>
      <c r="G1718" s="70" t="s">
        <v>159</v>
      </c>
      <c r="H1718" s="70" t="str">
        <f t="shared" si="53"/>
        <v>NIC</v>
      </c>
    </row>
    <row r="1719" spans="1:8" ht="15" x14ac:dyDescent="0.25">
      <c r="A1719" s="68" t="s">
        <v>164</v>
      </c>
      <c r="B1719" s="68">
        <v>2014</v>
      </c>
      <c r="C1719" s="86" t="s">
        <v>1318</v>
      </c>
      <c r="D1719" s="69">
        <v>5000</v>
      </c>
      <c r="F1719" s="70">
        <f t="shared" si="52"/>
        <v>2014</v>
      </c>
      <c r="G1719" s="70" t="s">
        <v>159</v>
      </c>
      <c r="H1719" s="70" t="str">
        <f t="shared" si="53"/>
        <v>NIC</v>
      </c>
    </row>
    <row r="1720" spans="1:8" ht="15" x14ac:dyDescent="0.25">
      <c r="A1720" s="68" t="s">
        <v>164</v>
      </c>
      <c r="B1720" s="68">
        <v>2014</v>
      </c>
      <c r="C1720" s="86" t="s">
        <v>1317</v>
      </c>
      <c r="D1720" s="69">
        <v>5000</v>
      </c>
      <c r="F1720" s="70">
        <f t="shared" si="52"/>
        <v>2014</v>
      </c>
      <c r="G1720" s="70" t="s">
        <v>159</v>
      </c>
      <c r="H1720" s="70" t="str">
        <f t="shared" si="53"/>
        <v>NIC</v>
      </c>
    </row>
    <row r="1721" spans="1:8" ht="15" x14ac:dyDescent="0.25">
      <c r="A1721" s="68" t="s">
        <v>164</v>
      </c>
      <c r="B1721" s="68">
        <v>2014</v>
      </c>
      <c r="C1721" s="86" t="s">
        <v>1316</v>
      </c>
      <c r="D1721" s="69">
        <v>5000</v>
      </c>
      <c r="F1721" s="70">
        <f t="shared" si="52"/>
        <v>2014</v>
      </c>
      <c r="G1721" s="70" t="s">
        <v>159</v>
      </c>
      <c r="H1721" s="70" t="str">
        <f t="shared" si="53"/>
        <v>NIC</v>
      </c>
    </row>
    <row r="1722" spans="1:8" ht="15" x14ac:dyDescent="0.25">
      <c r="A1722" s="68" t="s">
        <v>164</v>
      </c>
      <c r="B1722" s="68">
        <v>2014</v>
      </c>
      <c r="C1722" s="86" t="s">
        <v>1315</v>
      </c>
      <c r="D1722" s="69">
        <v>5000</v>
      </c>
      <c r="F1722" s="70">
        <f t="shared" si="52"/>
        <v>2014</v>
      </c>
      <c r="G1722" s="70" t="s">
        <v>159</v>
      </c>
      <c r="H1722" s="70" t="str">
        <f t="shared" si="53"/>
        <v>NIC</v>
      </c>
    </row>
    <row r="1723" spans="1:8" ht="15" x14ac:dyDescent="0.25">
      <c r="A1723" s="68" t="s">
        <v>164</v>
      </c>
      <c r="B1723" s="68">
        <v>2015</v>
      </c>
      <c r="C1723" s="86" t="s">
        <v>1314</v>
      </c>
      <c r="D1723" s="69">
        <v>5000</v>
      </c>
      <c r="F1723" s="70">
        <f t="shared" si="52"/>
        <v>2015</v>
      </c>
      <c r="G1723" s="70" t="s">
        <v>159</v>
      </c>
      <c r="H1723" s="70" t="str">
        <f t="shared" si="53"/>
        <v>NIC</v>
      </c>
    </row>
    <row r="1724" spans="1:8" ht="15" x14ac:dyDescent="0.25">
      <c r="A1724" s="68" t="s">
        <v>164</v>
      </c>
      <c r="B1724" s="68">
        <v>2015</v>
      </c>
      <c r="C1724" s="86" t="s">
        <v>1313</v>
      </c>
      <c r="D1724" s="69">
        <v>5000</v>
      </c>
      <c r="F1724" s="70">
        <f t="shared" si="52"/>
        <v>2015</v>
      </c>
      <c r="G1724" s="70" t="s">
        <v>159</v>
      </c>
      <c r="H1724" s="70" t="str">
        <f t="shared" si="53"/>
        <v>NIC</v>
      </c>
    </row>
    <row r="1725" spans="1:8" ht="15" x14ac:dyDescent="0.25">
      <c r="A1725" s="68" t="s">
        <v>164</v>
      </c>
      <c r="B1725" s="68">
        <v>2015</v>
      </c>
      <c r="C1725" s="86" t="s">
        <v>1312</v>
      </c>
      <c r="D1725" s="69">
        <v>5000</v>
      </c>
      <c r="F1725" s="70">
        <f t="shared" si="52"/>
        <v>2015</v>
      </c>
      <c r="G1725" s="70" t="s">
        <v>159</v>
      </c>
      <c r="H1725" s="70" t="str">
        <f t="shared" si="53"/>
        <v>NIC</v>
      </c>
    </row>
    <row r="1726" spans="1:8" ht="15" x14ac:dyDescent="0.25">
      <c r="A1726" s="68" t="s">
        <v>164</v>
      </c>
      <c r="B1726" s="68">
        <v>2015</v>
      </c>
      <c r="C1726" s="86" t="s">
        <v>1311</v>
      </c>
      <c r="D1726" s="69">
        <v>5000</v>
      </c>
      <c r="F1726" s="70">
        <f t="shared" si="52"/>
        <v>2015</v>
      </c>
      <c r="G1726" s="70" t="s">
        <v>159</v>
      </c>
      <c r="H1726" s="70" t="str">
        <f t="shared" si="53"/>
        <v>NIC</v>
      </c>
    </row>
    <row r="1727" spans="1:8" ht="15" x14ac:dyDescent="0.25">
      <c r="A1727" s="68" t="s">
        <v>164</v>
      </c>
      <c r="B1727" s="68">
        <v>2015</v>
      </c>
      <c r="C1727" s="86" t="s">
        <v>1310</v>
      </c>
      <c r="D1727" s="69">
        <v>5000</v>
      </c>
      <c r="F1727" s="70">
        <f t="shared" si="52"/>
        <v>2015</v>
      </c>
      <c r="G1727" s="70" t="s">
        <v>159</v>
      </c>
      <c r="H1727" s="70" t="str">
        <f t="shared" si="53"/>
        <v>NIC</v>
      </c>
    </row>
    <row r="1728" spans="1:8" ht="15" x14ac:dyDescent="0.25">
      <c r="A1728" s="68" t="s">
        <v>164</v>
      </c>
      <c r="B1728" s="68">
        <v>2015</v>
      </c>
      <c r="C1728" s="86" t="s">
        <v>1309</v>
      </c>
      <c r="D1728" s="69">
        <v>5000</v>
      </c>
      <c r="F1728" s="70">
        <f t="shared" si="52"/>
        <v>2015</v>
      </c>
      <c r="G1728" s="70" t="s">
        <v>159</v>
      </c>
      <c r="H1728" s="70" t="str">
        <f t="shared" si="53"/>
        <v>NIC</v>
      </c>
    </row>
    <row r="1729" spans="1:8" ht="15" x14ac:dyDescent="0.25">
      <c r="A1729" s="75" t="s">
        <v>164</v>
      </c>
      <c r="B1729" s="75">
        <v>2015</v>
      </c>
      <c r="C1729" s="80" t="s">
        <v>1308</v>
      </c>
      <c r="D1729" s="82">
        <v>5000</v>
      </c>
      <c r="F1729" s="70">
        <f t="shared" si="52"/>
        <v>2015</v>
      </c>
      <c r="G1729" s="70" t="s">
        <v>159</v>
      </c>
      <c r="H1729" s="70" t="str">
        <f t="shared" si="53"/>
        <v>NIC</v>
      </c>
    </row>
    <row r="1730" spans="1:8" ht="15" x14ac:dyDescent="0.25">
      <c r="A1730" s="68" t="s">
        <v>164</v>
      </c>
      <c r="B1730" s="68">
        <v>2016</v>
      </c>
      <c r="C1730" s="76" t="s">
        <v>1307</v>
      </c>
      <c r="D1730" s="69">
        <v>5000</v>
      </c>
      <c r="F1730" s="70">
        <f t="shared" si="52"/>
        <v>2016</v>
      </c>
      <c r="G1730" s="70" t="s">
        <v>159</v>
      </c>
      <c r="H1730" s="70" t="str">
        <f t="shared" si="53"/>
        <v>NIC</v>
      </c>
    </row>
    <row r="1731" spans="1:8" ht="15" x14ac:dyDescent="0.25">
      <c r="A1731" s="68" t="s">
        <v>164</v>
      </c>
      <c r="B1731" s="68">
        <v>2016</v>
      </c>
      <c r="C1731" s="76" t="s">
        <v>1306</v>
      </c>
      <c r="D1731" s="69">
        <v>5000</v>
      </c>
      <c r="F1731" s="70">
        <f t="shared" si="52"/>
        <v>2016</v>
      </c>
      <c r="G1731" s="70" t="s">
        <v>159</v>
      </c>
      <c r="H1731" s="70" t="str">
        <f t="shared" si="53"/>
        <v>NIC</v>
      </c>
    </row>
    <row r="1732" spans="1:8" ht="15" x14ac:dyDescent="0.25">
      <c r="A1732" s="68" t="s">
        <v>164</v>
      </c>
      <c r="B1732" s="68">
        <v>2016</v>
      </c>
      <c r="C1732" s="76" t="s">
        <v>1305</v>
      </c>
      <c r="D1732" s="69">
        <v>5000</v>
      </c>
      <c r="F1732" s="70">
        <f t="shared" si="52"/>
        <v>2016</v>
      </c>
      <c r="G1732" s="70" t="s">
        <v>159</v>
      </c>
      <c r="H1732" s="70" t="str">
        <f t="shared" si="53"/>
        <v>NIC</v>
      </c>
    </row>
    <row r="1733" spans="1:8" ht="15" x14ac:dyDescent="0.25">
      <c r="A1733" s="68" t="s">
        <v>164</v>
      </c>
      <c r="B1733" s="68">
        <v>2016</v>
      </c>
      <c r="C1733" s="76" t="s">
        <v>1304</v>
      </c>
      <c r="D1733" s="69">
        <v>5000</v>
      </c>
      <c r="F1733" s="70">
        <f t="shared" si="52"/>
        <v>2016</v>
      </c>
      <c r="G1733" s="70" t="s">
        <v>159</v>
      </c>
      <c r="H1733" s="70" t="str">
        <f t="shared" si="53"/>
        <v>NIC</v>
      </c>
    </row>
    <row r="1734" spans="1:8" ht="15" x14ac:dyDescent="0.25">
      <c r="A1734" s="85" t="s">
        <v>164</v>
      </c>
      <c r="B1734" s="85">
        <v>2017</v>
      </c>
      <c r="C1734" s="92" t="s">
        <v>1303</v>
      </c>
      <c r="D1734" s="83">
        <v>5000</v>
      </c>
      <c r="F1734" s="70">
        <f t="shared" si="52"/>
        <v>2017</v>
      </c>
      <c r="G1734" s="70" t="s">
        <v>159</v>
      </c>
      <c r="H1734" s="70" t="str">
        <f t="shared" si="53"/>
        <v>NIC</v>
      </c>
    </row>
    <row r="1735" spans="1:8" ht="15" x14ac:dyDescent="0.25">
      <c r="A1735" s="85" t="s">
        <v>164</v>
      </c>
      <c r="B1735" s="85">
        <v>2017</v>
      </c>
      <c r="C1735" s="92" t="s">
        <v>1302</v>
      </c>
      <c r="D1735" s="83">
        <v>5000</v>
      </c>
      <c r="F1735" s="70">
        <f t="shared" si="52"/>
        <v>2017</v>
      </c>
      <c r="G1735" s="70" t="s">
        <v>159</v>
      </c>
      <c r="H1735" s="70" t="str">
        <f t="shared" si="53"/>
        <v>NIC</v>
      </c>
    </row>
    <row r="1736" spans="1:8" ht="15" x14ac:dyDescent="0.25">
      <c r="A1736" s="85" t="s">
        <v>164</v>
      </c>
      <c r="B1736" s="85">
        <v>2017</v>
      </c>
      <c r="C1736" s="92" t="s">
        <v>1301</v>
      </c>
      <c r="D1736" s="83">
        <v>5000</v>
      </c>
      <c r="F1736" s="70">
        <f t="shared" ref="F1736:F1799" si="54">+B1736</f>
        <v>2017</v>
      </c>
      <c r="G1736" s="70" t="s">
        <v>159</v>
      </c>
      <c r="H1736" s="70" t="str">
        <f t="shared" ref="H1736:H1799" si="55">A1736</f>
        <v>NIC</v>
      </c>
    </row>
    <row r="1737" spans="1:8" ht="15" x14ac:dyDescent="0.25">
      <c r="A1737" s="85" t="s">
        <v>164</v>
      </c>
      <c r="B1737" s="85">
        <v>2017</v>
      </c>
      <c r="C1737" s="92" t="s">
        <v>1300</v>
      </c>
      <c r="D1737" s="83">
        <v>5000</v>
      </c>
      <c r="F1737" s="70">
        <f t="shared" si="54"/>
        <v>2017</v>
      </c>
      <c r="G1737" s="70" t="s">
        <v>159</v>
      </c>
      <c r="H1737" s="70" t="str">
        <f t="shared" si="55"/>
        <v>NIC</v>
      </c>
    </row>
    <row r="1738" spans="1:8" ht="15" x14ac:dyDescent="0.25">
      <c r="A1738" s="75" t="s">
        <v>164</v>
      </c>
      <c r="B1738" s="75">
        <v>2018</v>
      </c>
      <c r="C1738" s="72" t="s">
        <v>1299</v>
      </c>
      <c r="D1738" s="82" t="s">
        <v>160</v>
      </c>
      <c r="F1738" s="70">
        <f t="shared" si="54"/>
        <v>2018</v>
      </c>
      <c r="G1738" s="70" t="s">
        <v>159</v>
      </c>
      <c r="H1738" s="70" t="str">
        <f t="shared" si="55"/>
        <v>NIC</v>
      </c>
    </row>
    <row r="1739" spans="1:8" ht="15" x14ac:dyDescent="0.25">
      <c r="A1739" s="75" t="s">
        <v>164</v>
      </c>
      <c r="B1739" s="75">
        <v>2018</v>
      </c>
      <c r="C1739" s="72" t="s">
        <v>1298</v>
      </c>
      <c r="D1739" s="82" t="s">
        <v>160</v>
      </c>
      <c r="F1739" s="70">
        <f t="shared" si="54"/>
        <v>2018</v>
      </c>
      <c r="G1739" s="70" t="s">
        <v>159</v>
      </c>
      <c r="H1739" s="70" t="str">
        <f t="shared" si="55"/>
        <v>NIC</v>
      </c>
    </row>
    <row r="1740" spans="1:8" ht="15" x14ac:dyDescent="0.25">
      <c r="A1740" s="75" t="s">
        <v>164</v>
      </c>
      <c r="B1740" s="75">
        <v>2018</v>
      </c>
      <c r="C1740" s="90" t="s">
        <v>1297</v>
      </c>
      <c r="D1740" s="82" t="s">
        <v>160</v>
      </c>
      <c r="F1740" s="70">
        <f t="shared" si="54"/>
        <v>2018</v>
      </c>
      <c r="G1740" s="70" t="s">
        <v>159</v>
      </c>
      <c r="H1740" s="70" t="str">
        <f t="shared" si="55"/>
        <v>NIC</v>
      </c>
    </row>
    <row r="1741" spans="1:8" ht="15" x14ac:dyDescent="0.25">
      <c r="A1741" s="75" t="s">
        <v>164</v>
      </c>
      <c r="B1741" s="75">
        <v>2018</v>
      </c>
      <c r="C1741" s="90" t="s">
        <v>1296</v>
      </c>
      <c r="D1741" s="82" t="s">
        <v>160</v>
      </c>
      <c r="F1741" s="70">
        <f t="shared" si="54"/>
        <v>2018</v>
      </c>
      <c r="G1741" s="70" t="s">
        <v>159</v>
      </c>
      <c r="H1741" s="70" t="str">
        <f t="shared" si="55"/>
        <v>NIC</v>
      </c>
    </row>
    <row r="1742" spans="1:8" ht="15" x14ac:dyDescent="0.25">
      <c r="A1742" s="75" t="s">
        <v>164</v>
      </c>
      <c r="B1742" s="75">
        <v>2018</v>
      </c>
      <c r="C1742" s="90" t="s">
        <v>1295</v>
      </c>
      <c r="D1742" s="82" t="s">
        <v>160</v>
      </c>
      <c r="F1742" s="70">
        <f t="shared" si="54"/>
        <v>2018</v>
      </c>
      <c r="G1742" s="70" t="s">
        <v>159</v>
      </c>
      <c r="H1742" s="70" t="str">
        <f t="shared" si="55"/>
        <v>NIC</v>
      </c>
    </row>
    <row r="1743" spans="1:8" ht="15" x14ac:dyDescent="0.25">
      <c r="A1743" s="88" t="s">
        <v>1267</v>
      </c>
      <c r="B1743" s="88">
        <v>2009</v>
      </c>
      <c r="C1743" s="89" t="s">
        <v>1294</v>
      </c>
      <c r="D1743" s="88" t="s">
        <v>160</v>
      </c>
      <c r="F1743" s="70">
        <f t="shared" si="54"/>
        <v>2009</v>
      </c>
      <c r="G1743" s="70" t="s">
        <v>159</v>
      </c>
      <c r="H1743" s="70" t="str">
        <f t="shared" si="55"/>
        <v>PHI</v>
      </c>
    </row>
    <row r="1744" spans="1:8" ht="15" x14ac:dyDescent="0.25">
      <c r="A1744" s="88" t="s">
        <v>1267</v>
      </c>
      <c r="B1744" s="88">
        <v>2010</v>
      </c>
      <c r="C1744" s="89" t="s">
        <v>1293</v>
      </c>
      <c r="D1744" s="88" t="s">
        <v>160</v>
      </c>
      <c r="F1744" s="70">
        <f t="shared" si="54"/>
        <v>2010</v>
      </c>
      <c r="G1744" s="70" t="s">
        <v>159</v>
      </c>
      <c r="H1744" s="70" t="str">
        <f t="shared" si="55"/>
        <v>PHI</v>
      </c>
    </row>
    <row r="1745" spans="1:8" ht="15" x14ac:dyDescent="0.25">
      <c r="A1745" s="88" t="s">
        <v>1267</v>
      </c>
      <c r="B1745" s="88">
        <v>2010</v>
      </c>
      <c r="C1745" s="89" t="s">
        <v>1292</v>
      </c>
      <c r="D1745" s="88" t="s">
        <v>160</v>
      </c>
      <c r="F1745" s="70">
        <f t="shared" si="54"/>
        <v>2010</v>
      </c>
      <c r="G1745" s="70" t="s">
        <v>159</v>
      </c>
      <c r="H1745" s="70" t="str">
        <f t="shared" si="55"/>
        <v>PHI</v>
      </c>
    </row>
    <row r="1746" spans="1:8" ht="15" x14ac:dyDescent="0.25">
      <c r="A1746" s="88" t="s">
        <v>1267</v>
      </c>
      <c r="B1746" s="88">
        <v>2011</v>
      </c>
      <c r="C1746" s="89" t="s">
        <v>1291</v>
      </c>
      <c r="D1746" s="88" t="s">
        <v>160</v>
      </c>
      <c r="F1746" s="70">
        <f t="shared" si="54"/>
        <v>2011</v>
      </c>
      <c r="G1746" s="70" t="s">
        <v>159</v>
      </c>
      <c r="H1746" s="70" t="str">
        <f t="shared" si="55"/>
        <v>PHI</v>
      </c>
    </row>
    <row r="1747" spans="1:8" ht="15" x14ac:dyDescent="0.25">
      <c r="A1747" s="88" t="s">
        <v>1267</v>
      </c>
      <c r="B1747" s="88">
        <v>2011</v>
      </c>
      <c r="C1747" s="89" t="s">
        <v>1290</v>
      </c>
      <c r="D1747" s="88" t="s">
        <v>160</v>
      </c>
      <c r="F1747" s="70">
        <f t="shared" si="54"/>
        <v>2011</v>
      </c>
      <c r="G1747" s="70" t="s">
        <v>159</v>
      </c>
      <c r="H1747" s="70" t="str">
        <f t="shared" si="55"/>
        <v>PHI</v>
      </c>
    </row>
    <row r="1748" spans="1:8" ht="15" x14ac:dyDescent="0.25">
      <c r="A1748" s="88" t="s">
        <v>1267</v>
      </c>
      <c r="B1748" s="88">
        <v>2012</v>
      </c>
      <c r="C1748" s="89" t="s">
        <v>1289</v>
      </c>
      <c r="D1748" s="88" t="s">
        <v>160</v>
      </c>
      <c r="F1748" s="70">
        <f t="shared" si="54"/>
        <v>2012</v>
      </c>
      <c r="G1748" s="70" t="s">
        <v>159</v>
      </c>
      <c r="H1748" s="70" t="str">
        <f t="shared" si="55"/>
        <v>PHI</v>
      </c>
    </row>
    <row r="1749" spans="1:8" ht="15" x14ac:dyDescent="0.25">
      <c r="A1749" s="88" t="s">
        <v>1267</v>
      </c>
      <c r="B1749" s="88">
        <v>2012</v>
      </c>
      <c r="C1749" s="89" t="s">
        <v>1288</v>
      </c>
      <c r="D1749" s="88" t="s">
        <v>160</v>
      </c>
      <c r="F1749" s="70">
        <f t="shared" si="54"/>
        <v>2012</v>
      </c>
      <c r="G1749" s="70" t="s">
        <v>159</v>
      </c>
      <c r="H1749" s="70" t="str">
        <f t="shared" si="55"/>
        <v>PHI</v>
      </c>
    </row>
    <row r="1750" spans="1:8" ht="15" x14ac:dyDescent="0.25">
      <c r="A1750" s="88" t="s">
        <v>1267</v>
      </c>
      <c r="B1750" s="88">
        <v>2012</v>
      </c>
      <c r="C1750" s="89" t="s">
        <v>1287</v>
      </c>
      <c r="D1750" s="88" t="s">
        <v>160</v>
      </c>
      <c r="F1750" s="70">
        <f t="shared" si="54"/>
        <v>2012</v>
      </c>
      <c r="G1750" s="70" t="s">
        <v>159</v>
      </c>
      <c r="H1750" s="70" t="str">
        <f t="shared" si="55"/>
        <v>PHI</v>
      </c>
    </row>
    <row r="1751" spans="1:8" ht="15" x14ac:dyDescent="0.25">
      <c r="A1751" s="88" t="s">
        <v>1267</v>
      </c>
      <c r="B1751" s="88">
        <v>2012</v>
      </c>
      <c r="C1751" s="89" t="s">
        <v>1286</v>
      </c>
      <c r="D1751" s="88" t="s">
        <v>160</v>
      </c>
      <c r="F1751" s="70">
        <f t="shared" si="54"/>
        <v>2012</v>
      </c>
      <c r="G1751" s="70" t="s">
        <v>159</v>
      </c>
      <c r="H1751" s="70" t="str">
        <f t="shared" si="55"/>
        <v>PHI</v>
      </c>
    </row>
    <row r="1752" spans="1:8" ht="15" x14ac:dyDescent="0.25">
      <c r="A1752" s="88" t="s">
        <v>1267</v>
      </c>
      <c r="B1752" s="88">
        <v>2012</v>
      </c>
      <c r="C1752" s="89" t="s">
        <v>1285</v>
      </c>
      <c r="D1752" s="88" t="s">
        <v>160</v>
      </c>
      <c r="F1752" s="70">
        <f t="shared" si="54"/>
        <v>2012</v>
      </c>
      <c r="G1752" s="70" t="s">
        <v>159</v>
      </c>
      <c r="H1752" s="70" t="str">
        <f t="shared" si="55"/>
        <v>PHI</v>
      </c>
    </row>
    <row r="1753" spans="1:8" ht="15" x14ac:dyDescent="0.25">
      <c r="A1753" s="88" t="s">
        <v>1267</v>
      </c>
      <c r="B1753" s="88">
        <v>2012</v>
      </c>
      <c r="C1753" s="89" t="s">
        <v>1284</v>
      </c>
      <c r="D1753" s="88" t="s">
        <v>160</v>
      </c>
      <c r="F1753" s="70">
        <f t="shared" si="54"/>
        <v>2012</v>
      </c>
      <c r="G1753" s="70" t="s">
        <v>159</v>
      </c>
      <c r="H1753" s="70" t="str">
        <f t="shared" si="55"/>
        <v>PHI</v>
      </c>
    </row>
    <row r="1754" spans="1:8" ht="15" x14ac:dyDescent="0.25">
      <c r="A1754" s="88" t="s">
        <v>1267</v>
      </c>
      <c r="B1754" s="88">
        <v>2013</v>
      </c>
      <c r="C1754" s="76" t="s">
        <v>1283</v>
      </c>
      <c r="D1754" s="89" t="s">
        <v>160</v>
      </c>
      <c r="F1754" s="70">
        <f t="shared" si="54"/>
        <v>2013</v>
      </c>
      <c r="G1754" s="70" t="s">
        <v>159</v>
      </c>
      <c r="H1754" s="70" t="str">
        <f t="shared" si="55"/>
        <v>PHI</v>
      </c>
    </row>
    <row r="1755" spans="1:8" ht="15" x14ac:dyDescent="0.25">
      <c r="A1755" s="88" t="s">
        <v>1267</v>
      </c>
      <c r="B1755" s="88">
        <v>2013</v>
      </c>
      <c r="C1755" s="76" t="s">
        <v>1282</v>
      </c>
      <c r="D1755" s="89" t="s">
        <v>160</v>
      </c>
      <c r="F1755" s="70">
        <f t="shared" si="54"/>
        <v>2013</v>
      </c>
      <c r="G1755" s="70" t="s">
        <v>159</v>
      </c>
      <c r="H1755" s="70" t="str">
        <f t="shared" si="55"/>
        <v>PHI</v>
      </c>
    </row>
    <row r="1756" spans="1:8" ht="15" x14ac:dyDescent="0.25">
      <c r="A1756" s="88" t="s">
        <v>1267</v>
      </c>
      <c r="B1756" s="88">
        <v>2013</v>
      </c>
      <c r="C1756" s="76" t="s">
        <v>1281</v>
      </c>
      <c r="D1756" s="89" t="s">
        <v>160</v>
      </c>
      <c r="F1756" s="70">
        <f t="shared" si="54"/>
        <v>2013</v>
      </c>
      <c r="G1756" s="70" t="s">
        <v>159</v>
      </c>
      <c r="H1756" s="70" t="str">
        <f t="shared" si="55"/>
        <v>PHI</v>
      </c>
    </row>
    <row r="1757" spans="1:8" ht="15" x14ac:dyDescent="0.25">
      <c r="A1757" s="88" t="s">
        <v>1267</v>
      </c>
      <c r="B1757" s="88">
        <v>2014</v>
      </c>
      <c r="C1757" s="76" t="s">
        <v>1280</v>
      </c>
      <c r="D1757" s="89" t="s">
        <v>160</v>
      </c>
      <c r="F1757" s="70">
        <f t="shared" si="54"/>
        <v>2014</v>
      </c>
      <c r="G1757" s="70" t="s">
        <v>159</v>
      </c>
      <c r="H1757" s="70" t="str">
        <f t="shared" si="55"/>
        <v>PHI</v>
      </c>
    </row>
    <row r="1758" spans="1:8" ht="15" x14ac:dyDescent="0.25">
      <c r="A1758" s="88" t="s">
        <v>1267</v>
      </c>
      <c r="B1758" s="88">
        <v>2014</v>
      </c>
      <c r="C1758" s="76" t="s">
        <v>1279</v>
      </c>
      <c r="D1758" s="89" t="s">
        <v>160</v>
      </c>
      <c r="F1758" s="70">
        <f t="shared" si="54"/>
        <v>2014</v>
      </c>
      <c r="G1758" s="70" t="s">
        <v>159</v>
      </c>
      <c r="H1758" s="70" t="str">
        <f t="shared" si="55"/>
        <v>PHI</v>
      </c>
    </row>
    <row r="1759" spans="1:8" ht="15" x14ac:dyDescent="0.25">
      <c r="A1759" s="88" t="s">
        <v>1267</v>
      </c>
      <c r="B1759" s="88">
        <v>2014</v>
      </c>
      <c r="C1759" s="76" t="s">
        <v>1278</v>
      </c>
      <c r="D1759" s="89" t="s">
        <v>160</v>
      </c>
      <c r="F1759" s="70">
        <f t="shared" si="54"/>
        <v>2014</v>
      </c>
      <c r="G1759" s="70" t="s">
        <v>159</v>
      </c>
      <c r="H1759" s="70" t="str">
        <f t="shared" si="55"/>
        <v>PHI</v>
      </c>
    </row>
    <row r="1760" spans="1:8" ht="15" x14ac:dyDescent="0.25">
      <c r="A1760" s="88" t="s">
        <v>1267</v>
      </c>
      <c r="B1760" s="88">
        <v>2014</v>
      </c>
      <c r="C1760" s="76" t="s">
        <v>1277</v>
      </c>
      <c r="D1760" s="89" t="s">
        <v>160</v>
      </c>
      <c r="F1760" s="70">
        <f t="shared" si="54"/>
        <v>2014</v>
      </c>
      <c r="G1760" s="70" t="s">
        <v>159</v>
      </c>
      <c r="H1760" s="70" t="str">
        <f t="shared" si="55"/>
        <v>PHI</v>
      </c>
    </row>
    <row r="1761" spans="1:8" ht="15" x14ac:dyDescent="0.25">
      <c r="A1761" s="88" t="s">
        <v>1267</v>
      </c>
      <c r="B1761" s="88">
        <v>2015</v>
      </c>
      <c r="C1761" s="76" t="s">
        <v>1276</v>
      </c>
      <c r="D1761" s="89" t="s">
        <v>160</v>
      </c>
      <c r="F1761" s="70">
        <f t="shared" si="54"/>
        <v>2015</v>
      </c>
      <c r="G1761" s="70" t="s">
        <v>159</v>
      </c>
      <c r="H1761" s="70" t="str">
        <f t="shared" si="55"/>
        <v>PHI</v>
      </c>
    </row>
    <row r="1762" spans="1:8" ht="15" x14ac:dyDescent="0.25">
      <c r="A1762" s="88" t="s">
        <v>1267</v>
      </c>
      <c r="B1762" s="88">
        <v>2015</v>
      </c>
      <c r="C1762" s="76" t="s">
        <v>1275</v>
      </c>
      <c r="D1762" s="89" t="s">
        <v>160</v>
      </c>
      <c r="F1762" s="70">
        <f t="shared" si="54"/>
        <v>2015</v>
      </c>
      <c r="G1762" s="70" t="s">
        <v>159</v>
      </c>
      <c r="H1762" s="70" t="str">
        <f t="shared" si="55"/>
        <v>PHI</v>
      </c>
    </row>
    <row r="1763" spans="1:8" ht="15" x14ac:dyDescent="0.25">
      <c r="A1763" s="88" t="s">
        <v>1267</v>
      </c>
      <c r="B1763" s="88">
        <v>2015</v>
      </c>
      <c r="C1763" s="76" t="s">
        <v>1274</v>
      </c>
      <c r="D1763" s="89" t="s">
        <v>160</v>
      </c>
      <c r="F1763" s="70">
        <f t="shared" si="54"/>
        <v>2015</v>
      </c>
      <c r="G1763" s="70" t="s">
        <v>159</v>
      </c>
      <c r="H1763" s="70" t="str">
        <f t="shared" si="55"/>
        <v>PHI</v>
      </c>
    </row>
    <row r="1764" spans="1:8" ht="15" x14ac:dyDescent="0.25">
      <c r="A1764" s="88" t="s">
        <v>1267</v>
      </c>
      <c r="B1764" s="88">
        <v>2016</v>
      </c>
      <c r="C1764" s="76" t="s">
        <v>1273</v>
      </c>
      <c r="D1764" s="89" t="s">
        <v>160</v>
      </c>
      <c r="F1764" s="70">
        <f t="shared" si="54"/>
        <v>2016</v>
      </c>
      <c r="G1764" s="70" t="s">
        <v>159</v>
      </c>
      <c r="H1764" s="70" t="str">
        <f t="shared" si="55"/>
        <v>PHI</v>
      </c>
    </row>
    <row r="1765" spans="1:8" ht="15" x14ac:dyDescent="0.25">
      <c r="A1765" s="88" t="s">
        <v>1267</v>
      </c>
      <c r="B1765" s="88">
        <v>2016</v>
      </c>
      <c r="C1765" s="76" t="s">
        <v>1272</v>
      </c>
      <c r="D1765" s="89" t="s">
        <v>160</v>
      </c>
      <c r="F1765" s="70">
        <f t="shared" si="54"/>
        <v>2016</v>
      </c>
      <c r="G1765" s="70" t="s">
        <v>159</v>
      </c>
      <c r="H1765" s="70" t="str">
        <f t="shared" si="55"/>
        <v>PHI</v>
      </c>
    </row>
    <row r="1766" spans="1:8" ht="15" x14ac:dyDescent="0.25">
      <c r="A1766" s="78" t="s">
        <v>1267</v>
      </c>
      <c r="B1766" s="78">
        <v>2017</v>
      </c>
      <c r="C1766" s="92" t="s">
        <v>1271</v>
      </c>
      <c r="D1766" s="91" t="s">
        <v>160</v>
      </c>
      <c r="F1766" s="70">
        <f t="shared" si="54"/>
        <v>2017</v>
      </c>
      <c r="G1766" s="70" t="s">
        <v>159</v>
      </c>
      <c r="H1766" s="70" t="str">
        <f t="shared" si="55"/>
        <v>PHI</v>
      </c>
    </row>
    <row r="1767" spans="1:8" ht="15" x14ac:dyDescent="0.25">
      <c r="A1767" s="78" t="s">
        <v>1267</v>
      </c>
      <c r="B1767" s="78">
        <v>2017</v>
      </c>
      <c r="C1767" s="92" t="s">
        <v>1270</v>
      </c>
      <c r="D1767" s="91" t="s">
        <v>160</v>
      </c>
      <c r="F1767" s="70">
        <f t="shared" si="54"/>
        <v>2017</v>
      </c>
      <c r="G1767" s="70" t="s">
        <v>159</v>
      </c>
      <c r="H1767" s="70" t="str">
        <f t="shared" si="55"/>
        <v>PHI</v>
      </c>
    </row>
    <row r="1768" spans="1:8" ht="15" x14ac:dyDescent="0.25">
      <c r="A1768" s="81" t="s">
        <v>1267</v>
      </c>
      <c r="B1768" s="81">
        <v>2018</v>
      </c>
      <c r="C1768" s="90" t="s">
        <v>1269</v>
      </c>
      <c r="D1768" s="71" t="s">
        <v>160</v>
      </c>
      <c r="F1768" s="70">
        <f t="shared" si="54"/>
        <v>2018</v>
      </c>
      <c r="G1768" s="70" t="s">
        <v>159</v>
      </c>
      <c r="H1768" s="70" t="str">
        <f t="shared" si="55"/>
        <v>PHI</v>
      </c>
    </row>
    <row r="1769" spans="1:8" ht="15" x14ac:dyDescent="0.25">
      <c r="A1769" s="81" t="s">
        <v>1267</v>
      </c>
      <c r="B1769" s="81">
        <v>2018</v>
      </c>
      <c r="C1769" s="90" t="s">
        <v>1268</v>
      </c>
      <c r="D1769" s="71" t="s">
        <v>160</v>
      </c>
      <c r="F1769" s="70">
        <f t="shared" si="54"/>
        <v>2018</v>
      </c>
      <c r="G1769" s="70" t="s">
        <v>159</v>
      </c>
      <c r="H1769" s="70" t="str">
        <f t="shared" si="55"/>
        <v>PHI</v>
      </c>
    </row>
    <row r="1770" spans="1:8" ht="15" x14ac:dyDescent="0.25">
      <c r="A1770" s="81" t="s">
        <v>1267</v>
      </c>
      <c r="B1770" s="81">
        <v>2018</v>
      </c>
      <c r="C1770" s="90" t="s">
        <v>1266</v>
      </c>
      <c r="D1770" s="71" t="s">
        <v>160</v>
      </c>
      <c r="F1770" s="70">
        <f t="shared" si="54"/>
        <v>2018</v>
      </c>
      <c r="G1770" s="70" t="s">
        <v>159</v>
      </c>
      <c r="H1770" s="70" t="str">
        <f t="shared" si="55"/>
        <v>PHI</v>
      </c>
    </row>
    <row r="1771" spans="1:8" ht="15" x14ac:dyDescent="0.25">
      <c r="A1771" s="88" t="s">
        <v>1152</v>
      </c>
      <c r="B1771" s="78">
        <v>1975</v>
      </c>
      <c r="C1771" s="89" t="s">
        <v>1265</v>
      </c>
      <c r="D1771" s="88" t="s">
        <v>160</v>
      </c>
      <c r="F1771" s="70">
        <f t="shared" si="54"/>
        <v>1975</v>
      </c>
      <c r="G1771" s="70" t="s">
        <v>159</v>
      </c>
      <c r="H1771" s="70" t="str">
        <f t="shared" si="55"/>
        <v>PPS</v>
      </c>
    </row>
    <row r="1772" spans="1:8" ht="15" x14ac:dyDescent="0.25">
      <c r="A1772" s="88" t="s">
        <v>1152</v>
      </c>
      <c r="B1772" s="88">
        <v>1976</v>
      </c>
      <c r="C1772" s="89" t="s">
        <v>1264</v>
      </c>
      <c r="D1772" s="88" t="s">
        <v>160</v>
      </c>
      <c r="F1772" s="70">
        <f t="shared" si="54"/>
        <v>1976</v>
      </c>
      <c r="G1772" s="70" t="s">
        <v>159</v>
      </c>
      <c r="H1772" s="70" t="str">
        <f t="shared" si="55"/>
        <v>PPS</v>
      </c>
    </row>
    <row r="1773" spans="1:8" ht="15" x14ac:dyDescent="0.25">
      <c r="A1773" s="88" t="s">
        <v>1152</v>
      </c>
      <c r="B1773" s="88">
        <v>1977</v>
      </c>
      <c r="C1773" s="89" t="s">
        <v>1263</v>
      </c>
      <c r="D1773" s="88" t="s">
        <v>160</v>
      </c>
      <c r="F1773" s="70">
        <f t="shared" si="54"/>
        <v>1977</v>
      </c>
      <c r="G1773" s="70" t="s">
        <v>159</v>
      </c>
      <c r="H1773" s="70" t="str">
        <f t="shared" si="55"/>
        <v>PPS</v>
      </c>
    </row>
    <row r="1774" spans="1:8" ht="15" x14ac:dyDescent="0.25">
      <c r="A1774" s="88" t="s">
        <v>1152</v>
      </c>
      <c r="B1774" s="88">
        <v>1978</v>
      </c>
      <c r="C1774" s="89" t="s">
        <v>1262</v>
      </c>
      <c r="D1774" s="88" t="s">
        <v>160</v>
      </c>
      <c r="F1774" s="70">
        <f t="shared" si="54"/>
        <v>1978</v>
      </c>
      <c r="G1774" s="70" t="s">
        <v>159</v>
      </c>
      <c r="H1774" s="70" t="str">
        <f t="shared" si="55"/>
        <v>PPS</v>
      </c>
    </row>
    <row r="1775" spans="1:8" ht="15" x14ac:dyDescent="0.25">
      <c r="A1775" s="88" t="s">
        <v>1152</v>
      </c>
      <c r="B1775" s="88">
        <v>1979</v>
      </c>
      <c r="C1775" s="89" t="s">
        <v>1261</v>
      </c>
      <c r="D1775" s="88" t="s">
        <v>160</v>
      </c>
      <c r="F1775" s="70">
        <f t="shared" si="54"/>
        <v>1979</v>
      </c>
      <c r="G1775" s="70" t="s">
        <v>159</v>
      </c>
      <c r="H1775" s="70" t="str">
        <f t="shared" si="55"/>
        <v>PPS</v>
      </c>
    </row>
    <row r="1776" spans="1:8" ht="15" x14ac:dyDescent="0.25">
      <c r="A1776" s="88" t="s">
        <v>1152</v>
      </c>
      <c r="B1776" s="88">
        <v>1980</v>
      </c>
      <c r="C1776" s="89" t="s">
        <v>1260</v>
      </c>
      <c r="D1776" s="88" t="s">
        <v>160</v>
      </c>
      <c r="F1776" s="70">
        <f t="shared" si="54"/>
        <v>1980</v>
      </c>
      <c r="G1776" s="70" t="s">
        <v>159</v>
      </c>
      <c r="H1776" s="70" t="str">
        <f t="shared" si="55"/>
        <v>PPS</v>
      </c>
    </row>
    <row r="1777" spans="1:8" ht="15" x14ac:dyDescent="0.25">
      <c r="A1777" s="88" t="s">
        <v>1152</v>
      </c>
      <c r="B1777" s="88">
        <v>1981</v>
      </c>
      <c r="C1777" s="89" t="s">
        <v>1259</v>
      </c>
      <c r="D1777" s="88" t="s">
        <v>160</v>
      </c>
      <c r="F1777" s="70">
        <f t="shared" si="54"/>
        <v>1981</v>
      </c>
      <c r="G1777" s="70" t="s">
        <v>159</v>
      </c>
      <c r="H1777" s="70" t="str">
        <f t="shared" si="55"/>
        <v>PPS</v>
      </c>
    </row>
    <row r="1778" spans="1:8" ht="15" x14ac:dyDescent="0.25">
      <c r="A1778" s="88" t="s">
        <v>1152</v>
      </c>
      <c r="B1778" s="88">
        <v>1982</v>
      </c>
      <c r="C1778" s="89" t="s">
        <v>1258</v>
      </c>
      <c r="D1778" s="88" t="s">
        <v>160</v>
      </c>
      <c r="F1778" s="70">
        <f t="shared" si="54"/>
        <v>1982</v>
      </c>
      <c r="G1778" s="70" t="s">
        <v>159</v>
      </c>
      <c r="H1778" s="70" t="str">
        <f t="shared" si="55"/>
        <v>PPS</v>
      </c>
    </row>
    <row r="1779" spans="1:8" ht="15" x14ac:dyDescent="0.25">
      <c r="A1779" s="88" t="s">
        <v>1152</v>
      </c>
      <c r="B1779" s="88">
        <v>1982</v>
      </c>
      <c r="C1779" s="89" t="s">
        <v>1257</v>
      </c>
      <c r="D1779" s="88" t="s">
        <v>160</v>
      </c>
      <c r="F1779" s="70">
        <f t="shared" si="54"/>
        <v>1982</v>
      </c>
      <c r="G1779" s="70" t="s">
        <v>159</v>
      </c>
      <c r="H1779" s="70" t="str">
        <f t="shared" si="55"/>
        <v>PPS</v>
      </c>
    </row>
    <row r="1780" spans="1:8" ht="15" x14ac:dyDescent="0.25">
      <c r="A1780" s="88" t="s">
        <v>1152</v>
      </c>
      <c r="B1780" s="88">
        <v>1983</v>
      </c>
      <c r="C1780" s="89" t="s">
        <v>1256</v>
      </c>
      <c r="D1780" s="88" t="s">
        <v>160</v>
      </c>
      <c r="F1780" s="70">
        <f t="shared" si="54"/>
        <v>1983</v>
      </c>
      <c r="G1780" s="70" t="s">
        <v>159</v>
      </c>
      <c r="H1780" s="70" t="str">
        <f t="shared" si="55"/>
        <v>PPS</v>
      </c>
    </row>
    <row r="1781" spans="1:8" ht="15" x14ac:dyDescent="0.25">
      <c r="A1781" s="88" t="s">
        <v>1152</v>
      </c>
      <c r="B1781" s="88">
        <v>1983</v>
      </c>
      <c r="C1781" s="89" t="s">
        <v>1255</v>
      </c>
      <c r="D1781" s="88" t="s">
        <v>160</v>
      </c>
      <c r="F1781" s="70">
        <f t="shared" si="54"/>
        <v>1983</v>
      </c>
      <c r="G1781" s="70" t="s">
        <v>159</v>
      </c>
      <c r="H1781" s="70" t="str">
        <f t="shared" si="55"/>
        <v>PPS</v>
      </c>
    </row>
    <row r="1782" spans="1:8" ht="15" x14ac:dyDescent="0.25">
      <c r="A1782" s="88" t="s">
        <v>1152</v>
      </c>
      <c r="B1782" s="88">
        <v>1984</v>
      </c>
      <c r="C1782" s="89" t="s">
        <v>1254</v>
      </c>
      <c r="D1782" s="88" t="s">
        <v>160</v>
      </c>
      <c r="F1782" s="70">
        <f t="shared" si="54"/>
        <v>1984</v>
      </c>
      <c r="G1782" s="70" t="s">
        <v>159</v>
      </c>
      <c r="H1782" s="70" t="str">
        <f t="shared" si="55"/>
        <v>PPS</v>
      </c>
    </row>
    <row r="1783" spans="1:8" ht="15" x14ac:dyDescent="0.25">
      <c r="A1783" s="88" t="s">
        <v>1152</v>
      </c>
      <c r="B1783" s="88">
        <v>1984</v>
      </c>
      <c r="C1783" s="89" t="s">
        <v>1253</v>
      </c>
      <c r="D1783" s="88" t="s">
        <v>160</v>
      </c>
      <c r="F1783" s="70">
        <f t="shared" si="54"/>
        <v>1984</v>
      </c>
      <c r="G1783" s="70" t="s">
        <v>159</v>
      </c>
      <c r="H1783" s="70" t="str">
        <f t="shared" si="55"/>
        <v>PPS</v>
      </c>
    </row>
    <row r="1784" spans="1:8" ht="15" x14ac:dyDescent="0.25">
      <c r="A1784" s="88" t="s">
        <v>1152</v>
      </c>
      <c r="B1784" s="88">
        <v>1984</v>
      </c>
      <c r="C1784" s="89" t="s">
        <v>1252</v>
      </c>
      <c r="D1784" s="88" t="s">
        <v>160</v>
      </c>
      <c r="F1784" s="70">
        <f t="shared" si="54"/>
        <v>1984</v>
      </c>
      <c r="G1784" s="70" t="s">
        <v>159</v>
      </c>
      <c r="H1784" s="70" t="str">
        <f t="shared" si="55"/>
        <v>PPS</v>
      </c>
    </row>
    <row r="1785" spans="1:8" ht="15" x14ac:dyDescent="0.25">
      <c r="A1785" s="88" t="s">
        <v>1152</v>
      </c>
      <c r="B1785" s="88">
        <v>1984</v>
      </c>
      <c r="C1785" s="89" t="s">
        <v>1251</v>
      </c>
      <c r="D1785" s="88" t="s">
        <v>160</v>
      </c>
      <c r="F1785" s="70">
        <f t="shared" si="54"/>
        <v>1984</v>
      </c>
      <c r="G1785" s="70" t="s">
        <v>159</v>
      </c>
      <c r="H1785" s="70" t="str">
        <f t="shared" si="55"/>
        <v>PPS</v>
      </c>
    </row>
    <row r="1786" spans="1:8" ht="15" x14ac:dyDescent="0.25">
      <c r="A1786" s="88" t="s">
        <v>1152</v>
      </c>
      <c r="B1786" s="88">
        <v>1985</v>
      </c>
      <c r="C1786" s="89" t="s">
        <v>1250</v>
      </c>
      <c r="D1786" s="88" t="s">
        <v>160</v>
      </c>
      <c r="F1786" s="70">
        <f t="shared" si="54"/>
        <v>1985</v>
      </c>
      <c r="G1786" s="70" t="s">
        <v>159</v>
      </c>
      <c r="H1786" s="70" t="str">
        <f t="shared" si="55"/>
        <v>PPS</v>
      </c>
    </row>
    <row r="1787" spans="1:8" ht="15" x14ac:dyDescent="0.25">
      <c r="A1787" s="88" t="s">
        <v>1152</v>
      </c>
      <c r="B1787" s="88">
        <v>1986</v>
      </c>
      <c r="C1787" s="89" t="s">
        <v>1249</v>
      </c>
      <c r="D1787" s="88" t="s">
        <v>160</v>
      </c>
      <c r="F1787" s="70">
        <f t="shared" si="54"/>
        <v>1986</v>
      </c>
      <c r="G1787" s="70" t="s">
        <v>159</v>
      </c>
      <c r="H1787" s="70" t="str">
        <f t="shared" si="55"/>
        <v>PPS</v>
      </c>
    </row>
    <row r="1788" spans="1:8" ht="15" x14ac:dyDescent="0.25">
      <c r="A1788" s="88" t="s">
        <v>1152</v>
      </c>
      <c r="B1788" s="88">
        <v>1986</v>
      </c>
      <c r="C1788" s="89" t="s">
        <v>1248</v>
      </c>
      <c r="D1788" s="88" t="s">
        <v>160</v>
      </c>
      <c r="F1788" s="70">
        <f t="shared" si="54"/>
        <v>1986</v>
      </c>
      <c r="G1788" s="70" t="s">
        <v>159</v>
      </c>
      <c r="H1788" s="70" t="str">
        <f t="shared" si="55"/>
        <v>PPS</v>
      </c>
    </row>
    <row r="1789" spans="1:8" ht="15" x14ac:dyDescent="0.25">
      <c r="A1789" s="88" t="s">
        <v>1152</v>
      </c>
      <c r="B1789" s="88">
        <v>1987</v>
      </c>
      <c r="C1789" s="89" t="s">
        <v>1247</v>
      </c>
      <c r="D1789" s="88" t="s">
        <v>160</v>
      </c>
      <c r="F1789" s="70">
        <f t="shared" si="54"/>
        <v>1987</v>
      </c>
      <c r="G1789" s="70" t="s">
        <v>159</v>
      </c>
      <c r="H1789" s="70" t="str">
        <f t="shared" si="55"/>
        <v>PPS</v>
      </c>
    </row>
    <row r="1790" spans="1:8" ht="15" x14ac:dyDescent="0.25">
      <c r="A1790" s="88" t="s">
        <v>1152</v>
      </c>
      <c r="B1790" s="88">
        <v>1988</v>
      </c>
      <c r="C1790" s="89" t="s">
        <v>1246</v>
      </c>
      <c r="D1790" s="88" t="s">
        <v>160</v>
      </c>
      <c r="F1790" s="70">
        <f t="shared" si="54"/>
        <v>1988</v>
      </c>
      <c r="G1790" s="70" t="s">
        <v>159</v>
      </c>
      <c r="H1790" s="70" t="str">
        <f t="shared" si="55"/>
        <v>PPS</v>
      </c>
    </row>
    <row r="1791" spans="1:8" ht="15" x14ac:dyDescent="0.25">
      <c r="A1791" s="88" t="s">
        <v>1152</v>
      </c>
      <c r="B1791" s="88">
        <v>1989</v>
      </c>
      <c r="C1791" s="89" t="s">
        <v>1245</v>
      </c>
      <c r="D1791" s="88" t="s">
        <v>160</v>
      </c>
      <c r="F1791" s="70">
        <f t="shared" si="54"/>
        <v>1989</v>
      </c>
      <c r="G1791" s="70" t="s">
        <v>159</v>
      </c>
      <c r="H1791" s="70" t="str">
        <f t="shared" si="55"/>
        <v>PPS</v>
      </c>
    </row>
    <row r="1792" spans="1:8" ht="15" x14ac:dyDescent="0.25">
      <c r="A1792" s="88" t="s">
        <v>1152</v>
      </c>
      <c r="B1792" s="88">
        <v>1989</v>
      </c>
      <c r="C1792" s="89" t="s">
        <v>1244</v>
      </c>
      <c r="D1792" s="88" t="s">
        <v>160</v>
      </c>
      <c r="F1792" s="70">
        <f t="shared" si="54"/>
        <v>1989</v>
      </c>
      <c r="G1792" s="70" t="s">
        <v>159</v>
      </c>
      <c r="H1792" s="70" t="str">
        <f t="shared" si="55"/>
        <v>PPS</v>
      </c>
    </row>
    <row r="1793" spans="1:8" ht="15" x14ac:dyDescent="0.25">
      <c r="A1793" s="88" t="s">
        <v>1152</v>
      </c>
      <c r="B1793" s="88">
        <v>1990</v>
      </c>
      <c r="C1793" s="89" t="s">
        <v>1243</v>
      </c>
      <c r="D1793" s="88" t="s">
        <v>160</v>
      </c>
      <c r="F1793" s="70">
        <f t="shared" si="54"/>
        <v>1990</v>
      </c>
      <c r="G1793" s="70" t="s">
        <v>159</v>
      </c>
      <c r="H1793" s="70" t="str">
        <f t="shared" si="55"/>
        <v>PPS</v>
      </c>
    </row>
    <row r="1794" spans="1:8" ht="15" x14ac:dyDescent="0.25">
      <c r="A1794" s="88" t="s">
        <v>1152</v>
      </c>
      <c r="B1794" s="88">
        <v>1990</v>
      </c>
      <c r="C1794" s="89" t="s">
        <v>1242</v>
      </c>
      <c r="D1794" s="88" t="s">
        <v>160</v>
      </c>
      <c r="F1794" s="70">
        <f t="shared" si="54"/>
        <v>1990</v>
      </c>
      <c r="G1794" s="70" t="s">
        <v>159</v>
      </c>
      <c r="H1794" s="70" t="str">
        <f t="shared" si="55"/>
        <v>PPS</v>
      </c>
    </row>
    <row r="1795" spans="1:8" ht="15" x14ac:dyDescent="0.25">
      <c r="A1795" s="88" t="s">
        <v>1152</v>
      </c>
      <c r="B1795" s="88">
        <v>1991</v>
      </c>
      <c r="C1795" s="89" t="s">
        <v>1241</v>
      </c>
      <c r="D1795" s="88" t="s">
        <v>160</v>
      </c>
      <c r="F1795" s="70">
        <f t="shared" si="54"/>
        <v>1991</v>
      </c>
      <c r="G1795" s="70" t="s">
        <v>159</v>
      </c>
      <c r="H1795" s="70" t="str">
        <f t="shared" si="55"/>
        <v>PPS</v>
      </c>
    </row>
    <row r="1796" spans="1:8" ht="15" x14ac:dyDescent="0.25">
      <c r="A1796" s="88" t="s">
        <v>1152</v>
      </c>
      <c r="B1796" s="88">
        <v>1991</v>
      </c>
      <c r="C1796" s="89" t="s">
        <v>1240</v>
      </c>
      <c r="D1796" s="88" t="s">
        <v>160</v>
      </c>
      <c r="F1796" s="70">
        <f t="shared" si="54"/>
        <v>1991</v>
      </c>
      <c r="G1796" s="70" t="s">
        <v>159</v>
      </c>
      <c r="H1796" s="70" t="str">
        <f t="shared" si="55"/>
        <v>PPS</v>
      </c>
    </row>
    <row r="1797" spans="1:8" ht="15" x14ac:dyDescent="0.25">
      <c r="A1797" s="88" t="s">
        <v>1152</v>
      </c>
      <c r="B1797" s="88">
        <v>1991</v>
      </c>
      <c r="C1797" s="89" t="s">
        <v>1239</v>
      </c>
      <c r="D1797" s="88" t="s">
        <v>160</v>
      </c>
      <c r="F1797" s="70">
        <f t="shared" si="54"/>
        <v>1991</v>
      </c>
      <c r="G1797" s="70" t="s">
        <v>159</v>
      </c>
      <c r="H1797" s="70" t="str">
        <f t="shared" si="55"/>
        <v>PPS</v>
      </c>
    </row>
    <row r="1798" spans="1:8" ht="15" x14ac:dyDescent="0.25">
      <c r="A1798" s="88" t="s">
        <v>1152</v>
      </c>
      <c r="B1798" s="88">
        <v>1991</v>
      </c>
      <c r="C1798" s="89" t="s">
        <v>1238</v>
      </c>
      <c r="D1798" s="88" t="s">
        <v>160</v>
      </c>
      <c r="F1798" s="70">
        <f t="shared" si="54"/>
        <v>1991</v>
      </c>
      <c r="G1798" s="70" t="s">
        <v>159</v>
      </c>
      <c r="H1798" s="70" t="str">
        <f t="shared" si="55"/>
        <v>PPS</v>
      </c>
    </row>
    <row r="1799" spans="1:8" ht="15" x14ac:dyDescent="0.25">
      <c r="A1799" s="88" t="s">
        <v>1152</v>
      </c>
      <c r="B1799" s="88">
        <v>1992</v>
      </c>
      <c r="C1799" s="89" t="s">
        <v>1237</v>
      </c>
      <c r="D1799" s="88" t="s">
        <v>160</v>
      </c>
      <c r="F1799" s="70">
        <f t="shared" si="54"/>
        <v>1992</v>
      </c>
      <c r="G1799" s="70" t="s">
        <v>159</v>
      </c>
      <c r="H1799" s="70" t="str">
        <f t="shared" si="55"/>
        <v>PPS</v>
      </c>
    </row>
    <row r="1800" spans="1:8" ht="15" x14ac:dyDescent="0.25">
      <c r="A1800" s="88" t="s">
        <v>1152</v>
      </c>
      <c r="B1800" s="88">
        <v>1992</v>
      </c>
      <c r="C1800" s="89" t="s">
        <v>1236</v>
      </c>
      <c r="D1800" s="88" t="s">
        <v>160</v>
      </c>
      <c r="F1800" s="70">
        <f t="shared" ref="F1800:F1863" si="56">+B1800</f>
        <v>1992</v>
      </c>
      <c r="G1800" s="70" t="s">
        <v>159</v>
      </c>
      <c r="H1800" s="70" t="str">
        <f t="shared" ref="H1800:H1863" si="57">A1800</f>
        <v>PPS</v>
      </c>
    </row>
    <row r="1801" spans="1:8" ht="15" x14ac:dyDescent="0.25">
      <c r="A1801" s="88" t="s">
        <v>1152</v>
      </c>
      <c r="B1801" s="88">
        <v>1993</v>
      </c>
      <c r="C1801" s="89" t="s">
        <v>1235</v>
      </c>
      <c r="D1801" s="88" t="s">
        <v>160</v>
      </c>
      <c r="F1801" s="70">
        <f t="shared" si="56"/>
        <v>1993</v>
      </c>
      <c r="G1801" s="70" t="s">
        <v>159</v>
      </c>
      <c r="H1801" s="70" t="str">
        <f t="shared" si="57"/>
        <v>PPS</v>
      </c>
    </row>
    <row r="1802" spans="1:8" ht="15" x14ac:dyDescent="0.25">
      <c r="A1802" s="88" t="s">
        <v>1152</v>
      </c>
      <c r="B1802" s="88">
        <v>1993</v>
      </c>
      <c r="C1802" s="89" t="s">
        <v>1234</v>
      </c>
      <c r="D1802" s="88" t="s">
        <v>160</v>
      </c>
      <c r="F1802" s="70">
        <f t="shared" si="56"/>
        <v>1993</v>
      </c>
      <c r="G1802" s="70" t="s">
        <v>159</v>
      </c>
      <c r="H1802" s="70" t="str">
        <f t="shared" si="57"/>
        <v>PPS</v>
      </c>
    </row>
    <row r="1803" spans="1:8" ht="15" x14ac:dyDescent="0.25">
      <c r="A1803" s="88" t="s">
        <v>1152</v>
      </c>
      <c r="B1803" s="88">
        <v>1994</v>
      </c>
      <c r="C1803" s="89" t="s">
        <v>1233</v>
      </c>
      <c r="D1803" s="88" t="s">
        <v>160</v>
      </c>
      <c r="F1803" s="70">
        <f t="shared" si="56"/>
        <v>1994</v>
      </c>
      <c r="G1803" s="70" t="s">
        <v>159</v>
      </c>
      <c r="H1803" s="70" t="str">
        <f t="shared" si="57"/>
        <v>PPS</v>
      </c>
    </row>
    <row r="1804" spans="1:8" ht="15" x14ac:dyDescent="0.25">
      <c r="A1804" s="88" t="s">
        <v>1152</v>
      </c>
      <c r="B1804" s="88">
        <v>1996</v>
      </c>
      <c r="C1804" s="89" t="s">
        <v>1232</v>
      </c>
      <c r="D1804" s="88" t="s">
        <v>160</v>
      </c>
      <c r="F1804" s="70">
        <f t="shared" si="56"/>
        <v>1996</v>
      </c>
      <c r="G1804" s="70" t="s">
        <v>159</v>
      </c>
      <c r="H1804" s="70" t="str">
        <f t="shared" si="57"/>
        <v>PPS</v>
      </c>
    </row>
    <row r="1805" spans="1:8" ht="15" x14ac:dyDescent="0.25">
      <c r="A1805" s="88" t="s">
        <v>1152</v>
      </c>
      <c r="B1805" s="88">
        <v>1997</v>
      </c>
      <c r="C1805" s="89" t="s">
        <v>1231</v>
      </c>
      <c r="D1805" s="88" t="s">
        <v>160</v>
      </c>
      <c r="F1805" s="70">
        <f t="shared" si="56"/>
        <v>1997</v>
      </c>
      <c r="G1805" s="70" t="s">
        <v>159</v>
      </c>
      <c r="H1805" s="70" t="str">
        <f t="shared" si="57"/>
        <v>PPS</v>
      </c>
    </row>
    <row r="1806" spans="1:8" ht="15" x14ac:dyDescent="0.25">
      <c r="A1806" s="88" t="s">
        <v>1152</v>
      </c>
      <c r="B1806" s="88">
        <v>1998</v>
      </c>
      <c r="C1806" s="89" t="s">
        <v>1230</v>
      </c>
      <c r="D1806" s="88" t="s">
        <v>160</v>
      </c>
      <c r="F1806" s="70">
        <f t="shared" si="56"/>
        <v>1998</v>
      </c>
      <c r="G1806" s="70" t="s">
        <v>159</v>
      </c>
      <c r="H1806" s="70" t="str">
        <f t="shared" si="57"/>
        <v>PPS</v>
      </c>
    </row>
    <row r="1807" spans="1:8" ht="15" x14ac:dyDescent="0.25">
      <c r="A1807" s="88" t="s">
        <v>1152</v>
      </c>
      <c r="B1807" s="88">
        <v>1999</v>
      </c>
      <c r="C1807" s="89" t="s">
        <v>1229</v>
      </c>
      <c r="D1807" s="88" t="s">
        <v>160</v>
      </c>
      <c r="F1807" s="70">
        <f t="shared" si="56"/>
        <v>1999</v>
      </c>
      <c r="G1807" s="70" t="s">
        <v>159</v>
      </c>
      <c r="H1807" s="70" t="str">
        <f t="shared" si="57"/>
        <v>PPS</v>
      </c>
    </row>
    <row r="1808" spans="1:8" ht="15" x14ac:dyDescent="0.25">
      <c r="A1808" s="88" t="s">
        <v>1152</v>
      </c>
      <c r="B1808" s="88">
        <v>1999</v>
      </c>
      <c r="C1808" s="89" t="s">
        <v>1228</v>
      </c>
      <c r="D1808" s="88" t="s">
        <v>160</v>
      </c>
      <c r="F1808" s="70">
        <f t="shared" si="56"/>
        <v>1999</v>
      </c>
      <c r="G1808" s="70" t="s">
        <v>159</v>
      </c>
      <c r="H1808" s="70" t="str">
        <f t="shared" si="57"/>
        <v>PPS</v>
      </c>
    </row>
    <row r="1809" spans="1:8" ht="15" x14ac:dyDescent="0.25">
      <c r="A1809" s="88" t="s">
        <v>1152</v>
      </c>
      <c r="B1809" s="88">
        <v>2000</v>
      </c>
      <c r="C1809" s="89" t="s">
        <v>1227</v>
      </c>
      <c r="D1809" s="88" t="s">
        <v>160</v>
      </c>
      <c r="F1809" s="70">
        <f t="shared" si="56"/>
        <v>2000</v>
      </c>
      <c r="G1809" s="70" t="s">
        <v>159</v>
      </c>
      <c r="H1809" s="70" t="str">
        <f t="shared" si="57"/>
        <v>PPS</v>
      </c>
    </row>
    <row r="1810" spans="1:8" ht="15" x14ac:dyDescent="0.25">
      <c r="A1810" s="88" t="s">
        <v>1152</v>
      </c>
      <c r="B1810" s="88">
        <v>2000</v>
      </c>
      <c r="C1810" s="89" t="s">
        <v>1226</v>
      </c>
      <c r="D1810" s="88" t="s">
        <v>160</v>
      </c>
      <c r="F1810" s="70">
        <f t="shared" si="56"/>
        <v>2000</v>
      </c>
      <c r="G1810" s="70" t="s">
        <v>159</v>
      </c>
      <c r="H1810" s="70" t="str">
        <f t="shared" si="57"/>
        <v>PPS</v>
      </c>
    </row>
    <row r="1811" spans="1:8" ht="15" x14ac:dyDescent="0.25">
      <c r="A1811" s="88" t="s">
        <v>1152</v>
      </c>
      <c r="B1811" s="88">
        <v>2001</v>
      </c>
      <c r="C1811" s="89" t="s">
        <v>1225</v>
      </c>
      <c r="D1811" s="88" t="s">
        <v>160</v>
      </c>
      <c r="F1811" s="70">
        <f t="shared" si="56"/>
        <v>2001</v>
      </c>
      <c r="G1811" s="70" t="s">
        <v>159</v>
      </c>
      <c r="H1811" s="70" t="str">
        <f t="shared" si="57"/>
        <v>PPS</v>
      </c>
    </row>
    <row r="1812" spans="1:8" ht="15" x14ac:dyDescent="0.25">
      <c r="A1812" s="88" t="s">
        <v>1152</v>
      </c>
      <c r="B1812" s="88">
        <v>2001</v>
      </c>
      <c r="C1812" s="89" t="s">
        <v>1224</v>
      </c>
      <c r="D1812" s="88" t="s">
        <v>160</v>
      </c>
      <c r="F1812" s="70">
        <f t="shared" si="56"/>
        <v>2001</v>
      </c>
      <c r="G1812" s="70" t="s">
        <v>159</v>
      </c>
      <c r="H1812" s="70" t="str">
        <f t="shared" si="57"/>
        <v>PPS</v>
      </c>
    </row>
    <row r="1813" spans="1:8" ht="15" x14ac:dyDescent="0.25">
      <c r="A1813" s="88" t="s">
        <v>1152</v>
      </c>
      <c r="B1813" s="88">
        <v>2002</v>
      </c>
      <c r="C1813" s="89" t="s">
        <v>1223</v>
      </c>
      <c r="D1813" s="88" t="s">
        <v>160</v>
      </c>
      <c r="F1813" s="70">
        <f t="shared" si="56"/>
        <v>2002</v>
      </c>
      <c r="G1813" s="70" t="s">
        <v>159</v>
      </c>
      <c r="H1813" s="70" t="str">
        <f t="shared" si="57"/>
        <v>PPS</v>
      </c>
    </row>
    <row r="1814" spans="1:8" ht="15" x14ac:dyDescent="0.25">
      <c r="A1814" s="88" t="s">
        <v>1152</v>
      </c>
      <c r="B1814" s="88">
        <v>2002</v>
      </c>
      <c r="C1814" s="89" t="s">
        <v>1222</v>
      </c>
      <c r="D1814" s="88" t="s">
        <v>160</v>
      </c>
      <c r="F1814" s="70">
        <f t="shared" si="56"/>
        <v>2002</v>
      </c>
      <c r="G1814" s="70" t="s">
        <v>159</v>
      </c>
      <c r="H1814" s="70" t="str">
        <f t="shared" si="57"/>
        <v>PPS</v>
      </c>
    </row>
    <row r="1815" spans="1:8" ht="15" x14ac:dyDescent="0.25">
      <c r="A1815" s="88" t="s">
        <v>1152</v>
      </c>
      <c r="B1815" s="88">
        <v>2003</v>
      </c>
      <c r="C1815" s="89" t="s">
        <v>1221</v>
      </c>
      <c r="D1815" s="88" t="s">
        <v>160</v>
      </c>
      <c r="F1815" s="70">
        <f t="shared" si="56"/>
        <v>2003</v>
      </c>
      <c r="G1815" s="70" t="s">
        <v>159</v>
      </c>
      <c r="H1815" s="70" t="str">
        <f t="shared" si="57"/>
        <v>PPS</v>
      </c>
    </row>
    <row r="1816" spans="1:8" ht="15" x14ac:dyDescent="0.25">
      <c r="A1816" s="88" t="s">
        <v>1152</v>
      </c>
      <c r="B1816" s="88">
        <v>2003</v>
      </c>
      <c r="C1816" s="89" t="s">
        <v>1220</v>
      </c>
      <c r="D1816" s="88" t="s">
        <v>160</v>
      </c>
      <c r="F1816" s="70">
        <f t="shared" si="56"/>
        <v>2003</v>
      </c>
      <c r="G1816" s="70" t="s">
        <v>159</v>
      </c>
      <c r="H1816" s="70" t="str">
        <f t="shared" si="57"/>
        <v>PPS</v>
      </c>
    </row>
    <row r="1817" spans="1:8" ht="15" x14ac:dyDescent="0.25">
      <c r="A1817" s="88" t="s">
        <v>1152</v>
      </c>
      <c r="B1817" s="88">
        <v>2003</v>
      </c>
      <c r="C1817" s="89" t="s">
        <v>1219</v>
      </c>
      <c r="D1817" s="88" t="s">
        <v>160</v>
      </c>
      <c r="F1817" s="70">
        <f t="shared" si="56"/>
        <v>2003</v>
      </c>
      <c r="G1817" s="70" t="s">
        <v>159</v>
      </c>
      <c r="H1817" s="70" t="str">
        <f t="shared" si="57"/>
        <v>PPS</v>
      </c>
    </row>
    <row r="1818" spans="1:8" ht="15" x14ac:dyDescent="0.25">
      <c r="A1818" s="88" t="s">
        <v>1152</v>
      </c>
      <c r="B1818" s="88">
        <v>2004</v>
      </c>
      <c r="C1818" s="89" t="s">
        <v>1218</v>
      </c>
      <c r="D1818" s="88" t="s">
        <v>160</v>
      </c>
      <c r="F1818" s="70">
        <f t="shared" si="56"/>
        <v>2004</v>
      </c>
      <c r="G1818" s="70" t="s">
        <v>159</v>
      </c>
      <c r="H1818" s="70" t="str">
        <f t="shared" si="57"/>
        <v>PPS</v>
      </c>
    </row>
    <row r="1819" spans="1:8" ht="15" x14ac:dyDescent="0.25">
      <c r="A1819" s="88" t="s">
        <v>1152</v>
      </c>
      <c r="B1819" s="88">
        <v>2004</v>
      </c>
      <c r="C1819" s="89" t="s">
        <v>1217</v>
      </c>
      <c r="D1819" s="88" t="s">
        <v>160</v>
      </c>
      <c r="F1819" s="70">
        <f t="shared" si="56"/>
        <v>2004</v>
      </c>
      <c r="G1819" s="70" t="s">
        <v>159</v>
      </c>
      <c r="H1819" s="70" t="str">
        <f t="shared" si="57"/>
        <v>PPS</v>
      </c>
    </row>
    <row r="1820" spans="1:8" ht="15" x14ac:dyDescent="0.25">
      <c r="A1820" s="88" t="s">
        <v>1152</v>
      </c>
      <c r="B1820" s="88">
        <v>2004</v>
      </c>
      <c r="C1820" s="89" t="s">
        <v>1216</v>
      </c>
      <c r="D1820" s="88" t="s">
        <v>160</v>
      </c>
      <c r="F1820" s="70">
        <f t="shared" si="56"/>
        <v>2004</v>
      </c>
      <c r="G1820" s="70" t="s">
        <v>159</v>
      </c>
      <c r="H1820" s="70" t="str">
        <f t="shared" si="57"/>
        <v>PPS</v>
      </c>
    </row>
    <row r="1821" spans="1:8" ht="15" x14ac:dyDescent="0.25">
      <c r="A1821" s="88" t="s">
        <v>1152</v>
      </c>
      <c r="B1821" s="88">
        <v>2004</v>
      </c>
      <c r="C1821" s="89" t="s">
        <v>1215</v>
      </c>
      <c r="D1821" s="88" t="s">
        <v>160</v>
      </c>
      <c r="F1821" s="70">
        <f t="shared" si="56"/>
        <v>2004</v>
      </c>
      <c r="G1821" s="70" t="s">
        <v>159</v>
      </c>
      <c r="H1821" s="70" t="str">
        <f t="shared" si="57"/>
        <v>PPS</v>
      </c>
    </row>
    <row r="1822" spans="1:8" ht="15" x14ac:dyDescent="0.25">
      <c r="A1822" s="88" t="s">
        <v>1152</v>
      </c>
      <c r="B1822" s="88">
        <v>2004</v>
      </c>
      <c r="C1822" s="89" t="s">
        <v>1214</v>
      </c>
      <c r="D1822" s="88" t="s">
        <v>160</v>
      </c>
      <c r="F1822" s="70">
        <f t="shared" si="56"/>
        <v>2004</v>
      </c>
      <c r="G1822" s="70" t="s">
        <v>159</v>
      </c>
      <c r="H1822" s="70" t="str">
        <f t="shared" si="57"/>
        <v>PPS</v>
      </c>
    </row>
    <row r="1823" spans="1:8" ht="15" x14ac:dyDescent="0.25">
      <c r="A1823" s="88" t="s">
        <v>1152</v>
      </c>
      <c r="B1823" s="88">
        <v>2004</v>
      </c>
      <c r="C1823" s="89" t="s">
        <v>1213</v>
      </c>
      <c r="D1823" s="88" t="s">
        <v>160</v>
      </c>
      <c r="F1823" s="70">
        <f t="shared" si="56"/>
        <v>2004</v>
      </c>
      <c r="G1823" s="70" t="s">
        <v>159</v>
      </c>
      <c r="H1823" s="70" t="str">
        <f t="shared" si="57"/>
        <v>PPS</v>
      </c>
    </row>
    <row r="1824" spans="1:8" ht="15" x14ac:dyDescent="0.25">
      <c r="A1824" s="88" t="s">
        <v>1152</v>
      </c>
      <c r="B1824" s="88">
        <v>2004</v>
      </c>
      <c r="C1824" s="89" t="s">
        <v>1212</v>
      </c>
      <c r="D1824" s="88" t="s">
        <v>160</v>
      </c>
      <c r="F1824" s="70">
        <f t="shared" si="56"/>
        <v>2004</v>
      </c>
      <c r="G1824" s="70" t="s">
        <v>159</v>
      </c>
      <c r="H1824" s="70" t="str">
        <f t="shared" si="57"/>
        <v>PPS</v>
      </c>
    </row>
    <row r="1825" spans="1:8" ht="15" x14ac:dyDescent="0.25">
      <c r="A1825" s="88" t="s">
        <v>1152</v>
      </c>
      <c r="B1825" s="88">
        <v>2004</v>
      </c>
      <c r="C1825" s="89" t="s">
        <v>1211</v>
      </c>
      <c r="D1825" s="88" t="s">
        <v>160</v>
      </c>
      <c r="F1825" s="70">
        <f t="shared" si="56"/>
        <v>2004</v>
      </c>
      <c r="G1825" s="70" t="s">
        <v>159</v>
      </c>
      <c r="H1825" s="70" t="str">
        <f t="shared" si="57"/>
        <v>PPS</v>
      </c>
    </row>
    <row r="1826" spans="1:8" ht="15" x14ac:dyDescent="0.25">
      <c r="A1826" s="88" t="s">
        <v>1152</v>
      </c>
      <c r="B1826" s="88">
        <v>2005</v>
      </c>
      <c r="C1826" s="89" t="s">
        <v>1210</v>
      </c>
      <c r="D1826" s="88" t="s">
        <v>160</v>
      </c>
      <c r="F1826" s="70">
        <f t="shared" si="56"/>
        <v>2005</v>
      </c>
      <c r="G1826" s="70" t="s">
        <v>159</v>
      </c>
      <c r="H1826" s="70" t="str">
        <f t="shared" si="57"/>
        <v>PPS</v>
      </c>
    </row>
    <row r="1827" spans="1:8" ht="15" x14ac:dyDescent="0.25">
      <c r="A1827" s="88" t="s">
        <v>1152</v>
      </c>
      <c r="B1827" s="88">
        <v>2005</v>
      </c>
      <c r="C1827" s="89" t="s">
        <v>1209</v>
      </c>
      <c r="D1827" s="88" t="s">
        <v>160</v>
      </c>
      <c r="F1827" s="70">
        <f t="shared" si="56"/>
        <v>2005</v>
      </c>
      <c r="G1827" s="70" t="s">
        <v>159</v>
      </c>
      <c r="H1827" s="70" t="str">
        <f t="shared" si="57"/>
        <v>PPS</v>
      </c>
    </row>
    <row r="1828" spans="1:8" ht="15" x14ac:dyDescent="0.25">
      <c r="A1828" s="88" t="s">
        <v>1152</v>
      </c>
      <c r="B1828" s="88">
        <v>2005</v>
      </c>
      <c r="C1828" s="89" t="s">
        <v>1208</v>
      </c>
      <c r="D1828" s="88" t="s">
        <v>160</v>
      </c>
      <c r="F1828" s="70">
        <f t="shared" si="56"/>
        <v>2005</v>
      </c>
      <c r="G1828" s="70" t="s">
        <v>159</v>
      </c>
      <c r="H1828" s="70" t="str">
        <f t="shared" si="57"/>
        <v>PPS</v>
      </c>
    </row>
    <row r="1829" spans="1:8" ht="15" x14ac:dyDescent="0.25">
      <c r="A1829" s="88" t="s">
        <v>1152</v>
      </c>
      <c r="B1829" s="88">
        <v>2005</v>
      </c>
      <c r="C1829" s="89" t="s">
        <v>1207</v>
      </c>
      <c r="D1829" s="88" t="s">
        <v>160</v>
      </c>
      <c r="F1829" s="70">
        <f t="shared" si="56"/>
        <v>2005</v>
      </c>
      <c r="G1829" s="70" t="s">
        <v>159</v>
      </c>
      <c r="H1829" s="70" t="str">
        <f t="shared" si="57"/>
        <v>PPS</v>
      </c>
    </row>
    <row r="1830" spans="1:8" ht="15" x14ac:dyDescent="0.25">
      <c r="A1830" s="88" t="s">
        <v>1152</v>
      </c>
      <c r="B1830" s="88">
        <v>2005</v>
      </c>
      <c r="C1830" s="89" t="s">
        <v>1206</v>
      </c>
      <c r="D1830" s="88" t="s">
        <v>160</v>
      </c>
      <c r="F1830" s="70">
        <f t="shared" si="56"/>
        <v>2005</v>
      </c>
      <c r="G1830" s="70" t="s">
        <v>159</v>
      </c>
      <c r="H1830" s="70" t="str">
        <f t="shared" si="57"/>
        <v>PPS</v>
      </c>
    </row>
    <row r="1831" spans="1:8" ht="15" x14ac:dyDescent="0.25">
      <c r="A1831" s="88" t="s">
        <v>1152</v>
      </c>
      <c r="B1831" s="88">
        <v>2005</v>
      </c>
      <c r="C1831" s="89" t="s">
        <v>1205</v>
      </c>
      <c r="D1831" s="88" t="s">
        <v>160</v>
      </c>
      <c r="F1831" s="70">
        <f t="shared" si="56"/>
        <v>2005</v>
      </c>
      <c r="G1831" s="70" t="s">
        <v>159</v>
      </c>
      <c r="H1831" s="70" t="str">
        <f t="shared" si="57"/>
        <v>PPS</v>
      </c>
    </row>
    <row r="1832" spans="1:8" ht="15" x14ac:dyDescent="0.25">
      <c r="A1832" s="88" t="s">
        <v>1152</v>
      </c>
      <c r="B1832" s="88">
        <v>2005</v>
      </c>
      <c r="C1832" s="89" t="s">
        <v>1204</v>
      </c>
      <c r="D1832" s="88" t="s">
        <v>160</v>
      </c>
      <c r="F1832" s="70">
        <f t="shared" si="56"/>
        <v>2005</v>
      </c>
      <c r="G1832" s="70" t="s">
        <v>159</v>
      </c>
      <c r="H1832" s="70" t="str">
        <f t="shared" si="57"/>
        <v>PPS</v>
      </c>
    </row>
    <row r="1833" spans="1:8" ht="15" x14ac:dyDescent="0.25">
      <c r="A1833" s="88" t="s">
        <v>1152</v>
      </c>
      <c r="B1833" s="88">
        <v>2005</v>
      </c>
      <c r="C1833" s="89" t="s">
        <v>1203</v>
      </c>
      <c r="D1833" s="88" t="s">
        <v>160</v>
      </c>
      <c r="F1833" s="70">
        <f t="shared" si="56"/>
        <v>2005</v>
      </c>
      <c r="G1833" s="70" t="s">
        <v>159</v>
      </c>
      <c r="H1833" s="70" t="str">
        <f t="shared" si="57"/>
        <v>PPS</v>
      </c>
    </row>
    <row r="1834" spans="1:8" ht="15" x14ac:dyDescent="0.25">
      <c r="A1834" s="88" t="s">
        <v>1152</v>
      </c>
      <c r="B1834" s="88">
        <v>2005</v>
      </c>
      <c r="C1834" s="89" t="s">
        <v>1202</v>
      </c>
      <c r="D1834" s="88" t="s">
        <v>160</v>
      </c>
      <c r="F1834" s="70">
        <f t="shared" si="56"/>
        <v>2005</v>
      </c>
      <c r="G1834" s="70" t="s">
        <v>159</v>
      </c>
      <c r="H1834" s="70" t="str">
        <f t="shared" si="57"/>
        <v>PPS</v>
      </c>
    </row>
    <row r="1835" spans="1:8" ht="15" x14ac:dyDescent="0.25">
      <c r="A1835" s="88" t="s">
        <v>1152</v>
      </c>
      <c r="B1835" s="88">
        <v>2005</v>
      </c>
      <c r="C1835" s="89" t="s">
        <v>1201</v>
      </c>
      <c r="D1835" s="88" t="s">
        <v>160</v>
      </c>
      <c r="F1835" s="70">
        <f t="shared" si="56"/>
        <v>2005</v>
      </c>
      <c r="G1835" s="70" t="s">
        <v>159</v>
      </c>
      <c r="H1835" s="70" t="str">
        <f t="shared" si="57"/>
        <v>PPS</v>
      </c>
    </row>
    <row r="1836" spans="1:8" ht="15" x14ac:dyDescent="0.25">
      <c r="A1836" s="88" t="s">
        <v>1152</v>
      </c>
      <c r="B1836" s="88">
        <v>2006</v>
      </c>
      <c r="C1836" s="89" t="s">
        <v>1200</v>
      </c>
      <c r="D1836" s="88" t="s">
        <v>160</v>
      </c>
      <c r="F1836" s="70">
        <f t="shared" si="56"/>
        <v>2006</v>
      </c>
      <c r="G1836" s="70" t="s">
        <v>159</v>
      </c>
      <c r="H1836" s="70" t="str">
        <f t="shared" si="57"/>
        <v>PPS</v>
      </c>
    </row>
    <row r="1837" spans="1:8" ht="15" x14ac:dyDescent="0.25">
      <c r="A1837" s="88" t="s">
        <v>1152</v>
      </c>
      <c r="B1837" s="88">
        <v>2006</v>
      </c>
      <c r="C1837" s="89" t="s">
        <v>1199</v>
      </c>
      <c r="D1837" s="88" t="s">
        <v>160</v>
      </c>
      <c r="F1837" s="70">
        <f t="shared" si="56"/>
        <v>2006</v>
      </c>
      <c r="G1837" s="70" t="s">
        <v>159</v>
      </c>
      <c r="H1837" s="70" t="str">
        <f t="shared" si="57"/>
        <v>PPS</v>
      </c>
    </row>
    <row r="1838" spans="1:8" ht="15" x14ac:dyDescent="0.25">
      <c r="A1838" s="88" t="s">
        <v>1152</v>
      </c>
      <c r="B1838" s="88">
        <v>2006</v>
      </c>
      <c r="C1838" s="89" t="s">
        <v>1198</v>
      </c>
      <c r="D1838" s="88" t="s">
        <v>160</v>
      </c>
      <c r="F1838" s="70">
        <f t="shared" si="56"/>
        <v>2006</v>
      </c>
      <c r="G1838" s="70" t="s">
        <v>159</v>
      </c>
      <c r="H1838" s="70" t="str">
        <f t="shared" si="57"/>
        <v>PPS</v>
      </c>
    </row>
    <row r="1839" spans="1:8" ht="15" x14ac:dyDescent="0.25">
      <c r="A1839" s="88" t="s">
        <v>1152</v>
      </c>
      <c r="B1839" s="88">
        <v>2006</v>
      </c>
      <c r="C1839" s="89" t="s">
        <v>1197</v>
      </c>
      <c r="D1839" s="88" t="s">
        <v>160</v>
      </c>
      <c r="F1839" s="70">
        <f t="shared" si="56"/>
        <v>2006</v>
      </c>
      <c r="G1839" s="70" t="s">
        <v>159</v>
      </c>
      <c r="H1839" s="70" t="str">
        <f t="shared" si="57"/>
        <v>PPS</v>
      </c>
    </row>
    <row r="1840" spans="1:8" ht="15" x14ac:dyDescent="0.25">
      <c r="A1840" s="88" t="s">
        <v>1152</v>
      </c>
      <c r="B1840" s="88">
        <v>2006</v>
      </c>
      <c r="C1840" s="89" t="s">
        <v>1196</v>
      </c>
      <c r="D1840" s="88" t="s">
        <v>160</v>
      </c>
      <c r="F1840" s="70">
        <f t="shared" si="56"/>
        <v>2006</v>
      </c>
      <c r="G1840" s="70" t="s">
        <v>159</v>
      </c>
      <c r="H1840" s="70" t="str">
        <f t="shared" si="57"/>
        <v>PPS</v>
      </c>
    </row>
    <row r="1841" spans="1:8" ht="15" x14ac:dyDescent="0.25">
      <c r="A1841" s="88" t="s">
        <v>1152</v>
      </c>
      <c r="B1841" s="88">
        <v>2006</v>
      </c>
      <c r="C1841" s="89" t="s">
        <v>1195</v>
      </c>
      <c r="D1841" s="88" t="s">
        <v>160</v>
      </c>
      <c r="F1841" s="70">
        <f t="shared" si="56"/>
        <v>2006</v>
      </c>
      <c r="G1841" s="70" t="s">
        <v>159</v>
      </c>
      <c r="H1841" s="70" t="str">
        <f t="shared" si="57"/>
        <v>PPS</v>
      </c>
    </row>
    <row r="1842" spans="1:8" ht="15" x14ac:dyDescent="0.25">
      <c r="A1842" s="88" t="s">
        <v>1152</v>
      </c>
      <c r="B1842" s="88">
        <v>2006</v>
      </c>
      <c r="C1842" s="89" t="s">
        <v>1194</v>
      </c>
      <c r="D1842" s="88" t="s">
        <v>160</v>
      </c>
      <c r="F1842" s="70">
        <f t="shared" si="56"/>
        <v>2006</v>
      </c>
      <c r="G1842" s="70" t="s">
        <v>159</v>
      </c>
      <c r="H1842" s="70" t="str">
        <f t="shared" si="57"/>
        <v>PPS</v>
      </c>
    </row>
    <row r="1843" spans="1:8" ht="15" x14ac:dyDescent="0.25">
      <c r="A1843" s="88" t="s">
        <v>1152</v>
      </c>
      <c r="B1843" s="88">
        <v>2006</v>
      </c>
      <c r="C1843" s="89" t="s">
        <v>1193</v>
      </c>
      <c r="D1843" s="88" t="s">
        <v>160</v>
      </c>
      <c r="F1843" s="70">
        <f t="shared" si="56"/>
        <v>2006</v>
      </c>
      <c r="G1843" s="70" t="s">
        <v>159</v>
      </c>
      <c r="H1843" s="70" t="str">
        <f t="shared" si="57"/>
        <v>PPS</v>
      </c>
    </row>
    <row r="1844" spans="1:8" ht="15" x14ac:dyDescent="0.25">
      <c r="A1844" s="88" t="s">
        <v>1152</v>
      </c>
      <c r="B1844" s="88">
        <v>2007</v>
      </c>
      <c r="C1844" s="89" t="s">
        <v>1192</v>
      </c>
      <c r="D1844" s="88" t="s">
        <v>160</v>
      </c>
      <c r="F1844" s="70">
        <f t="shared" si="56"/>
        <v>2007</v>
      </c>
      <c r="G1844" s="70" t="s">
        <v>159</v>
      </c>
      <c r="H1844" s="70" t="str">
        <f t="shared" si="57"/>
        <v>PPS</v>
      </c>
    </row>
    <row r="1845" spans="1:8" ht="15" x14ac:dyDescent="0.25">
      <c r="A1845" s="88" t="s">
        <v>1152</v>
      </c>
      <c r="B1845" s="88">
        <v>2007</v>
      </c>
      <c r="C1845" s="89" t="s">
        <v>1191</v>
      </c>
      <c r="D1845" s="88" t="s">
        <v>160</v>
      </c>
      <c r="F1845" s="70">
        <f t="shared" si="56"/>
        <v>2007</v>
      </c>
      <c r="G1845" s="70" t="s">
        <v>159</v>
      </c>
      <c r="H1845" s="70" t="str">
        <f t="shared" si="57"/>
        <v>PPS</v>
      </c>
    </row>
    <row r="1846" spans="1:8" ht="15" x14ac:dyDescent="0.25">
      <c r="A1846" s="88" t="s">
        <v>1152</v>
      </c>
      <c r="B1846" s="88">
        <v>2007</v>
      </c>
      <c r="C1846" s="89" t="s">
        <v>1190</v>
      </c>
      <c r="D1846" s="88" t="s">
        <v>160</v>
      </c>
      <c r="F1846" s="70">
        <f t="shared" si="56"/>
        <v>2007</v>
      </c>
      <c r="G1846" s="70" t="s">
        <v>159</v>
      </c>
      <c r="H1846" s="70" t="str">
        <f t="shared" si="57"/>
        <v>PPS</v>
      </c>
    </row>
    <row r="1847" spans="1:8" ht="15" x14ac:dyDescent="0.25">
      <c r="A1847" s="88" t="s">
        <v>1152</v>
      </c>
      <c r="B1847" s="88">
        <v>2007</v>
      </c>
      <c r="C1847" s="89" t="s">
        <v>1189</v>
      </c>
      <c r="D1847" s="88" t="s">
        <v>160</v>
      </c>
      <c r="F1847" s="70">
        <f t="shared" si="56"/>
        <v>2007</v>
      </c>
      <c r="G1847" s="70" t="s">
        <v>159</v>
      </c>
      <c r="H1847" s="70" t="str">
        <f t="shared" si="57"/>
        <v>PPS</v>
      </c>
    </row>
    <row r="1848" spans="1:8" ht="15" x14ac:dyDescent="0.25">
      <c r="A1848" s="88" t="s">
        <v>1152</v>
      </c>
      <c r="B1848" s="88">
        <v>2007</v>
      </c>
      <c r="C1848" s="89" t="s">
        <v>1188</v>
      </c>
      <c r="D1848" s="88" t="s">
        <v>160</v>
      </c>
      <c r="F1848" s="70">
        <f t="shared" si="56"/>
        <v>2007</v>
      </c>
      <c r="G1848" s="70" t="s">
        <v>159</v>
      </c>
      <c r="H1848" s="70" t="str">
        <f t="shared" si="57"/>
        <v>PPS</v>
      </c>
    </row>
    <row r="1849" spans="1:8" ht="15" x14ac:dyDescent="0.25">
      <c r="A1849" s="88" t="s">
        <v>1152</v>
      </c>
      <c r="B1849" s="88">
        <v>2007</v>
      </c>
      <c r="C1849" s="89" t="s">
        <v>1187</v>
      </c>
      <c r="D1849" s="88" t="s">
        <v>160</v>
      </c>
      <c r="F1849" s="70">
        <f t="shared" si="56"/>
        <v>2007</v>
      </c>
      <c r="G1849" s="70" t="s">
        <v>159</v>
      </c>
      <c r="H1849" s="70" t="str">
        <f t="shared" si="57"/>
        <v>PPS</v>
      </c>
    </row>
    <row r="1850" spans="1:8" ht="15" x14ac:dyDescent="0.25">
      <c r="A1850" s="88" t="s">
        <v>1152</v>
      </c>
      <c r="B1850" s="88">
        <v>2008</v>
      </c>
      <c r="C1850" s="89" t="s">
        <v>1186</v>
      </c>
      <c r="D1850" s="88" t="s">
        <v>160</v>
      </c>
      <c r="F1850" s="70">
        <f t="shared" si="56"/>
        <v>2008</v>
      </c>
      <c r="G1850" s="70" t="s">
        <v>159</v>
      </c>
      <c r="H1850" s="70" t="str">
        <f t="shared" si="57"/>
        <v>PPS</v>
      </c>
    </row>
    <row r="1851" spans="1:8" ht="15" x14ac:dyDescent="0.25">
      <c r="A1851" s="88" t="s">
        <v>1152</v>
      </c>
      <c r="B1851" s="88">
        <v>2008</v>
      </c>
      <c r="C1851" s="89" t="s">
        <v>1185</v>
      </c>
      <c r="D1851" s="88" t="s">
        <v>160</v>
      </c>
      <c r="F1851" s="70">
        <f t="shared" si="56"/>
        <v>2008</v>
      </c>
      <c r="G1851" s="70" t="s">
        <v>159</v>
      </c>
      <c r="H1851" s="70" t="str">
        <f t="shared" si="57"/>
        <v>PPS</v>
      </c>
    </row>
    <row r="1852" spans="1:8" ht="15" x14ac:dyDescent="0.25">
      <c r="A1852" s="88" t="s">
        <v>1152</v>
      </c>
      <c r="B1852" s="88">
        <v>2008</v>
      </c>
      <c r="C1852" s="89" t="s">
        <v>1184</v>
      </c>
      <c r="D1852" s="88" t="s">
        <v>160</v>
      </c>
      <c r="F1852" s="70">
        <f t="shared" si="56"/>
        <v>2008</v>
      </c>
      <c r="G1852" s="70" t="s">
        <v>159</v>
      </c>
      <c r="H1852" s="70" t="str">
        <f t="shared" si="57"/>
        <v>PPS</v>
      </c>
    </row>
    <row r="1853" spans="1:8" ht="15" x14ac:dyDescent="0.25">
      <c r="A1853" s="88" t="s">
        <v>1152</v>
      </c>
      <c r="B1853" s="88">
        <v>2009</v>
      </c>
      <c r="C1853" s="89" t="s">
        <v>1183</v>
      </c>
      <c r="D1853" s="88" t="s">
        <v>160</v>
      </c>
      <c r="F1853" s="70">
        <f t="shared" si="56"/>
        <v>2009</v>
      </c>
      <c r="G1853" s="70" t="s">
        <v>159</v>
      </c>
      <c r="H1853" s="70" t="str">
        <f t="shared" si="57"/>
        <v>PPS</v>
      </c>
    </row>
    <row r="1854" spans="1:8" ht="15" x14ac:dyDescent="0.25">
      <c r="A1854" s="88" t="s">
        <v>1152</v>
      </c>
      <c r="B1854" s="88">
        <v>2009</v>
      </c>
      <c r="C1854" s="89" t="s">
        <v>1182</v>
      </c>
      <c r="D1854" s="88" t="s">
        <v>160</v>
      </c>
      <c r="F1854" s="70">
        <f t="shared" si="56"/>
        <v>2009</v>
      </c>
      <c r="G1854" s="70" t="s">
        <v>159</v>
      </c>
      <c r="H1854" s="70" t="str">
        <f t="shared" si="57"/>
        <v>PPS</v>
      </c>
    </row>
    <row r="1855" spans="1:8" ht="15" x14ac:dyDescent="0.25">
      <c r="A1855" s="88" t="s">
        <v>1152</v>
      </c>
      <c r="B1855" s="88">
        <v>2010</v>
      </c>
      <c r="C1855" s="89" t="s">
        <v>1181</v>
      </c>
      <c r="D1855" s="88" t="s">
        <v>160</v>
      </c>
      <c r="F1855" s="70">
        <f t="shared" si="56"/>
        <v>2010</v>
      </c>
      <c r="G1855" s="70" t="s">
        <v>159</v>
      </c>
      <c r="H1855" s="70" t="str">
        <f t="shared" si="57"/>
        <v>PPS</v>
      </c>
    </row>
    <row r="1856" spans="1:8" ht="15" x14ac:dyDescent="0.25">
      <c r="A1856" s="88" t="s">
        <v>1152</v>
      </c>
      <c r="B1856" s="88">
        <v>2010</v>
      </c>
      <c r="C1856" s="89" t="s">
        <v>1180</v>
      </c>
      <c r="D1856" s="88" t="s">
        <v>160</v>
      </c>
      <c r="F1856" s="70">
        <f t="shared" si="56"/>
        <v>2010</v>
      </c>
      <c r="G1856" s="70" t="s">
        <v>159</v>
      </c>
      <c r="H1856" s="70" t="str">
        <f t="shared" si="57"/>
        <v>PPS</v>
      </c>
    </row>
    <row r="1857" spans="1:8" ht="15" x14ac:dyDescent="0.25">
      <c r="A1857" s="88" t="s">
        <v>1152</v>
      </c>
      <c r="B1857" s="88">
        <v>2010</v>
      </c>
      <c r="C1857" s="89" t="s">
        <v>1179</v>
      </c>
      <c r="D1857" s="88" t="s">
        <v>160</v>
      </c>
      <c r="F1857" s="70">
        <f t="shared" si="56"/>
        <v>2010</v>
      </c>
      <c r="G1857" s="70" t="s">
        <v>159</v>
      </c>
      <c r="H1857" s="70" t="str">
        <f t="shared" si="57"/>
        <v>PPS</v>
      </c>
    </row>
    <row r="1858" spans="1:8" ht="15" x14ac:dyDescent="0.25">
      <c r="A1858" s="88" t="s">
        <v>1152</v>
      </c>
      <c r="B1858" s="88">
        <v>2010</v>
      </c>
      <c r="C1858" s="89" t="s">
        <v>1178</v>
      </c>
      <c r="D1858" s="88" t="s">
        <v>160</v>
      </c>
      <c r="F1858" s="70">
        <f t="shared" si="56"/>
        <v>2010</v>
      </c>
      <c r="G1858" s="70" t="s">
        <v>159</v>
      </c>
      <c r="H1858" s="70" t="str">
        <f t="shared" si="57"/>
        <v>PPS</v>
      </c>
    </row>
    <row r="1859" spans="1:8" ht="15" x14ac:dyDescent="0.25">
      <c r="A1859" s="88" t="s">
        <v>1152</v>
      </c>
      <c r="B1859" s="88">
        <v>2010</v>
      </c>
      <c r="C1859" s="89" t="s">
        <v>1177</v>
      </c>
      <c r="D1859" s="88" t="s">
        <v>160</v>
      </c>
      <c r="F1859" s="70">
        <f t="shared" si="56"/>
        <v>2010</v>
      </c>
      <c r="G1859" s="70" t="s">
        <v>159</v>
      </c>
      <c r="H1859" s="70" t="str">
        <f t="shared" si="57"/>
        <v>PPS</v>
      </c>
    </row>
    <row r="1860" spans="1:8" ht="15" x14ac:dyDescent="0.25">
      <c r="A1860" s="88" t="s">
        <v>1152</v>
      </c>
      <c r="B1860" s="88">
        <v>2010</v>
      </c>
      <c r="C1860" s="89" t="s">
        <v>1176</v>
      </c>
      <c r="D1860" s="88" t="s">
        <v>160</v>
      </c>
      <c r="F1860" s="70">
        <f t="shared" si="56"/>
        <v>2010</v>
      </c>
      <c r="G1860" s="70" t="s">
        <v>159</v>
      </c>
      <c r="H1860" s="70" t="str">
        <f t="shared" si="57"/>
        <v>PPS</v>
      </c>
    </row>
    <row r="1861" spans="1:8" ht="15" x14ac:dyDescent="0.25">
      <c r="A1861" s="88" t="s">
        <v>1152</v>
      </c>
      <c r="B1861" s="88">
        <v>2010</v>
      </c>
      <c r="C1861" s="89" t="s">
        <v>1175</v>
      </c>
      <c r="D1861" s="88" t="s">
        <v>160</v>
      </c>
      <c r="F1861" s="70">
        <f t="shared" si="56"/>
        <v>2010</v>
      </c>
      <c r="G1861" s="70" t="s">
        <v>159</v>
      </c>
      <c r="H1861" s="70" t="str">
        <f t="shared" si="57"/>
        <v>PPS</v>
      </c>
    </row>
    <row r="1862" spans="1:8" ht="15" x14ac:dyDescent="0.25">
      <c r="A1862" s="88" t="s">
        <v>1152</v>
      </c>
      <c r="B1862" s="88">
        <v>2010</v>
      </c>
      <c r="C1862" s="89" t="s">
        <v>1174</v>
      </c>
      <c r="D1862" s="88" t="s">
        <v>160</v>
      </c>
      <c r="F1862" s="70">
        <f t="shared" si="56"/>
        <v>2010</v>
      </c>
      <c r="G1862" s="70" t="s">
        <v>159</v>
      </c>
      <c r="H1862" s="70" t="str">
        <f t="shared" si="57"/>
        <v>PPS</v>
      </c>
    </row>
    <row r="1863" spans="1:8" ht="15" x14ac:dyDescent="0.25">
      <c r="A1863" s="88" t="s">
        <v>1152</v>
      </c>
      <c r="B1863" s="88">
        <v>2010</v>
      </c>
      <c r="C1863" s="89" t="s">
        <v>1173</v>
      </c>
      <c r="D1863" s="88" t="s">
        <v>160</v>
      </c>
      <c r="F1863" s="70">
        <f t="shared" si="56"/>
        <v>2010</v>
      </c>
      <c r="G1863" s="70" t="s">
        <v>159</v>
      </c>
      <c r="H1863" s="70" t="str">
        <f t="shared" si="57"/>
        <v>PPS</v>
      </c>
    </row>
    <row r="1864" spans="1:8" ht="15" x14ac:dyDescent="0.25">
      <c r="A1864" s="88" t="s">
        <v>1152</v>
      </c>
      <c r="B1864" s="88">
        <v>2010</v>
      </c>
      <c r="C1864" s="89" t="s">
        <v>1172</v>
      </c>
      <c r="D1864" s="88" t="s">
        <v>160</v>
      </c>
      <c r="F1864" s="70">
        <f t="shared" ref="F1864:F1927" si="58">+B1864</f>
        <v>2010</v>
      </c>
      <c r="G1864" s="70" t="s">
        <v>159</v>
      </c>
      <c r="H1864" s="70" t="str">
        <f t="shared" ref="H1864:H1927" si="59">A1864</f>
        <v>PPS</v>
      </c>
    </row>
    <row r="1865" spans="1:8" ht="15" x14ac:dyDescent="0.25">
      <c r="A1865" s="88" t="s">
        <v>1152</v>
      </c>
      <c r="B1865" s="88">
        <v>2011</v>
      </c>
      <c r="C1865" s="89" t="s">
        <v>1171</v>
      </c>
      <c r="D1865" s="88" t="s">
        <v>160</v>
      </c>
      <c r="F1865" s="70">
        <f t="shared" si="58"/>
        <v>2011</v>
      </c>
      <c r="G1865" s="70" t="s">
        <v>159</v>
      </c>
      <c r="H1865" s="70" t="str">
        <f t="shared" si="59"/>
        <v>PPS</v>
      </c>
    </row>
    <row r="1866" spans="1:8" ht="15" x14ac:dyDescent="0.25">
      <c r="A1866" s="88" t="s">
        <v>1152</v>
      </c>
      <c r="B1866" s="88">
        <v>2011</v>
      </c>
      <c r="C1866" s="89" t="s">
        <v>1170</v>
      </c>
      <c r="D1866" s="88" t="s">
        <v>160</v>
      </c>
      <c r="F1866" s="70">
        <f t="shared" si="58"/>
        <v>2011</v>
      </c>
      <c r="G1866" s="70" t="s">
        <v>159</v>
      </c>
      <c r="H1866" s="70" t="str">
        <f t="shared" si="59"/>
        <v>PPS</v>
      </c>
    </row>
    <row r="1867" spans="1:8" ht="15" x14ac:dyDescent="0.25">
      <c r="A1867" s="88" t="s">
        <v>1152</v>
      </c>
      <c r="B1867" s="88">
        <v>2011</v>
      </c>
      <c r="C1867" s="89" t="s">
        <v>1169</v>
      </c>
      <c r="D1867" s="88" t="s">
        <v>160</v>
      </c>
      <c r="F1867" s="70">
        <f t="shared" si="58"/>
        <v>2011</v>
      </c>
      <c r="G1867" s="70" t="s">
        <v>159</v>
      </c>
      <c r="H1867" s="70" t="str">
        <f t="shared" si="59"/>
        <v>PPS</v>
      </c>
    </row>
    <row r="1868" spans="1:8" ht="15" x14ac:dyDescent="0.25">
      <c r="A1868" s="88" t="s">
        <v>1152</v>
      </c>
      <c r="B1868" s="88">
        <v>2011</v>
      </c>
      <c r="C1868" s="89" t="s">
        <v>1168</v>
      </c>
      <c r="D1868" s="88" t="s">
        <v>160</v>
      </c>
      <c r="F1868" s="70">
        <f t="shared" si="58"/>
        <v>2011</v>
      </c>
      <c r="G1868" s="70" t="s">
        <v>159</v>
      </c>
      <c r="H1868" s="70" t="str">
        <f t="shared" si="59"/>
        <v>PPS</v>
      </c>
    </row>
    <row r="1869" spans="1:8" ht="15" x14ac:dyDescent="0.25">
      <c r="A1869" s="88" t="s">
        <v>1152</v>
      </c>
      <c r="B1869" s="88">
        <v>2012</v>
      </c>
      <c r="C1869" s="89" t="s">
        <v>1167</v>
      </c>
      <c r="D1869" s="88" t="s">
        <v>160</v>
      </c>
      <c r="F1869" s="70">
        <f t="shared" si="58"/>
        <v>2012</v>
      </c>
      <c r="G1869" s="70" t="s">
        <v>159</v>
      </c>
      <c r="H1869" s="70" t="str">
        <f t="shared" si="59"/>
        <v>PPS</v>
      </c>
    </row>
    <row r="1870" spans="1:8" ht="15" x14ac:dyDescent="0.25">
      <c r="A1870" s="88" t="s">
        <v>1152</v>
      </c>
      <c r="B1870" s="88">
        <v>2013</v>
      </c>
      <c r="C1870" s="76" t="s">
        <v>1166</v>
      </c>
      <c r="D1870" s="89" t="s">
        <v>160</v>
      </c>
      <c r="F1870" s="70">
        <f t="shared" si="58"/>
        <v>2013</v>
      </c>
      <c r="G1870" s="70" t="s">
        <v>159</v>
      </c>
      <c r="H1870" s="70" t="str">
        <f t="shared" si="59"/>
        <v>PPS</v>
      </c>
    </row>
    <row r="1871" spans="1:8" ht="15" x14ac:dyDescent="0.25">
      <c r="A1871" s="88" t="s">
        <v>1152</v>
      </c>
      <c r="B1871" s="88">
        <v>2014</v>
      </c>
      <c r="C1871" s="76" t="s">
        <v>1165</v>
      </c>
      <c r="D1871" s="89" t="s">
        <v>160</v>
      </c>
      <c r="F1871" s="70">
        <f t="shared" si="58"/>
        <v>2014</v>
      </c>
      <c r="G1871" s="70" t="s">
        <v>159</v>
      </c>
      <c r="H1871" s="70" t="str">
        <f t="shared" si="59"/>
        <v>PPS</v>
      </c>
    </row>
    <row r="1872" spans="1:8" ht="15" x14ac:dyDescent="0.25">
      <c r="A1872" s="88" t="s">
        <v>1152</v>
      </c>
      <c r="B1872" s="88">
        <v>2014</v>
      </c>
      <c r="C1872" s="76" t="s">
        <v>1164</v>
      </c>
      <c r="D1872" s="89" t="s">
        <v>160</v>
      </c>
      <c r="F1872" s="70">
        <f t="shared" si="58"/>
        <v>2014</v>
      </c>
      <c r="G1872" s="70" t="s">
        <v>159</v>
      </c>
      <c r="H1872" s="70" t="str">
        <f t="shared" si="59"/>
        <v>PPS</v>
      </c>
    </row>
    <row r="1873" spans="1:8" ht="15" x14ac:dyDescent="0.25">
      <c r="A1873" s="88" t="s">
        <v>1152</v>
      </c>
      <c r="B1873" s="88">
        <v>2014</v>
      </c>
      <c r="C1873" s="76" t="s">
        <v>1163</v>
      </c>
      <c r="D1873" s="89" t="s">
        <v>160</v>
      </c>
      <c r="F1873" s="70">
        <f t="shared" si="58"/>
        <v>2014</v>
      </c>
      <c r="G1873" s="70" t="s">
        <v>159</v>
      </c>
      <c r="H1873" s="70" t="str">
        <f t="shared" si="59"/>
        <v>PPS</v>
      </c>
    </row>
    <row r="1874" spans="1:8" ht="15" x14ac:dyDescent="0.25">
      <c r="A1874" s="88" t="s">
        <v>1152</v>
      </c>
      <c r="B1874" s="88">
        <v>2014</v>
      </c>
      <c r="C1874" s="76" t="s">
        <v>1162</v>
      </c>
      <c r="D1874" s="89" t="s">
        <v>160</v>
      </c>
      <c r="F1874" s="70">
        <f t="shared" si="58"/>
        <v>2014</v>
      </c>
      <c r="G1874" s="70" t="s">
        <v>159</v>
      </c>
      <c r="H1874" s="70" t="str">
        <f t="shared" si="59"/>
        <v>PPS</v>
      </c>
    </row>
    <row r="1875" spans="1:8" ht="15" x14ac:dyDescent="0.25">
      <c r="A1875" s="88" t="s">
        <v>1152</v>
      </c>
      <c r="B1875" s="88">
        <v>2015</v>
      </c>
      <c r="C1875" s="76" t="s">
        <v>1161</v>
      </c>
      <c r="D1875" s="89" t="s">
        <v>160</v>
      </c>
      <c r="F1875" s="70">
        <f t="shared" si="58"/>
        <v>2015</v>
      </c>
      <c r="G1875" s="70" t="s">
        <v>159</v>
      </c>
      <c r="H1875" s="70" t="str">
        <f t="shared" si="59"/>
        <v>PPS</v>
      </c>
    </row>
    <row r="1876" spans="1:8" ht="15" x14ac:dyDescent="0.25">
      <c r="A1876" s="88" t="s">
        <v>1152</v>
      </c>
      <c r="B1876" s="88">
        <v>2015</v>
      </c>
      <c r="C1876" s="76" t="s">
        <v>1160</v>
      </c>
      <c r="D1876" s="89" t="s">
        <v>160</v>
      </c>
      <c r="F1876" s="70">
        <f t="shared" si="58"/>
        <v>2015</v>
      </c>
      <c r="G1876" s="70" t="s">
        <v>159</v>
      </c>
      <c r="H1876" s="70" t="str">
        <f t="shared" si="59"/>
        <v>PPS</v>
      </c>
    </row>
    <row r="1877" spans="1:8" ht="15" x14ac:dyDescent="0.25">
      <c r="A1877" s="88" t="s">
        <v>1152</v>
      </c>
      <c r="B1877" s="88">
        <v>2015</v>
      </c>
      <c r="C1877" s="76" t="s">
        <v>1159</v>
      </c>
      <c r="D1877" s="89" t="s">
        <v>160</v>
      </c>
      <c r="F1877" s="70">
        <f t="shared" si="58"/>
        <v>2015</v>
      </c>
      <c r="G1877" s="70" t="s">
        <v>159</v>
      </c>
      <c r="H1877" s="70" t="str">
        <f t="shared" si="59"/>
        <v>PPS</v>
      </c>
    </row>
    <row r="1878" spans="1:8" ht="15" x14ac:dyDescent="0.25">
      <c r="A1878" s="88" t="s">
        <v>1152</v>
      </c>
      <c r="B1878" s="88">
        <v>2015</v>
      </c>
      <c r="C1878" s="76" t="s">
        <v>1158</v>
      </c>
      <c r="D1878" s="89" t="s">
        <v>160</v>
      </c>
      <c r="F1878" s="70">
        <f t="shared" si="58"/>
        <v>2015</v>
      </c>
      <c r="G1878" s="70" t="s">
        <v>159</v>
      </c>
      <c r="H1878" s="70" t="str">
        <f t="shared" si="59"/>
        <v>PPS</v>
      </c>
    </row>
    <row r="1879" spans="1:8" ht="15" x14ac:dyDescent="0.25">
      <c r="A1879" s="78" t="s">
        <v>1152</v>
      </c>
      <c r="B1879" s="78">
        <v>2016</v>
      </c>
      <c r="C1879" s="92" t="s">
        <v>1157</v>
      </c>
      <c r="D1879" s="91" t="s">
        <v>160</v>
      </c>
      <c r="F1879" s="70">
        <f t="shared" si="58"/>
        <v>2016</v>
      </c>
      <c r="G1879" s="70" t="s">
        <v>159</v>
      </c>
      <c r="H1879" s="70" t="str">
        <f t="shared" si="59"/>
        <v>PPS</v>
      </c>
    </row>
    <row r="1880" spans="1:8" ht="15" x14ac:dyDescent="0.25">
      <c r="A1880" s="78" t="s">
        <v>1152</v>
      </c>
      <c r="B1880" s="78">
        <v>2016</v>
      </c>
      <c r="C1880" s="92" t="s">
        <v>1156</v>
      </c>
      <c r="D1880" s="91" t="s">
        <v>160</v>
      </c>
      <c r="F1880" s="70">
        <f t="shared" si="58"/>
        <v>2016</v>
      </c>
      <c r="G1880" s="70" t="s">
        <v>159</v>
      </c>
      <c r="H1880" s="70" t="str">
        <f t="shared" si="59"/>
        <v>PPS</v>
      </c>
    </row>
    <row r="1881" spans="1:8" ht="15" x14ac:dyDescent="0.25">
      <c r="A1881" s="78" t="s">
        <v>1152</v>
      </c>
      <c r="B1881" s="78">
        <v>2017</v>
      </c>
      <c r="C1881" s="87" t="s">
        <v>1155</v>
      </c>
      <c r="D1881" s="91" t="s">
        <v>160</v>
      </c>
      <c r="F1881" s="70">
        <f t="shared" si="58"/>
        <v>2017</v>
      </c>
      <c r="G1881" s="70" t="s">
        <v>159</v>
      </c>
      <c r="H1881" s="70" t="str">
        <f t="shared" si="59"/>
        <v>PPS</v>
      </c>
    </row>
    <row r="1882" spans="1:8" ht="15" x14ac:dyDescent="0.25">
      <c r="A1882" s="78" t="s">
        <v>1152</v>
      </c>
      <c r="B1882" s="78">
        <v>2017</v>
      </c>
      <c r="C1882" s="87" t="s">
        <v>1154</v>
      </c>
      <c r="D1882" s="91" t="s">
        <v>160</v>
      </c>
      <c r="F1882" s="70">
        <f t="shared" si="58"/>
        <v>2017</v>
      </c>
      <c r="G1882" s="70" t="s">
        <v>159</v>
      </c>
      <c r="H1882" s="70" t="str">
        <f t="shared" si="59"/>
        <v>PPS</v>
      </c>
    </row>
    <row r="1883" spans="1:8" ht="15" x14ac:dyDescent="0.25">
      <c r="A1883" s="81" t="s">
        <v>1152</v>
      </c>
      <c r="B1883" s="81">
        <v>2018</v>
      </c>
      <c r="C1883" s="90" t="s">
        <v>1153</v>
      </c>
      <c r="D1883" s="71" t="s">
        <v>160</v>
      </c>
      <c r="F1883" s="70">
        <f t="shared" si="58"/>
        <v>2018</v>
      </c>
      <c r="G1883" s="70" t="s">
        <v>159</v>
      </c>
      <c r="H1883" s="70" t="str">
        <f t="shared" si="59"/>
        <v>PPS</v>
      </c>
    </row>
    <row r="1884" spans="1:8" ht="15" x14ac:dyDescent="0.25">
      <c r="A1884" s="81" t="s">
        <v>1152</v>
      </c>
      <c r="B1884" s="81">
        <v>2018</v>
      </c>
      <c r="C1884" s="90" t="s">
        <v>1151</v>
      </c>
      <c r="D1884" s="71" t="s">
        <v>160</v>
      </c>
      <c r="F1884" s="70">
        <f t="shared" si="58"/>
        <v>2018</v>
      </c>
      <c r="G1884" s="70" t="s">
        <v>159</v>
      </c>
      <c r="H1884" s="70" t="str">
        <f t="shared" si="59"/>
        <v>PPS</v>
      </c>
    </row>
    <row r="1885" spans="1:8" ht="15" x14ac:dyDescent="0.25">
      <c r="A1885" s="88" t="s">
        <v>817</v>
      </c>
      <c r="B1885" s="88">
        <v>1974</v>
      </c>
      <c r="C1885" s="89" t="s">
        <v>1150</v>
      </c>
      <c r="D1885" s="88" t="s">
        <v>160</v>
      </c>
      <c r="F1885" s="70">
        <f t="shared" si="58"/>
        <v>1974</v>
      </c>
      <c r="G1885" s="70" t="s">
        <v>159</v>
      </c>
      <c r="H1885" s="70" t="str">
        <f t="shared" si="59"/>
        <v>QUI</v>
      </c>
    </row>
    <row r="1886" spans="1:8" ht="15" x14ac:dyDescent="0.25">
      <c r="A1886" s="88" t="s">
        <v>817</v>
      </c>
      <c r="B1886" s="88">
        <v>1975</v>
      </c>
      <c r="C1886" s="89" t="s">
        <v>1149</v>
      </c>
      <c r="D1886" s="88" t="s">
        <v>160</v>
      </c>
      <c r="F1886" s="70">
        <f t="shared" si="58"/>
        <v>1975</v>
      </c>
      <c r="G1886" s="70" t="s">
        <v>159</v>
      </c>
      <c r="H1886" s="70" t="str">
        <f t="shared" si="59"/>
        <v>QUI</v>
      </c>
    </row>
    <row r="1887" spans="1:8" ht="15" x14ac:dyDescent="0.25">
      <c r="A1887" s="88" t="s">
        <v>817</v>
      </c>
      <c r="B1887" s="88">
        <v>1976</v>
      </c>
      <c r="C1887" s="89" t="s">
        <v>1148</v>
      </c>
      <c r="D1887" s="88" t="s">
        <v>160</v>
      </c>
      <c r="F1887" s="70">
        <f t="shared" si="58"/>
        <v>1976</v>
      </c>
      <c r="G1887" s="70" t="s">
        <v>159</v>
      </c>
      <c r="H1887" s="70" t="str">
        <f t="shared" si="59"/>
        <v>QUI</v>
      </c>
    </row>
    <row r="1888" spans="1:8" ht="15" x14ac:dyDescent="0.25">
      <c r="A1888" s="88" t="s">
        <v>817</v>
      </c>
      <c r="B1888" s="88">
        <v>1977</v>
      </c>
      <c r="C1888" s="89" t="s">
        <v>1147</v>
      </c>
      <c r="D1888" s="88" t="s">
        <v>160</v>
      </c>
      <c r="F1888" s="70">
        <f t="shared" si="58"/>
        <v>1977</v>
      </c>
      <c r="G1888" s="70" t="s">
        <v>159</v>
      </c>
      <c r="H1888" s="70" t="str">
        <f t="shared" si="59"/>
        <v>QUI</v>
      </c>
    </row>
    <row r="1889" spans="1:8" ht="15" x14ac:dyDescent="0.25">
      <c r="A1889" s="88" t="s">
        <v>817</v>
      </c>
      <c r="B1889" s="88">
        <v>1977</v>
      </c>
      <c r="C1889" s="89" t="s">
        <v>1146</v>
      </c>
      <c r="D1889" s="88" t="s">
        <v>160</v>
      </c>
      <c r="F1889" s="70">
        <f t="shared" si="58"/>
        <v>1977</v>
      </c>
      <c r="G1889" s="70" t="s">
        <v>159</v>
      </c>
      <c r="H1889" s="70" t="str">
        <f t="shared" si="59"/>
        <v>QUI</v>
      </c>
    </row>
    <row r="1890" spans="1:8" ht="15" x14ac:dyDescent="0.25">
      <c r="A1890" s="88" t="s">
        <v>817</v>
      </c>
      <c r="B1890" s="88">
        <v>1977</v>
      </c>
      <c r="C1890" s="89" t="s">
        <v>1145</v>
      </c>
      <c r="D1890" s="88" t="s">
        <v>160</v>
      </c>
      <c r="F1890" s="70">
        <f t="shared" si="58"/>
        <v>1977</v>
      </c>
      <c r="G1890" s="70" t="s">
        <v>159</v>
      </c>
      <c r="H1890" s="70" t="str">
        <f t="shared" si="59"/>
        <v>QUI</v>
      </c>
    </row>
    <row r="1891" spans="1:8" ht="15" x14ac:dyDescent="0.25">
      <c r="A1891" s="88" t="s">
        <v>817</v>
      </c>
      <c r="B1891" s="88">
        <v>1978</v>
      </c>
      <c r="C1891" s="89" t="s">
        <v>1144</v>
      </c>
      <c r="D1891" s="88" t="s">
        <v>160</v>
      </c>
      <c r="F1891" s="70">
        <f t="shared" si="58"/>
        <v>1978</v>
      </c>
      <c r="G1891" s="70" t="s">
        <v>159</v>
      </c>
      <c r="H1891" s="70" t="str">
        <f t="shared" si="59"/>
        <v>QUI</v>
      </c>
    </row>
    <row r="1892" spans="1:8" ht="15" x14ac:dyDescent="0.25">
      <c r="A1892" s="88" t="s">
        <v>817</v>
      </c>
      <c r="B1892" s="88">
        <v>1979</v>
      </c>
      <c r="C1892" s="89" t="s">
        <v>1143</v>
      </c>
      <c r="D1892" s="88" t="s">
        <v>160</v>
      </c>
      <c r="F1892" s="70">
        <f t="shared" si="58"/>
        <v>1979</v>
      </c>
      <c r="G1892" s="70" t="s">
        <v>159</v>
      </c>
      <c r="H1892" s="70" t="str">
        <f t="shared" si="59"/>
        <v>QUI</v>
      </c>
    </row>
    <row r="1893" spans="1:8" ht="15" x14ac:dyDescent="0.25">
      <c r="A1893" s="88" t="s">
        <v>817</v>
      </c>
      <c r="B1893" s="88">
        <v>1979</v>
      </c>
      <c r="C1893" s="89" t="s">
        <v>1142</v>
      </c>
      <c r="D1893" s="88" t="s">
        <v>160</v>
      </c>
      <c r="F1893" s="70">
        <f t="shared" si="58"/>
        <v>1979</v>
      </c>
      <c r="G1893" s="70" t="s">
        <v>159</v>
      </c>
      <c r="H1893" s="70" t="str">
        <f t="shared" si="59"/>
        <v>QUI</v>
      </c>
    </row>
    <row r="1894" spans="1:8" ht="15" x14ac:dyDescent="0.25">
      <c r="A1894" s="88" t="s">
        <v>817</v>
      </c>
      <c r="B1894" s="88">
        <v>1980</v>
      </c>
      <c r="C1894" s="89" t="s">
        <v>1141</v>
      </c>
      <c r="D1894" s="88" t="s">
        <v>160</v>
      </c>
      <c r="F1894" s="70">
        <f t="shared" si="58"/>
        <v>1980</v>
      </c>
      <c r="G1894" s="70" t="s">
        <v>159</v>
      </c>
      <c r="H1894" s="70" t="str">
        <f t="shared" si="59"/>
        <v>QUI</v>
      </c>
    </row>
    <row r="1895" spans="1:8" ht="15" x14ac:dyDescent="0.25">
      <c r="A1895" s="88" t="s">
        <v>817</v>
      </c>
      <c r="B1895" s="88">
        <v>1980</v>
      </c>
      <c r="C1895" s="89" t="s">
        <v>1140</v>
      </c>
      <c r="D1895" s="88" t="s">
        <v>160</v>
      </c>
      <c r="F1895" s="70">
        <f t="shared" si="58"/>
        <v>1980</v>
      </c>
      <c r="G1895" s="70" t="s">
        <v>159</v>
      </c>
      <c r="H1895" s="70" t="str">
        <f t="shared" si="59"/>
        <v>QUI</v>
      </c>
    </row>
    <row r="1896" spans="1:8" ht="15" x14ac:dyDescent="0.25">
      <c r="A1896" s="88" t="s">
        <v>817</v>
      </c>
      <c r="B1896" s="88">
        <v>1980</v>
      </c>
      <c r="C1896" s="89" t="s">
        <v>1139</v>
      </c>
      <c r="D1896" s="88" t="s">
        <v>160</v>
      </c>
      <c r="F1896" s="70">
        <f t="shared" si="58"/>
        <v>1980</v>
      </c>
      <c r="G1896" s="70" t="s">
        <v>159</v>
      </c>
      <c r="H1896" s="70" t="str">
        <f t="shared" si="59"/>
        <v>QUI</v>
      </c>
    </row>
    <row r="1897" spans="1:8" ht="15" x14ac:dyDescent="0.25">
      <c r="A1897" s="88" t="s">
        <v>817</v>
      </c>
      <c r="B1897" s="88">
        <v>1981</v>
      </c>
      <c r="C1897" s="89" t="s">
        <v>1138</v>
      </c>
      <c r="D1897" s="88" t="s">
        <v>160</v>
      </c>
      <c r="F1897" s="70">
        <f t="shared" si="58"/>
        <v>1981</v>
      </c>
      <c r="G1897" s="70" t="s">
        <v>159</v>
      </c>
      <c r="H1897" s="70" t="str">
        <f t="shared" si="59"/>
        <v>QUI</v>
      </c>
    </row>
    <row r="1898" spans="1:8" ht="15" x14ac:dyDescent="0.25">
      <c r="A1898" s="88" t="s">
        <v>817</v>
      </c>
      <c r="B1898" s="88">
        <v>1981</v>
      </c>
      <c r="C1898" s="89" t="s">
        <v>1137</v>
      </c>
      <c r="D1898" s="88" t="s">
        <v>160</v>
      </c>
      <c r="F1898" s="70">
        <f t="shared" si="58"/>
        <v>1981</v>
      </c>
      <c r="G1898" s="70" t="s">
        <v>159</v>
      </c>
      <c r="H1898" s="70" t="str">
        <f t="shared" si="59"/>
        <v>QUI</v>
      </c>
    </row>
    <row r="1899" spans="1:8" ht="15" x14ac:dyDescent="0.25">
      <c r="A1899" s="88" t="s">
        <v>817</v>
      </c>
      <c r="B1899" s="88">
        <v>1982</v>
      </c>
      <c r="C1899" s="89" t="s">
        <v>1136</v>
      </c>
      <c r="D1899" s="88" t="s">
        <v>160</v>
      </c>
      <c r="F1899" s="70">
        <f t="shared" si="58"/>
        <v>1982</v>
      </c>
      <c r="G1899" s="70" t="s">
        <v>159</v>
      </c>
      <c r="H1899" s="70" t="str">
        <f t="shared" si="59"/>
        <v>QUI</v>
      </c>
    </row>
    <row r="1900" spans="1:8" ht="15" x14ac:dyDescent="0.25">
      <c r="A1900" s="88" t="s">
        <v>817</v>
      </c>
      <c r="B1900" s="88">
        <v>1982</v>
      </c>
      <c r="C1900" s="89" t="s">
        <v>1135</v>
      </c>
      <c r="D1900" s="88" t="s">
        <v>160</v>
      </c>
      <c r="F1900" s="70">
        <f t="shared" si="58"/>
        <v>1982</v>
      </c>
      <c r="G1900" s="70" t="s">
        <v>159</v>
      </c>
      <c r="H1900" s="70" t="str">
        <f t="shared" si="59"/>
        <v>QUI</v>
      </c>
    </row>
    <row r="1901" spans="1:8" ht="15" x14ac:dyDescent="0.25">
      <c r="A1901" s="88" t="s">
        <v>817</v>
      </c>
      <c r="B1901" s="88">
        <v>1983</v>
      </c>
      <c r="C1901" s="89" t="s">
        <v>1134</v>
      </c>
      <c r="D1901" s="88" t="s">
        <v>160</v>
      </c>
      <c r="F1901" s="70">
        <f t="shared" si="58"/>
        <v>1983</v>
      </c>
      <c r="G1901" s="70" t="s">
        <v>159</v>
      </c>
      <c r="H1901" s="70" t="str">
        <f t="shared" si="59"/>
        <v>QUI</v>
      </c>
    </row>
    <row r="1902" spans="1:8" ht="15" x14ac:dyDescent="0.25">
      <c r="A1902" s="88" t="s">
        <v>817</v>
      </c>
      <c r="B1902" s="88">
        <v>1983</v>
      </c>
      <c r="C1902" s="89" t="s">
        <v>1133</v>
      </c>
      <c r="D1902" s="88" t="s">
        <v>160</v>
      </c>
      <c r="F1902" s="70">
        <f t="shared" si="58"/>
        <v>1983</v>
      </c>
      <c r="G1902" s="70" t="s">
        <v>159</v>
      </c>
      <c r="H1902" s="70" t="str">
        <f t="shared" si="59"/>
        <v>QUI</v>
      </c>
    </row>
    <row r="1903" spans="1:8" ht="15" x14ac:dyDescent="0.25">
      <c r="A1903" s="88" t="s">
        <v>817</v>
      </c>
      <c r="B1903" s="88">
        <v>1984</v>
      </c>
      <c r="C1903" s="89" t="s">
        <v>1132</v>
      </c>
      <c r="D1903" s="88" t="s">
        <v>160</v>
      </c>
      <c r="F1903" s="70">
        <f t="shared" si="58"/>
        <v>1984</v>
      </c>
      <c r="G1903" s="70" t="s">
        <v>159</v>
      </c>
      <c r="H1903" s="70" t="str">
        <f t="shared" si="59"/>
        <v>QUI</v>
      </c>
    </row>
    <row r="1904" spans="1:8" ht="15" x14ac:dyDescent="0.25">
      <c r="A1904" s="88" t="s">
        <v>817</v>
      </c>
      <c r="B1904" s="88">
        <v>1984</v>
      </c>
      <c r="C1904" s="89" t="s">
        <v>1131</v>
      </c>
      <c r="D1904" s="88" t="s">
        <v>160</v>
      </c>
      <c r="F1904" s="70">
        <f t="shared" si="58"/>
        <v>1984</v>
      </c>
      <c r="G1904" s="70" t="s">
        <v>159</v>
      </c>
      <c r="H1904" s="70" t="str">
        <f t="shared" si="59"/>
        <v>QUI</v>
      </c>
    </row>
    <row r="1905" spans="1:8" ht="15" x14ac:dyDescent="0.25">
      <c r="A1905" s="88" t="s">
        <v>817</v>
      </c>
      <c r="B1905" s="88">
        <v>1984</v>
      </c>
      <c r="C1905" s="89" t="s">
        <v>1130</v>
      </c>
      <c r="D1905" s="88" t="s">
        <v>160</v>
      </c>
      <c r="F1905" s="70">
        <f t="shared" si="58"/>
        <v>1984</v>
      </c>
      <c r="G1905" s="70" t="s">
        <v>159</v>
      </c>
      <c r="H1905" s="70" t="str">
        <f t="shared" si="59"/>
        <v>QUI</v>
      </c>
    </row>
    <row r="1906" spans="1:8" ht="15" x14ac:dyDescent="0.25">
      <c r="A1906" s="88" t="s">
        <v>817</v>
      </c>
      <c r="B1906" s="88">
        <v>1984</v>
      </c>
      <c r="C1906" s="89" t="s">
        <v>1129</v>
      </c>
      <c r="D1906" s="88" t="s">
        <v>160</v>
      </c>
      <c r="F1906" s="70">
        <f t="shared" si="58"/>
        <v>1984</v>
      </c>
      <c r="G1906" s="70" t="s">
        <v>159</v>
      </c>
      <c r="H1906" s="70" t="str">
        <f t="shared" si="59"/>
        <v>QUI</v>
      </c>
    </row>
    <row r="1907" spans="1:8" ht="15" x14ac:dyDescent="0.25">
      <c r="A1907" s="88" t="s">
        <v>817</v>
      </c>
      <c r="B1907" s="88">
        <v>1984</v>
      </c>
      <c r="C1907" s="89" t="s">
        <v>1128</v>
      </c>
      <c r="D1907" s="88" t="s">
        <v>160</v>
      </c>
      <c r="F1907" s="70">
        <f t="shared" si="58"/>
        <v>1984</v>
      </c>
      <c r="G1907" s="70" t="s">
        <v>159</v>
      </c>
      <c r="H1907" s="70" t="str">
        <f t="shared" si="59"/>
        <v>QUI</v>
      </c>
    </row>
    <row r="1908" spans="1:8" ht="15" x14ac:dyDescent="0.25">
      <c r="A1908" s="88" t="s">
        <v>817</v>
      </c>
      <c r="B1908" s="88">
        <v>1984</v>
      </c>
      <c r="C1908" s="89" t="s">
        <v>1127</v>
      </c>
      <c r="D1908" s="88" t="s">
        <v>160</v>
      </c>
      <c r="F1908" s="70">
        <f t="shared" si="58"/>
        <v>1984</v>
      </c>
      <c r="G1908" s="70" t="s">
        <v>159</v>
      </c>
      <c r="H1908" s="70" t="str">
        <f t="shared" si="59"/>
        <v>QUI</v>
      </c>
    </row>
    <row r="1909" spans="1:8" ht="15" x14ac:dyDescent="0.25">
      <c r="A1909" s="88" t="s">
        <v>817</v>
      </c>
      <c r="B1909" s="88">
        <v>1984</v>
      </c>
      <c r="C1909" s="89" t="s">
        <v>1126</v>
      </c>
      <c r="D1909" s="88" t="s">
        <v>160</v>
      </c>
      <c r="F1909" s="70">
        <f t="shared" si="58"/>
        <v>1984</v>
      </c>
      <c r="G1909" s="70" t="s">
        <v>159</v>
      </c>
      <c r="H1909" s="70" t="str">
        <f t="shared" si="59"/>
        <v>QUI</v>
      </c>
    </row>
    <row r="1910" spans="1:8" ht="15" x14ac:dyDescent="0.25">
      <c r="A1910" s="88" t="s">
        <v>817</v>
      </c>
      <c r="B1910" s="88">
        <v>1984</v>
      </c>
      <c r="C1910" s="89" t="s">
        <v>1125</v>
      </c>
      <c r="D1910" s="88" t="s">
        <v>160</v>
      </c>
      <c r="F1910" s="70">
        <f t="shared" si="58"/>
        <v>1984</v>
      </c>
      <c r="G1910" s="70" t="s">
        <v>159</v>
      </c>
      <c r="H1910" s="70" t="str">
        <f t="shared" si="59"/>
        <v>QUI</v>
      </c>
    </row>
    <row r="1911" spans="1:8" ht="15" x14ac:dyDescent="0.25">
      <c r="A1911" s="88" t="s">
        <v>817</v>
      </c>
      <c r="B1911" s="88">
        <v>1984</v>
      </c>
      <c r="C1911" s="89" t="s">
        <v>1124</v>
      </c>
      <c r="D1911" s="88" t="s">
        <v>160</v>
      </c>
      <c r="F1911" s="70">
        <f t="shared" si="58"/>
        <v>1984</v>
      </c>
      <c r="G1911" s="70" t="s">
        <v>159</v>
      </c>
      <c r="H1911" s="70" t="str">
        <f t="shared" si="59"/>
        <v>QUI</v>
      </c>
    </row>
    <row r="1912" spans="1:8" ht="15" x14ac:dyDescent="0.25">
      <c r="A1912" s="88" t="s">
        <v>817</v>
      </c>
      <c r="B1912" s="88">
        <v>1985</v>
      </c>
      <c r="C1912" s="89" t="s">
        <v>1123</v>
      </c>
      <c r="D1912" s="88" t="s">
        <v>160</v>
      </c>
      <c r="F1912" s="70">
        <f t="shared" si="58"/>
        <v>1985</v>
      </c>
      <c r="G1912" s="70" t="s">
        <v>159</v>
      </c>
      <c r="H1912" s="70" t="str">
        <f t="shared" si="59"/>
        <v>QUI</v>
      </c>
    </row>
    <row r="1913" spans="1:8" ht="15" x14ac:dyDescent="0.25">
      <c r="A1913" s="88" t="s">
        <v>817</v>
      </c>
      <c r="B1913" s="88">
        <v>1985</v>
      </c>
      <c r="C1913" s="89" t="s">
        <v>1122</v>
      </c>
      <c r="D1913" s="88" t="s">
        <v>160</v>
      </c>
      <c r="F1913" s="70">
        <f t="shared" si="58"/>
        <v>1985</v>
      </c>
      <c r="G1913" s="70" t="s">
        <v>159</v>
      </c>
      <c r="H1913" s="70" t="str">
        <f t="shared" si="59"/>
        <v>QUI</v>
      </c>
    </row>
    <row r="1914" spans="1:8" ht="15" x14ac:dyDescent="0.25">
      <c r="A1914" s="88" t="s">
        <v>817</v>
      </c>
      <c r="B1914" s="88">
        <v>1985</v>
      </c>
      <c r="C1914" s="89" t="s">
        <v>1121</v>
      </c>
      <c r="D1914" s="88" t="s">
        <v>160</v>
      </c>
      <c r="F1914" s="70">
        <f t="shared" si="58"/>
        <v>1985</v>
      </c>
      <c r="G1914" s="70" t="s">
        <v>159</v>
      </c>
      <c r="H1914" s="70" t="str">
        <f t="shared" si="59"/>
        <v>QUI</v>
      </c>
    </row>
    <row r="1915" spans="1:8" ht="15" x14ac:dyDescent="0.25">
      <c r="A1915" s="88" t="s">
        <v>817</v>
      </c>
      <c r="B1915" s="88">
        <v>1985</v>
      </c>
      <c r="C1915" s="89" t="s">
        <v>1120</v>
      </c>
      <c r="D1915" s="88" t="s">
        <v>160</v>
      </c>
      <c r="F1915" s="70">
        <f t="shared" si="58"/>
        <v>1985</v>
      </c>
      <c r="G1915" s="70" t="s">
        <v>159</v>
      </c>
      <c r="H1915" s="70" t="str">
        <f t="shared" si="59"/>
        <v>QUI</v>
      </c>
    </row>
    <row r="1916" spans="1:8" ht="15" x14ac:dyDescent="0.25">
      <c r="A1916" s="88" t="s">
        <v>817</v>
      </c>
      <c r="B1916" s="88">
        <v>1985</v>
      </c>
      <c r="C1916" s="89" t="s">
        <v>1119</v>
      </c>
      <c r="D1916" s="88" t="s">
        <v>160</v>
      </c>
      <c r="F1916" s="70">
        <f t="shared" si="58"/>
        <v>1985</v>
      </c>
      <c r="G1916" s="70" t="s">
        <v>159</v>
      </c>
      <c r="H1916" s="70" t="str">
        <f t="shared" si="59"/>
        <v>QUI</v>
      </c>
    </row>
    <row r="1917" spans="1:8" ht="15" x14ac:dyDescent="0.25">
      <c r="A1917" s="88" t="s">
        <v>817</v>
      </c>
      <c r="B1917" s="88">
        <v>1985</v>
      </c>
      <c r="C1917" s="89" t="s">
        <v>1118</v>
      </c>
      <c r="D1917" s="88" t="s">
        <v>160</v>
      </c>
      <c r="F1917" s="70">
        <f t="shared" si="58"/>
        <v>1985</v>
      </c>
      <c r="G1917" s="70" t="s">
        <v>159</v>
      </c>
      <c r="H1917" s="70" t="str">
        <f t="shared" si="59"/>
        <v>QUI</v>
      </c>
    </row>
    <row r="1918" spans="1:8" ht="15" x14ac:dyDescent="0.25">
      <c r="A1918" s="88" t="s">
        <v>817</v>
      </c>
      <c r="B1918" s="88">
        <v>1985</v>
      </c>
      <c r="C1918" s="89" t="s">
        <v>1117</v>
      </c>
      <c r="D1918" s="88" t="s">
        <v>160</v>
      </c>
      <c r="F1918" s="70">
        <f t="shared" si="58"/>
        <v>1985</v>
      </c>
      <c r="G1918" s="70" t="s">
        <v>159</v>
      </c>
      <c r="H1918" s="70" t="str">
        <f t="shared" si="59"/>
        <v>QUI</v>
      </c>
    </row>
    <row r="1919" spans="1:8" ht="15" x14ac:dyDescent="0.25">
      <c r="A1919" s="88" t="s">
        <v>817</v>
      </c>
      <c r="B1919" s="88">
        <v>1985</v>
      </c>
      <c r="C1919" s="89" t="s">
        <v>1116</v>
      </c>
      <c r="D1919" s="88" t="s">
        <v>160</v>
      </c>
      <c r="F1919" s="70">
        <f t="shared" si="58"/>
        <v>1985</v>
      </c>
      <c r="G1919" s="70" t="s">
        <v>159</v>
      </c>
      <c r="H1919" s="70" t="str">
        <f t="shared" si="59"/>
        <v>QUI</v>
      </c>
    </row>
    <row r="1920" spans="1:8" ht="15" x14ac:dyDescent="0.25">
      <c r="A1920" s="88" t="s">
        <v>817</v>
      </c>
      <c r="B1920" s="88">
        <v>1985</v>
      </c>
      <c r="C1920" s="89" t="s">
        <v>1115</v>
      </c>
      <c r="D1920" s="88" t="s">
        <v>160</v>
      </c>
      <c r="F1920" s="70">
        <f t="shared" si="58"/>
        <v>1985</v>
      </c>
      <c r="G1920" s="70" t="s">
        <v>159</v>
      </c>
      <c r="H1920" s="70" t="str">
        <f t="shared" si="59"/>
        <v>QUI</v>
      </c>
    </row>
    <row r="1921" spans="1:8" ht="15" x14ac:dyDescent="0.25">
      <c r="A1921" s="88" t="s">
        <v>817</v>
      </c>
      <c r="B1921" s="88">
        <v>1986</v>
      </c>
      <c r="C1921" s="89" t="s">
        <v>1114</v>
      </c>
      <c r="D1921" s="88" t="s">
        <v>160</v>
      </c>
      <c r="F1921" s="70">
        <f t="shared" si="58"/>
        <v>1986</v>
      </c>
      <c r="G1921" s="70" t="s">
        <v>159</v>
      </c>
      <c r="H1921" s="70" t="str">
        <f t="shared" si="59"/>
        <v>QUI</v>
      </c>
    </row>
    <row r="1922" spans="1:8" ht="15" x14ac:dyDescent="0.25">
      <c r="A1922" s="88" t="s">
        <v>817</v>
      </c>
      <c r="B1922" s="88">
        <v>1986</v>
      </c>
      <c r="C1922" s="89" t="s">
        <v>1113</v>
      </c>
      <c r="D1922" s="88" t="s">
        <v>160</v>
      </c>
      <c r="F1922" s="70">
        <f t="shared" si="58"/>
        <v>1986</v>
      </c>
      <c r="G1922" s="70" t="s">
        <v>159</v>
      </c>
      <c r="H1922" s="70" t="str">
        <f t="shared" si="59"/>
        <v>QUI</v>
      </c>
    </row>
    <row r="1923" spans="1:8" ht="15" x14ac:dyDescent="0.25">
      <c r="A1923" s="88" t="s">
        <v>817</v>
      </c>
      <c r="B1923" s="88">
        <v>1986</v>
      </c>
      <c r="C1923" s="89" t="s">
        <v>1112</v>
      </c>
      <c r="D1923" s="88" t="s">
        <v>160</v>
      </c>
      <c r="F1923" s="70">
        <f t="shared" si="58"/>
        <v>1986</v>
      </c>
      <c r="G1923" s="70" t="s">
        <v>159</v>
      </c>
      <c r="H1923" s="70" t="str">
        <f t="shared" si="59"/>
        <v>QUI</v>
      </c>
    </row>
    <row r="1924" spans="1:8" ht="15" x14ac:dyDescent="0.25">
      <c r="A1924" s="88" t="s">
        <v>817</v>
      </c>
      <c r="B1924" s="88">
        <v>1986</v>
      </c>
      <c r="C1924" s="89" t="s">
        <v>1111</v>
      </c>
      <c r="D1924" s="88" t="s">
        <v>160</v>
      </c>
      <c r="F1924" s="70">
        <f t="shared" si="58"/>
        <v>1986</v>
      </c>
      <c r="G1924" s="70" t="s">
        <v>159</v>
      </c>
      <c r="H1924" s="70" t="str">
        <f t="shared" si="59"/>
        <v>QUI</v>
      </c>
    </row>
    <row r="1925" spans="1:8" ht="15" x14ac:dyDescent="0.25">
      <c r="A1925" s="88" t="s">
        <v>817</v>
      </c>
      <c r="B1925" s="88">
        <v>1986</v>
      </c>
      <c r="C1925" s="89" t="s">
        <v>1110</v>
      </c>
      <c r="D1925" s="88" t="s">
        <v>160</v>
      </c>
      <c r="F1925" s="70">
        <f t="shared" si="58"/>
        <v>1986</v>
      </c>
      <c r="G1925" s="70" t="s">
        <v>159</v>
      </c>
      <c r="H1925" s="70" t="str">
        <f t="shared" si="59"/>
        <v>QUI</v>
      </c>
    </row>
    <row r="1926" spans="1:8" ht="15" x14ac:dyDescent="0.25">
      <c r="A1926" s="88" t="s">
        <v>817</v>
      </c>
      <c r="B1926" s="88">
        <v>1986</v>
      </c>
      <c r="C1926" s="89" t="s">
        <v>1109</v>
      </c>
      <c r="D1926" s="88" t="s">
        <v>160</v>
      </c>
      <c r="F1926" s="70">
        <f t="shared" si="58"/>
        <v>1986</v>
      </c>
      <c r="G1926" s="70" t="s">
        <v>159</v>
      </c>
      <c r="H1926" s="70" t="str">
        <f t="shared" si="59"/>
        <v>QUI</v>
      </c>
    </row>
    <row r="1927" spans="1:8" ht="15" x14ac:dyDescent="0.25">
      <c r="A1927" s="88" t="s">
        <v>817</v>
      </c>
      <c r="B1927" s="88">
        <v>1986</v>
      </c>
      <c r="C1927" s="89" t="s">
        <v>1108</v>
      </c>
      <c r="D1927" s="88" t="s">
        <v>160</v>
      </c>
      <c r="F1927" s="70">
        <f t="shared" si="58"/>
        <v>1986</v>
      </c>
      <c r="G1927" s="70" t="s">
        <v>159</v>
      </c>
      <c r="H1927" s="70" t="str">
        <f t="shared" si="59"/>
        <v>QUI</v>
      </c>
    </row>
    <row r="1928" spans="1:8" ht="15" x14ac:dyDescent="0.25">
      <c r="A1928" s="88" t="s">
        <v>817</v>
      </c>
      <c r="B1928" s="88">
        <v>1986</v>
      </c>
      <c r="C1928" s="89" t="s">
        <v>1107</v>
      </c>
      <c r="D1928" s="88" t="s">
        <v>160</v>
      </c>
      <c r="F1928" s="70">
        <f t="shared" ref="F1928:F1991" si="60">+B1928</f>
        <v>1986</v>
      </c>
      <c r="G1928" s="70" t="s">
        <v>159</v>
      </c>
      <c r="H1928" s="70" t="str">
        <f t="shared" ref="H1928:H1991" si="61">A1928</f>
        <v>QUI</v>
      </c>
    </row>
    <row r="1929" spans="1:8" ht="15" x14ac:dyDescent="0.25">
      <c r="A1929" s="88" t="s">
        <v>817</v>
      </c>
      <c r="B1929" s="88">
        <v>1986</v>
      </c>
      <c r="C1929" s="89" t="s">
        <v>1106</v>
      </c>
      <c r="D1929" s="88" t="s">
        <v>160</v>
      </c>
      <c r="F1929" s="70">
        <f t="shared" si="60"/>
        <v>1986</v>
      </c>
      <c r="G1929" s="70" t="s">
        <v>159</v>
      </c>
      <c r="H1929" s="70" t="str">
        <f t="shared" si="61"/>
        <v>QUI</v>
      </c>
    </row>
    <row r="1930" spans="1:8" ht="15" x14ac:dyDescent="0.25">
      <c r="A1930" s="88" t="s">
        <v>817</v>
      </c>
      <c r="B1930" s="88">
        <v>1987</v>
      </c>
      <c r="C1930" s="89" t="s">
        <v>1105</v>
      </c>
      <c r="D1930" s="88" t="s">
        <v>160</v>
      </c>
      <c r="F1930" s="70">
        <f t="shared" si="60"/>
        <v>1987</v>
      </c>
      <c r="G1930" s="70" t="s">
        <v>159</v>
      </c>
      <c r="H1930" s="70" t="str">
        <f t="shared" si="61"/>
        <v>QUI</v>
      </c>
    </row>
    <row r="1931" spans="1:8" ht="15" x14ac:dyDescent="0.25">
      <c r="A1931" s="88" t="s">
        <v>817</v>
      </c>
      <c r="B1931" s="88">
        <v>1987</v>
      </c>
      <c r="C1931" s="89" t="s">
        <v>1104</v>
      </c>
      <c r="D1931" s="88" t="s">
        <v>160</v>
      </c>
      <c r="F1931" s="70">
        <f t="shared" si="60"/>
        <v>1987</v>
      </c>
      <c r="G1931" s="70" t="s">
        <v>159</v>
      </c>
      <c r="H1931" s="70" t="str">
        <f t="shared" si="61"/>
        <v>QUI</v>
      </c>
    </row>
    <row r="1932" spans="1:8" ht="15" x14ac:dyDescent="0.25">
      <c r="A1932" s="88" t="s">
        <v>817</v>
      </c>
      <c r="B1932" s="88">
        <v>1987</v>
      </c>
      <c r="C1932" s="89" t="s">
        <v>1103</v>
      </c>
      <c r="D1932" s="88" t="s">
        <v>160</v>
      </c>
      <c r="F1932" s="70">
        <f t="shared" si="60"/>
        <v>1987</v>
      </c>
      <c r="G1932" s="70" t="s">
        <v>159</v>
      </c>
      <c r="H1932" s="70" t="str">
        <f t="shared" si="61"/>
        <v>QUI</v>
      </c>
    </row>
    <row r="1933" spans="1:8" ht="15" x14ac:dyDescent="0.25">
      <c r="A1933" s="88" t="s">
        <v>817</v>
      </c>
      <c r="B1933" s="88">
        <v>1987</v>
      </c>
      <c r="C1933" s="89" t="s">
        <v>1102</v>
      </c>
      <c r="D1933" s="88" t="s">
        <v>160</v>
      </c>
      <c r="E1933" s="94"/>
      <c r="F1933" s="70">
        <f t="shared" si="60"/>
        <v>1987</v>
      </c>
      <c r="G1933" s="70" t="s">
        <v>159</v>
      </c>
      <c r="H1933" s="70" t="str">
        <f t="shared" si="61"/>
        <v>QUI</v>
      </c>
    </row>
    <row r="1934" spans="1:8" ht="15" x14ac:dyDescent="0.25">
      <c r="A1934" s="88" t="s">
        <v>817</v>
      </c>
      <c r="B1934" s="88">
        <v>1987</v>
      </c>
      <c r="C1934" s="89" t="s">
        <v>1101</v>
      </c>
      <c r="D1934" s="88" t="s">
        <v>160</v>
      </c>
      <c r="E1934" s="94"/>
      <c r="F1934" s="70">
        <f t="shared" si="60"/>
        <v>1987</v>
      </c>
      <c r="G1934" s="70" t="s">
        <v>159</v>
      </c>
      <c r="H1934" s="70" t="str">
        <f t="shared" si="61"/>
        <v>QUI</v>
      </c>
    </row>
    <row r="1935" spans="1:8" ht="15" x14ac:dyDescent="0.25">
      <c r="A1935" s="88" t="s">
        <v>817</v>
      </c>
      <c r="B1935" s="88">
        <v>1987</v>
      </c>
      <c r="C1935" s="89" t="s">
        <v>1100</v>
      </c>
      <c r="D1935" s="88" t="s">
        <v>160</v>
      </c>
      <c r="F1935" s="70">
        <f t="shared" si="60"/>
        <v>1987</v>
      </c>
      <c r="G1935" s="70" t="s">
        <v>159</v>
      </c>
      <c r="H1935" s="70" t="str">
        <f t="shared" si="61"/>
        <v>QUI</v>
      </c>
    </row>
    <row r="1936" spans="1:8" ht="15" x14ac:dyDescent="0.25">
      <c r="A1936" s="88" t="s">
        <v>817</v>
      </c>
      <c r="B1936" s="88">
        <v>1987</v>
      </c>
      <c r="C1936" s="89" t="s">
        <v>1099</v>
      </c>
      <c r="D1936" s="88" t="s">
        <v>160</v>
      </c>
      <c r="E1936" s="94"/>
      <c r="F1936" s="70">
        <f t="shared" si="60"/>
        <v>1987</v>
      </c>
      <c r="G1936" s="70" t="s">
        <v>159</v>
      </c>
      <c r="H1936" s="70" t="str">
        <f t="shared" si="61"/>
        <v>QUI</v>
      </c>
    </row>
    <row r="1937" spans="1:8" ht="15" x14ac:dyDescent="0.25">
      <c r="A1937" s="88" t="s">
        <v>817</v>
      </c>
      <c r="B1937" s="88">
        <v>1987</v>
      </c>
      <c r="C1937" s="89" t="s">
        <v>1098</v>
      </c>
      <c r="D1937" s="88" t="s">
        <v>160</v>
      </c>
      <c r="E1937" s="94"/>
      <c r="F1937" s="70">
        <f t="shared" si="60"/>
        <v>1987</v>
      </c>
      <c r="G1937" s="70" t="s">
        <v>159</v>
      </c>
      <c r="H1937" s="70" t="str">
        <f t="shared" si="61"/>
        <v>QUI</v>
      </c>
    </row>
    <row r="1938" spans="1:8" ht="15" x14ac:dyDescent="0.25">
      <c r="A1938" s="88" t="s">
        <v>817</v>
      </c>
      <c r="B1938" s="88">
        <v>1987</v>
      </c>
      <c r="C1938" s="89" t="s">
        <v>1097</v>
      </c>
      <c r="D1938" s="88" t="s">
        <v>160</v>
      </c>
      <c r="F1938" s="70">
        <f t="shared" si="60"/>
        <v>1987</v>
      </c>
      <c r="G1938" s="70" t="s">
        <v>159</v>
      </c>
      <c r="H1938" s="70" t="str">
        <f t="shared" si="61"/>
        <v>QUI</v>
      </c>
    </row>
    <row r="1939" spans="1:8" ht="15" x14ac:dyDescent="0.25">
      <c r="A1939" s="88" t="s">
        <v>817</v>
      </c>
      <c r="B1939" s="88">
        <v>1988</v>
      </c>
      <c r="C1939" s="89" t="s">
        <v>1096</v>
      </c>
      <c r="D1939" s="88" t="s">
        <v>160</v>
      </c>
      <c r="F1939" s="70">
        <f t="shared" si="60"/>
        <v>1988</v>
      </c>
      <c r="G1939" s="70" t="s">
        <v>159</v>
      </c>
      <c r="H1939" s="70" t="str">
        <f t="shared" si="61"/>
        <v>QUI</v>
      </c>
    </row>
    <row r="1940" spans="1:8" ht="15" x14ac:dyDescent="0.25">
      <c r="A1940" s="88" t="s">
        <v>817</v>
      </c>
      <c r="B1940" s="88">
        <v>1988</v>
      </c>
      <c r="C1940" s="89" t="s">
        <v>1095</v>
      </c>
      <c r="D1940" s="88" t="s">
        <v>160</v>
      </c>
      <c r="F1940" s="70">
        <f t="shared" si="60"/>
        <v>1988</v>
      </c>
      <c r="G1940" s="70" t="s">
        <v>159</v>
      </c>
      <c r="H1940" s="70" t="str">
        <f t="shared" si="61"/>
        <v>QUI</v>
      </c>
    </row>
    <row r="1941" spans="1:8" ht="15" x14ac:dyDescent="0.25">
      <c r="A1941" s="88" t="s">
        <v>817</v>
      </c>
      <c r="B1941" s="88">
        <v>1988</v>
      </c>
      <c r="C1941" s="89" t="s">
        <v>1094</v>
      </c>
      <c r="D1941" s="88" t="s">
        <v>160</v>
      </c>
      <c r="F1941" s="70">
        <f t="shared" si="60"/>
        <v>1988</v>
      </c>
      <c r="G1941" s="70" t="s">
        <v>159</v>
      </c>
      <c r="H1941" s="70" t="str">
        <f t="shared" si="61"/>
        <v>QUI</v>
      </c>
    </row>
    <row r="1942" spans="1:8" ht="15" x14ac:dyDescent="0.25">
      <c r="A1942" s="88" t="s">
        <v>817</v>
      </c>
      <c r="B1942" s="88">
        <v>1988</v>
      </c>
      <c r="C1942" s="89" t="s">
        <v>1093</v>
      </c>
      <c r="D1942" s="88" t="s">
        <v>160</v>
      </c>
      <c r="F1942" s="70">
        <f t="shared" si="60"/>
        <v>1988</v>
      </c>
      <c r="G1942" s="70" t="s">
        <v>159</v>
      </c>
      <c r="H1942" s="70" t="str">
        <f t="shared" si="61"/>
        <v>QUI</v>
      </c>
    </row>
    <row r="1943" spans="1:8" ht="15" x14ac:dyDescent="0.25">
      <c r="A1943" s="88" t="s">
        <v>817</v>
      </c>
      <c r="B1943" s="88">
        <v>1988</v>
      </c>
      <c r="C1943" s="89" t="s">
        <v>1092</v>
      </c>
      <c r="D1943" s="88" t="s">
        <v>160</v>
      </c>
      <c r="F1943" s="70">
        <f t="shared" si="60"/>
        <v>1988</v>
      </c>
      <c r="G1943" s="70" t="s">
        <v>159</v>
      </c>
      <c r="H1943" s="70" t="str">
        <f t="shared" si="61"/>
        <v>QUI</v>
      </c>
    </row>
    <row r="1944" spans="1:8" ht="15" x14ac:dyDescent="0.25">
      <c r="A1944" s="88" t="s">
        <v>817</v>
      </c>
      <c r="B1944" s="88">
        <v>1988</v>
      </c>
      <c r="C1944" s="89" t="s">
        <v>1091</v>
      </c>
      <c r="D1944" s="88" t="s">
        <v>160</v>
      </c>
      <c r="F1944" s="70">
        <f t="shared" si="60"/>
        <v>1988</v>
      </c>
      <c r="G1944" s="70" t="s">
        <v>159</v>
      </c>
      <c r="H1944" s="70" t="str">
        <f t="shared" si="61"/>
        <v>QUI</v>
      </c>
    </row>
    <row r="1945" spans="1:8" ht="15" x14ac:dyDescent="0.25">
      <c r="A1945" s="88" t="s">
        <v>817</v>
      </c>
      <c r="B1945" s="88">
        <v>1988</v>
      </c>
      <c r="C1945" s="89" t="s">
        <v>1090</v>
      </c>
      <c r="D1945" s="88" t="s">
        <v>160</v>
      </c>
      <c r="F1945" s="70">
        <f t="shared" si="60"/>
        <v>1988</v>
      </c>
      <c r="G1945" s="70" t="s">
        <v>159</v>
      </c>
      <c r="H1945" s="70" t="str">
        <f t="shared" si="61"/>
        <v>QUI</v>
      </c>
    </row>
    <row r="1946" spans="1:8" ht="15" x14ac:dyDescent="0.25">
      <c r="A1946" s="88" t="s">
        <v>817</v>
      </c>
      <c r="B1946" s="88">
        <v>1988</v>
      </c>
      <c r="C1946" s="89" t="s">
        <v>1089</v>
      </c>
      <c r="D1946" s="88" t="s">
        <v>160</v>
      </c>
      <c r="F1946" s="70">
        <f t="shared" si="60"/>
        <v>1988</v>
      </c>
      <c r="G1946" s="70" t="s">
        <v>159</v>
      </c>
      <c r="H1946" s="70" t="str">
        <f t="shared" si="61"/>
        <v>QUI</v>
      </c>
    </row>
    <row r="1947" spans="1:8" ht="15" x14ac:dyDescent="0.25">
      <c r="A1947" s="88" t="s">
        <v>817</v>
      </c>
      <c r="B1947" s="88">
        <v>1988</v>
      </c>
      <c r="C1947" s="89" t="s">
        <v>1088</v>
      </c>
      <c r="D1947" s="88" t="s">
        <v>160</v>
      </c>
      <c r="F1947" s="70">
        <f t="shared" si="60"/>
        <v>1988</v>
      </c>
      <c r="G1947" s="70" t="s">
        <v>159</v>
      </c>
      <c r="H1947" s="70" t="str">
        <f t="shared" si="61"/>
        <v>QUI</v>
      </c>
    </row>
    <row r="1948" spans="1:8" ht="15" x14ac:dyDescent="0.25">
      <c r="A1948" s="88" t="s">
        <v>817</v>
      </c>
      <c r="B1948" s="88">
        <v>1989</v>
      </c>
      <c r="C1948" s="89" t="s">
        <v>1087</v>
      </c>
      <c r="D1948" s="88" t="s">
        <v>160</v>
      </c>
      <c r="F1948" s="70">
        <f t="shared" si="60"/>
        <v>1989</v>
      </c>
      <c r="G1948" s="70" t="s">
        <v>159</v>
      </c>
      <c r="H1948" s="70" t="str">
        <f t="shared" si="61"/>
        <v>QUI</v>
      </c>
    </row>
    <row r="1949" spans="1:8" ht="15" x14ac:dyDescent="0.25">
      <c r="A1949" s="88" t="s">
        <v>817</v>
      </c>
      <c r="B1949" s="88">
        <v>1989</v>
      </c>
      <c r="C1949" s="89" t="s">
        <v>1086</v>
      </c>
      <c r="D1949" s="88" t="s">
        <v>160</v>
      </c>
      <c r="F1949" s="70">
        <f t="shared" si="60"/>
        <v>1989</v>
      </c>
      <c r="G1949" s="70" t="s">
        <v>159</v>
      </c>
      <c r="H1949" s="70" t="str">
        <f t="shared" si="61"/>
        <v>QUI</v>
      </c>
    </row>
    <row r="1950" spans="1:8" ht="15" x14ac:dyDescent="0.25">
      <c r="A1950" s="88" t="s">
        <v>817</v>
      </c>
      <c r="B1950" s="88">
        <v>1989</v>
      </c>
      <c r="C1950" s="89" t="s">
        <v>1085</v>
      </c>
      <c r="D1950" s="88" t="s">
        <v>160</v>
      </c>
      <c r="F1950" s="70">
        <f t="shared" si="60"/>
        <v>1989</v>
      </c>
      <c r="G1950" s="70" t="s">
        <v>159</v>
      </c>
      <c r="H1950" s="70" t="str">
        <f t="shared" si="61"/>
        <v>QUI</v>
      </c>
    </row>
    <row r="1951" spans="1:8" ht="15" x14ac:dyDescent="0.25">
      <c r="A1951" s="88" t="s">
        <v>817</v>
      </c>
      <c r="B1951" s="88">
        <v>1989</v>
      </c>
      <c r="C1951" s="89" t="s">
        <v>1084</v>
      </c>
      <c r="D1951" s="88" t="s">
        <v>160</v>
      </c>
      <c r="F1951" s="70">
        <f t="shared" si="60"/>
        <v>1989</v>
      </c>
      <c r="G1951" s="70" t="s">
        <v>159</v>
      </c>
      <c r="H1951" s="70" t="str">
        <f t="shared" si="61"/>
        <v>QUI</v>
      </c>
    </row>
    <row r="1952" spans="1:8" ht="15" x14ac:dyDescent="0.25">
      <c r="A1952" s="88" t="s">
        <v>817</v>
      </c>
      <c r="B1952" s="88">
        <v>1989</v>
      </c>
      <c r="C1952" s="89" t="s">
        <v>1083</v>
      </c>
      <c r="D1952" s="88" t="s">
        <v>160</v>
      </c>
      <c r="F1952" s="70">
        <f t="shared" si="60"/>
        <v>1989</v>
      </c>
      <c r="G1952" s="70" t="s">
        <v>159</v>
      </c>
      <c r="H1952" s="70" t="str">
        <f t="shared" si="61"/>
        <v>QUI</v>
      </c>
    </row>
    <row r="1953" spans="1:8" ht="15" x14ac:dyDescent="0.25">
      <c r="A1953" s="88" t="s">
        <v>817</v>
      </c>
      <c r="B1953" s="88">
        <v>1989</v>
      </c>
      <c r="C1953" s="89" t="s">
        <v>1082</v>
      </c>
      <c r="D1953" s="88" t="s">
        <v>160</v>
      </c>
      <c r="F1953" s="70">
        <f t="shared" si="60"/>
        <v>1989</v>
      </c>
      <c r="G1953" s="70" t="s">
        <v>159</v>
      </c>
      <c r="H1953" s="70" t="str">
        <f t="shared" si="61"/>
        <v>QUI</v>
      </c>
    </row>
    <row r="1954" spans="1:8" ht="15" x14ac:dyDescent="0.25">
      <c r="A1954" s="88" t="s">
        <v>817</v>
      </c>
      <c r="B1954" s="88">
        <v>1989</v>
      </c>
      <c r="C1954" s="89" t="s">
        <v>1081</v>
      </c>
      <c r="D1954" s="88" t="s">
        <v>160</v>
      </c>
      <c r="F1954" s="70">
        <f t="shared" si="60"/>
        <v>1989</v>
      </c>
      <c r="G1954" s="70" t="s">
        <v>159</v>
      </c>
      <c r="H1954" s="70" t="str">
        <f t="shared" si="61"/>
        <v>QUI</v>
      </c>
    </row>
    <row r="1955" spans="1:8" ht="15" x14ac:dyDescent="0.25">
      <c r="A1955" s="88" t="s">
        <v>817</v>
      </c>
      <c r="B1955" s="88">
        <v>1989</v>
      </c>
      <c r="C1955" s="89" t="s">
        <v>1080</v>
      </c>
      <c r="D1955" s="88" t="s">
        <v>160</v>
      </c>
      <c r="F1955" s="70">
        <f t="shared" si="60"/>
        <v>1989</v>
      </c>
      <c r="G1955" s="70" t="s">
        <v>159</v>
      </c>
      <c r="H1955" s="70" t="str">
        <f t="shared" si="61"/>
        <v>QUI</v>
      </c>
    </row>
    <row r="1956" spans="1:8" ht="15" x14ac:dyDescent="0.25">
      <c r="A1956" s="88" t="s">
        <v>817</v>
      </c>
      <c r="B1956" s="88">
        <v>1989</v>
      </c>
      <c r="C1956" s="89" t="s">
        <v>1079</v>
      </c>
      <c r="D1956" s="88" t="s">
        <v>160</v>
      </c>
      <c r="F1956" s="70">
        <f t="shared" si="60"/>
        <v>1989</v>
      </c>
      <c r="G1956" s="70" t="s">
        <v>159</v>
      </c>
      <c r="H1956" s="70" t="str">
        <f t="shared" si="61"/>
        <v>QUI</v>
      </c>
    </row>
    <row r="1957" spans="1:8" ht="15" x14ac:dyDescent="0.25">
      <c r="A1957" s="88" t="s">
        <v>817</v>
      </c>
      <c r="B1957" s="88">
        <v>1990</v>
      </c>
      <c r="C1957" s="89" t="s">
        <v>1078</v>
      </c>
      <c r="D1957" s="88" t="s">
        <v>160</v>
      </c>
      <c r="F1957" s="70">
        <f t="shared" si="60"/>
        <v>1990</v>
      </c>
      <c r="G1957" s="70" t="s">
        <v>159</v>
      </c>
      <c r="H1957" s="70" t="str">
        <f t="shared" si="61"/>
        <v>QUI</v>
      </c>
    </row>
    <row r="1958" spans="1:8" ht="15" x14ac:dyDescent="0.25">
      <c r="A1958" s="88" t="s">
        <v>817</v>
      </c>
      <c r="B1958" s="88">
        <v>1990</v>
      </c>
      <c r="C1958" s="89" t="s">
        <v>1077</v>
      </c>
      <c r="D1958" s="88" t="s">
        <v>160</v>
      </c>
      <c r="F1958" s="70">
        <f t="shared" si="60"/>
        <v>1990</v>
      </c>
      <c r="G1958" s="70" t="s">
        <v>159</v>
      </c>
      <c r="H1958" s="70" t="str">
        <f t="shared" si="61"/>
        <v>QUI</v>
      </c>
    </row>
    <row r="1959" spans="1:8" ht="15" x14ac:dyDescent="0.25">
      <c r="A1959" s="88" t="s">
        <v>817</v>
      </c>
      <c r="B1959" s="88">
        <v>1990</v>
      </c>
      <c r="C1959" s="89" t="s">
        <v>1076</v>
      </c>
      <c r="D1959" s="88" t="s">
        <v>160</v>
      </c>
      <c r="F1959" s="70">
        <f t="shared" si="60"/>
        <v>1990</v>
      </c>
      <c r="G1959" s="70" t="s">
        <v>159</v>
      </c>
      <c r="H1959" s="70" t="str">
        <f t="shared" si="61"/>
        <v>QUI</v>
      </c>
    </row>
    <row r="1960" spans="1:8" ht="15" x14ac:dyDescent="0.25">
      <c r="A1960" s="88" t="s">
        <v>817</v>
      </c>
      <c r="B1960" s="88">
        <v>1990</v>
      </c>
      <c r="C1960" s="89" t="s">
        <v>1075</v>
      </c>
      <c r="D1960" s="88" t="s">
        <v>160</v>
      </c>
      <c r="F1960" s="70">
        <f t="shared" si="60"/>
        <v>1990</v>
      </c>
      <c r="G1960" s="70" t="s">
        <v>159</v>
      </c>
      <c r="H1960" s="70" t="str">
        <f t="shared" si="61"/>
        <v>QUI</v>
      </c>
    </row>
    <row r="1961" spans="1:8" ht="15" x14ac:dyDescent="0.25">
      <c r="A1961" s="88" t="s">
        <v>817</v>
      </c>
      <c r="B1961" s="88">
        <v>1990</v>
      </c>
      <c r="C1961" s="89" t="s">
        <v>1074</v>
      </c>
      <c r="D1961" s="88" t="s">
        <v>160</v>
      </c>
      <c r="F1961" s="70">
        <f t="shared" si="60"/>
        <v>1990</v>
      </c>
      <c r="G1961" s="70" t="s">
        <v>159</v>
      </c>
      <c r="H1961" s="70" t="str">
        <f t="shared" si="61"/>
        <v>QUI</v>
      </c>
    </row>
    <row r="1962" spans="1:8" ht="15" x14ac:dyDescent="0.25">
      <c r="A1962" s="88" t="s">
        <v>817</v>
      </c>
      <c r="B1962" s="88">
        <v>1990</v>
      </c>
      <c r="C1962" s="89" t="s">
        <v>1073</v>
      </c>
      <c r="D1962" s="88" t="s">
        <v>160</v>
      </c>
      <c r="F1962" s="70">
        <f t="shared" si="60"/>
        <v>1990</v>
      </c>
      <c r="G1962" s="70" t="s">
        <v>159</v>
      </c>
      <c r="H1962" s="70" t="str">
        <f t="shared" si="61"/>
        <v>QUI</v>
      </c>
    </row>
    <row r="1963" spans="1:8" ht="15" x14ac:dyDescent="0.25">
      <c r="A1963" s="88" t="s">
        <v>817</v>
      </c>
      <c r="B1963" s="88">
        <v>1990</v>
      </c>
      <c r="C1963" s="89" t="s">
        <v>1072</v>
      </c>
      <c r="D1963" s="88" t="s">
        <v>160</v>
      </c>
      <c r="F1963" s="70">
        <f t="shared" si="60"/>
        <v>1990</v>
      </c>
      <c r="G1963" s="70" t="s">
        <v>159</v>
      </c>
      <c r="H1963" s="70" t="str">
        <f t="shared" si="61"/>
        <v>QUI</v>
      </c>
    </row>
    <row r="1964" spans="1:8" ht="15" x14ac:dyDescent="0.25">
      <c r="A1964" s="88" t="s">
        <v>817</v>
      </c>
      <c r="B1964" s="88">
        <v>1990</v>
      </c>
      <c r="C1964" s="89" t="s">
        <v>1071</v>
      </c>
      <c r="D1964" s="88" t="s">
        <v>160</v>
      </c>
      <c r="F1964" s="70">
        <f t="shared" si="60"/>
        <v>1990</v>
      </c>
      <c r="G1964" s="70" t="s">
        <v>159</v>
      </c>
      <c r="H1964" s="70" t="str">
        <f t="shared" si="61"/>
        <v>QUI</v>
      </c>
    </row>
    <row r="1965" spans="1:8" ht="15" x14ac:dyDescent="0.25">
      <c r="A1965" s="88" t="s">
        <v>817</v>
      </c>
      <c r="B1965" s="88">
        <v>1990</v>
      </c>
      <c r="C1965" s="89" t="s">
        <v>1070</v>
      </c>
      <c r="D1965" s="88" t="s">
        <v>160</v>
      </c>
      <c r="F1965" s="70">
        <f t="shared" si="60"/>
        <v>1990</v>
      </c>
      <c r="G1965" s="70" t="s">
        <v>159</v>
      </c>
      <c r="H1965" s="70" t="str">
        <f t="shared" si="61"/>
        <v>QUI</v>
      </c>
    </row>
    <row r="1966" spans="1:8" ht="15" x14ac:dyDescent="0.25">
      <c r="A1966" s="88" t="s">
        <v>817</v>
      </c>
      <c r="B1966" s="88">
        <v>1991</v>
      </c>
      <c r="C1966" s="89" t="s">
        <v>1069</v>
      </c>
      <c r="D1966" s="88" t="s">
        <v>160</v>
      </c>
      <c r="F1966" s="70">
        <f t="shared" si="60"/>
        <v>1991</v>
      </c>
      <c r="G1966" s="70" t="s">
        <v>159</v>
      </c>
      <c r="H1966" s="70" t="str">
        <f t="shared" si="61"/>
        <v>QUI</v>
      </c>
    </row>
    <row r="1967" spans="1:8" ht="15" x14ac:dyDescent="0.25">
      <c r="A1967" s="88" t="s">
        <v>817</v>
      </c>
      <c r="B1967" s="88">
        <v>1991</v>
      </c>
      <c r="C1967" s="89" t="s">
        <v>1068</v>
      </c>
      <c r="D1967" s="88" t="s">
        <v>160</v>
      </c>
      <c r="F1967" s="70">
        <f t="shared" si="60"/>
        <v>1991</v>
      </c>
      <c r="G1967" s="70" t="s">
        <v>159</v>
      </c>
      <c r="H1967" s="70" t="str">
        <f t="shared" si="61"/>
        <v>QUI</v>
      </c>
    </row>
    <row r="1968" spans="1:8" ht="15" x14ac:dyDescent="0.25">
      <c r="A1968" s="88" t="s">
        <v>817</v>
      </c>
      <c r="B1968" s="88">
        <v>1991</v>
      </c>
      <c r="C1968" s="89" t="s">
        <v>1067</v>
      </c>
      <c r="D1968" s="88" t="s">
        <v>160</v>
      </c>
      <c r="F1968" s="70">
        <f t="shared" si="60"/>
        <v>1991</v>
      </c>
      <c r="G1968" s="70" t="s">
        <v>159</v>
      </c>
      <c r="H1968" s="70" t="str">
        <f t="shared" si="61"/>
        <v>QUI</v>
      </c>
    </row>
    <row r="1969" spans="1:8" ht="15" x14ac:dyDescent="0.25">
      <c r="A1969" s="88" t="s">
        <v>817</v>
      </c>
      <c r="B1969" s="88">
        <v>1991</v>
      </c>
      <c r="C1969" s="89" t="s">
        <v>1066</v>
      </c>
      <c r="D1969" s="88" t="s">
        <v>160</v>
      </c>
      <c r="F1969" s="70">
        <f t="shared" si="60"/>
        <v>1991</v>
      </c>
      <c r="G1969" s="70" t="s">
        <v>159</v>
      </c>
      <c r="H1969" s="70" t="str">
        <f t="shared" si="61"/>
        <v>QUI</v>
      </c>
    </row>
    <row r="1970" spans="1:8" ht="15" x14ac:dyDescent="0.25">
      <c r="A1970" s="88" t="s">
        <v>817</v>
      </c>
      <c r="B1970" s="88">
        <v>1991</v>
      </c>
      <c r="C1970" s="89" t="s">
        <v>1065</v>
      </c>
      <c r="D1970" s="88" t="s">
        <v>160</v>
      </c>
      <c r="F1970" s="70">
        <f t="shared" si="60"/>
        <v>1991</v>
      </c>
      <c r="G1970" s="70" t="s">
        <v>159</v>
      </c>
      <c r="H1970" s="70" t="str">
        <f t="shared" si="61"/>
        <v>QUI</v>
      </c>
    </row>
    <row r="1971" spans="1:8" ht="15" x14ac:dyDescent="0.25">
      <c r="A1971" s="88" t="s">
        <v>817</v>
      </c>
      <c r="B1971" s="88">
        <v>1991</v>
      </c>
      <c r="C1971" s="89" t="s">
        <v>1064</v>
      </c>
      <c r="D1971" s="88" t="s">
        <v>160</v>
      </c>
      <c r="F1971" s="70">
        <f t="shared" si="60"/>
        <v>1991</v>
      </c>
      <c r="G1971" s="70" t="s">
        <v>159</v>
      </c>
      <c r="H1971" s="70" t="str">
        <f t="shared" si="61"/>
        <v>QUI</v>
      </c>
    </row>
    <row r="1972" spans="1:8" ht="15" x14ac:dyDescent="0.25">
      <c r="A1972" s="88" t="s">
        <v>817</v>
      </c>
      <c r="B1972" s="88">
        <v>1991</v>
      </c>
      <c r="C1972" s="89" t="s">
        <v>1063</v>
      </c>
      <c r="D1972" s="88" t="s">
        <v>160</v>
      </c>
      <c r="F1972" s="70">
        <f t="shared" si="60"/>
        <v>1991</v>
      </c>
      <c r="G1972" s="70" t="s">
        <v>159</v>
      </c>
      <c r="H1972" s="70" t="str">
        <f t="shared" si="61"/>
        <v>QUI</v>
      </c>
    </row>
    <row r="1973" spans="1:8" ht="15" x14ac:dyDescent="0.25">
      <c r="A1973" s="88" t="s">
        <v>817</v>
      </c>
      <c r="B1973" s="88">
        <v>1991</v>
      </c>
      <c r="C1973" s="89" t="s">
        <v>1062</v>
      </c>
      <c r="D1973" s="88" t="s">
        <v>160</v>
      </c>
      <c r="F1973" s="70">
        <f t="shared" si="60"/>
        <v>1991</v>
      </c>
      <c r="G1973" s="70" t="s">
        <v>159</v>
      </c>
      <c r="H1973" s="70" t="str">
        <f t="shared" si="61"/>
        <v>QUI</v>
      </c>
    </row>
    <row r="1974" spans="1:8" ht="15" x14ac:dyDescent="0.25">
      <c r="A1974" s="88" t="s">
        <v>817</v>
      </c>
      <c r="B1974" s="88">
        <v>1991</v>
      </c>
      <c r="C1974" s="89" t="s">
        <v>1061</v>
      </c>
      <c r="D1974" s="88" t="s">
        <v>160</v>
      </c>
      <c r="F1974" s="70">
        <f t="shared" si="60"/>
        <v>1991</v>
      </c>
      <c r="G1974" s="70" t="s">
        <v>159</v>
      </c>
      <c r="H1974" s="70" t="str">
        <f t="shared" si="61"/>
        <v>QUI</v>
      </c>
    </row>
    <row r="1975" spans="1:8" ht="15" x14ac:dyDescent="0.25">
      <c r="A1975" s="88" t="s">
        <v>817</v>
      </c>
      <c r="B1975" s="88">
        <v>1992</v>
      </c>
      <c r="C1975" s="89" t="s">
        <v>1060</v>
      </c>
      <c r="D1975" s="88" t="s">
        <v>160</v>
      </c>
      <c r="F1975" s="70">
        <f t="shared" si="60"/>
        <v>1992</v>
      </c>
      <c r="G1975" s="70" t="s">
        <v>159</v>
      </c>
      <c r="H1975" s="70" t="str">
        <f t="shared" si="61"/>
        <v>QUI</v>
      </c>
    </row>
    <row r="1976" spans="1:8" ht="15" x14ac:dyDescent="0.25">
      <c r="A1976" s="88" t="s">
        <v>817</v>
      </c>
      <c r="B1976" s="88">
        <v>1992</v>
      </c>
      <c r="C1976" s="89" t="s">
        <v>1059</v>
      </c>
      <c r="D1976" s="88" t="s">
        <v>160</v>
      </c>
      <c r="F1976" s="70">
        <f t="shared" si="60"/>
        <v>1992</v>
      </c>
      <c r="G1976" s="70" t="s">
        <v>159</v>
      </c>
      <c r="H1976" s="70" t="str">
        <f t="shared" si="61"/>
        <v>QUI</v>
      </c>
    </row>
    <row r="1977" spans="1:8" ht="15" x14ac:dyDescent="0.25">
      <c r="A1977" s="88" t="s">
        <v>817</v>
      </c>
      <c r="B1977" s="88">
        <v>1992</v>
      </c>
      <c r="C1977" s="89" t="s">
        <v>1058</v>
      </c>
      <c r="D1977" s="88" t="s">
        <v>160</v>
      </c>
      <c r="F1977" s="70">
        <f t="shared" si="60"/>
        <v>1992</v>
      </c>
      <c r="G1977" s="70" t="s">
        <v>159</v>
      </c>
      <c r="H1977" s="70" t="str">
        <f t="shared" si="61"/>
        <v>QUI</v>
      </c>
    </row>
    <row r="1978" spans="1:8" ht="15" x14ac:dyDescent="0.25">
      <c r="A1978" s="88" t="s">
        <v>817</v>
      </c>
      <c r="B1978" s="88">
        <v>1992</v>
      </c>
      <c r="C1978" s="89" t="s">
        <v>1057</v>
      </c>
      <c r="D1978" s="88" t="s">
        <v>160</v>
      </c>
      <c r="F1978" s="70">
        <f t="shared" si="60"/>
        <v>1992</v>
      </c>
      <c r="G1978" s="70" t="s">
        <v>159</v>
      </c>
      <c r="H1978" s="70" t="str">
        <f t="shared" si="61"/>
        <v>QUI</v>
      </c>
    </row>
    <row r="1979" spans="1:8" ht="15" x14ac:dyDescent="0.25">
      <c r="A1979" s="88" t="s">
        <v>817</v>
      </c>
      <c r="B1979" s="88">
        <v>1992</v>
      </c>
      <c r="C1979" s="89" t="s">
        <v>1056</v>
      </c>
      <c r="D1979" s="88" t="s">
        <v>160</v>
      </c>
      <c r="F1979" s="70">
        <f t="shared" si="60"/>
        <v>1992</v>
      </c>
      <c r="G1979" s="70" t="s">
        <v>159</v>
      </c>
      <c r="H1979" s="70" t="str">
        <f t="shared" si="61"/>
        <v>QUI</v>
      </c>
    </row>
    <row r="1980" spans="1:8" ht="15" x14ac:dyDescent="0.25">
      <c r="A1980" s="88" t="s">
        <v>817</v>
      </c>
      <c r="B1980" s="88">
        <v>1992</v>
      </c>
      <c r="C1980" s="89" t="s">
        <v>1055</v>
      </c>
      <c r="D1980" s="88" t="s">
        <v>160</v>
      </c>
      <c r="F1980" s="70">
        <f t="shared" si="60"/>
        <v>1992</v>
      </c>
      <c r="G1980" s="70" t="s">
        <v>159</v>
      </c>
      <c r="H1980" s="70" t="str">
        <f t="shared" si="61"/>
        <v>QUI</v>
      </c>
    </row>
    <row r="1981" spans="1:8" ht="15" x14ac:dyDescent="0.25">
      <c r="A1981" s="88" t="s">
        <v>817</v>
      </c>
      <c r="B1981" s="88">
        <v>1992</v>
      </c>
      <c r="C1981" s="89" t="s">
        <v>1054</v>
      </c>
      <c r="D1981" s="88" t="s">
        <v>160</v>
      </c>
      <c r="F1981" s="70">
        <f t="shared" si="60"/>
        <v>1992</v>
      </c>
      <c r="G1981" s="70" t="s">
        <v>159</v>
      </c>
      <c r="H1981" s="70" t="str">
        <f t="shared" si="61"/>
        <v>QUI</v>
      </c>
    </row>
    <row r="1982" spans="1:8" ht="15" x14ac:dyDescent="0.25">
      <c r="A1982" s="88" t="s">
        <v>817</v>
      </c>
      <c r="B1982" s="88">
        <v>1992</v>
      </c>
      <c r="C1982" s="89" t="s">
        <v>1053</v>
      </c>
      <c r="D1982" s="88" t="s">
        <v>160</v>
      </c>
      <c r="F1982" s="70">
        <f t="shared" si="60"/>
        <v>1992</v>
      </c>
      <c r="G1982" s="70" t="s">
        <v>159</v>
      </c>
      <c r="H1982" s="70" t="str">
        <f t="shared" si="61"/>
        <v>QUI</v>
      </c>
    </row>
    <row r="1983" spans="1:8" ht="15" x14ac:dyDescent="0.25">
      <c r="A1983" s="88" t="s">
        <v>817</v>
      </c>
      <c r="B1983" s="88">
        <v>1992</v>
      </c>
      <c r="C1983" s="89" t="s">
        <v>1052</v>
      </c>
      <c r="D1983" s="88" t="s">
        <v>160</v>
      </c>
      <c r="F1983" s="70">
        <f t="shared" si="60"/>
        <v>1992</v>
      </c>
      <c r="G1983" s="70" t="s">
        <v>159</v>
      </c>
      <c r="H1983" s="70" t="str">
        <f t="shared" si="61"/>
        <v>QUI</v>
      </c>
    </row>
    <row r="1984" spans="1:8" ht="15" x14ac:dyDescent="0.25">
      <c r="A1984" s="88" t="s">
        <v>817</v>
      </c>
      <c r="B1984" s="88">
        <v>1993</v>
      </c>
      <c r="C1984" s="89" t="s">
        <v>1051</v>
      </c>
      <c r="D1984" s="88" t="s">
        <v>160</v>
      </c>
      <c r="F1984" s="70">
        <f t="shared" si="60"/>
        <v>1993</v>
      </c>
      <c r="G1984" s="70" t="s">
        <v>159</v>
      </c>
      <c r="H1984" s="70" t="str">
        <f t="shared" si="61"/>
        <v>QUI</v>
      </c>
    </row>
    <row r="1985" spans="1:8" ht="15" x14ac:dyDescent="0.25">
      <c r="A1985" s="88" t="s">
        <v>817</v>
      </c>
      <c r="B1985" s="88">
        <v>1993</v>
      </c>
      <c r="C1985" s="89" t="s">
        <v>1050</v>
      </c>
      <c r="D1985" s="88" t="s">
        <v>160</v>
      </c>
      <c r="F1985" s="70">
        <f t="shared" si="60"/>
        <v>1993</v>
      </c>
      <c r="G1985" s="70" t="s">
        <v>159</v>
      </c>
      <c r="H1985" s="70" t="str">
        <f t="shared" si="61"/>
        <v>QUI</v>
      </c>
    </row>
    <row r="1986" spans="1:8" ht="15" x14ac:dyDescent="0.25">
      <c r="A1986" s="88" t="s">
        <v>817</v>
      </c>
      <c r="B1986" s="88">
        <v>1993</v>
      </c>
      <c r="C1986" s="89" t="s">
        <v>1049</v>
      </c>
      <c r="D1986" s="88" t="s">
        <v>160</v>
      </c>
      <c r="F1986" s="70">
        <f t="shared" si="60"/>
        <v>1993</v>
      </c>
      <c r="G1986" s="70" t="s">
        <v>159</v>
      </c>
      <c r="H1986" s="70" t="str">
        <f t="shared" si="61"/>
        <v>QUI</v>
      </c>
    </row>
    <row r="1987" spans="1:8" ht="15" x14ac:dyDescent="0.25">
      <c r="A1987" s="88" t="s">
        <v>817</v>
      </c>
      <c r="B1987" s="88">
        <v>1993</v>
      </c>
      <c r="C1987" s="89" t="s">
        <v>1048</v>
      </c>
      <c r="D1987" s="88" t="s">
        <v>160</v>
      </c>
      <c r="F1987" s="70">
        <f t="shared" si="60"/>
        <v>1993</v>
      </c>
      <c r="G1987" s="70" t="s">
        <v>159</v>
      </c>
      <c r="H1987" s="70" t="str">
        <f t="shared" si="61"/>
        <v>QUI</v>
      </c>
    </row>
    <row r="1988" spans="1:8" ht="15" x14ac:dyDescent="0.25">
      <c r="A1988" s="88" t="s">
        <v>817</v>
      </c>
      <c r="B1988" s="88">
        <v>1993</v>
      </c>
      <c r="C1988" s="89" t="s">
        <v>1047</v>
      </c>
      <c r="D1988" s="88" t="s">
        <v>160</v>
      </c>
      <c r="F1988" s="70">
        <f t="shared" si="60"/>
        <v>1993</v>
      </c>
      <c r="G1988" s="70" t="s">
        <v>159</v>
      </c>
      <c r="H1988" s="70" t="str">
        <f t="shared" si="61"/>
        <v>QUI</v>
      </c>
    </row>
    <row r="1989" spans="1:8" ht="15" x14ac:dyDescent="0.25">
      <c r="A1989" s="88" t="s">
        <v>817</v>
      </c>
      <c r="B1989" s="88">
        <v>1993</v>
      </c>
      <c r="C1989" s="89" t="s">
        <v>1046</v>
      </c>
      <c r="D1989" s="88" t="s">
        <v>160</v>
      </c>
      <c r="F1989" s="70">
        <f t="shared" si="60"/>
        <v>1993</v>
      </c>
      <c r="G1989" s="70" t="s">
        <v>159</v>
      </c>
      <c r="H1989" s="70" t="str">
        <f t="shared" si="61"/>
        <v>QUI</v>
      </c>
    </row>
    <row r="1990" spans="1:8" ht="15" x14ac:dyDescent="0.25">
      <c r="A1990" s="88" t="s">
        <v>817</v>
      </c>
      <c r="B1990" s="88">
        <v>1993</v>
      </c>
      <c r="C1990" s="89" t="s">
        <v>1045</v>
      </c>
      <c r="D1990" s="88" t="s">
        <v>160</v>
      </c>
      <c r="F1990" s="70">
        <f t="shared" si="60"/>
        <v>1993</v>
      </c>
      <c r="G1990" s="70" t="s">
        <v>159</v>
      </c>
      <c r="H1990" s="70" t="str">
        <f t="shared" si="61"/>
        <v>QUI</v>
      </c>
    </row>
    <row r="1991" spans="1:8" ht="15" x14ac:dyDescent="0.25">
      <c r="A1991" s="88" t="s">
        <v>817</v>
      </c>
      <c r="B1991" s="88">
        <v>1993</v>
      </c>
      <c r="C1991" s="89" t="s">
        <v>1044</v>
      </c>
      <c r="D1991" s="88" t="s">
        <v>160</v>
      </c>
      <c r="F1991" s="70">
        <f t="shared" si="60"/>
        <v>1993</v>
      </c>
      <c r="G1991" s="70" t="s">
        <v>159</v>
      </c>
      <c r="H1991" s="70" t="str">
        <f t="shared" si="61"/>
        <v>QUI</v>
      </c>
    </row>
    <row r="1992" spans="1:8" ht="15" x14ac:dyDescent="0.25">
      <c r="A1992" s="88" t="s">
        <v>817</v>
      </c>
      <c r="B1992" s="88">
        <v>1993</v>
      </c>
      <c r="C1992" s="89" t="s">
        <v>1043</v>
      </c>
      <c r="D1992" s="88" t="s">
        <v>160</v>
      </c>
      <c r="F1992" s="70">
        <f t="shared" ref="F1992:F2055" si="62">+B1992</f>
        <v>1993</v>
      </c>
      <c r="G1992" s="70" t="s">
        <v>159</v>
      </c>
      <c r="H1992" s="70" t="str">
        <f t="shared" ref="H1992:H2055" si="63">A1992</f>
        <v>QUI</v>
      </c>
    </row>
    <row r="1993" spans="1:8" ht="15" x14ac:dyDescent="0.25">
      <c r="A1993" s="88" t="s">
        <v>817</v>
      </c>
      <c r="B1993" s="88">
        <v>1994</v>
      </c>
      <c r="C1993" s="89" t="s">
        <v>1042</v>
      </c>
      <c r="D1993" s="88" t="s">
        <v>160</v>
      </c>
      <c r="F1993" s="70">
        <f t="shared" si="62"/>
        <v>1994</v>
      </c>
      <c r="G1993" s="70" t="s">
        <v>159</v>
      </c>
      <c r="H1993" s="70" t="str">
        <f t="shared" si="63"/>
        <v>QUI</v>
      </c>
    </row>
    <row r="1994" spans="1:8" ht="15" x14ac:dyDescent="0.25">
      <c r="A1994" s="88" t="s">
        <v>817</v>
      </c>
      <c r="B1994" s="88">
        <v>1994</v>
      </c>
      <c r="C1994" s="89" t="s">
        <v>1041</v>
      </c>
      <c r="D1994" s="88" t="s">
        <v>160</v>
      </c>
      <c r="F1994" s="70">
        <f t="shared" si="62"/>
        <v>1994</v>
      </c>
      <c r="G1994" s="70" t="s">
        <v>159</v>
      </c>
      <c r="H1994" s="70" t="str">
        <f t="shared" si="63"/>
        <v>QUI</v>
      </c>
    </row>
    <row r="1995" spans="1:8" ht="15" x14ac:dyDescent="0.25">
      <c r="A1995" s="88" t="s">
        <v>817</v>
      </c>
      <c r="B1995" s="88">
        <v>1994</v>
      </c>
      <c r="C1995" s="89" t="s">
        <v>1040</v>
      </c>
      <c r="D1995" s="88" t="s">
        <v>160</v>
      </c>
      <c r="F1995" s="70">
        <f t="shared" si="62"/>
        <v>1994</v>
      </c>
      <c r="G1995" s="70" t="s">
        <v>159</v>
      </c>
      <c r="H1995" s="70" t="str">
        <f t="shared" si="63"/>
        <v>QUI</v>
      </c>
    </row>
    <row r="1996" spans="1:8" ht="15" x14ac:dyDescent="0.25">
      <c r="A1996" s="88" t="s">
        <v>817</v>
      </c>
      <c r="B1996" s="88">
        <v>1994</v>
      </c>
      <c r="C1996" s="89" t="s">
        <v>1039</v>
      </c>
      <c r="D1996" s="88" t="s">
        <v>160</v>
      </c>
      <c r="F1996" s="70">
        <f t="shared" si="62"/>
        <v>1994</v>
      </c>
      <c r="G1996" s="70" t="s">
        <v>159</v>
      </c>
      <c r="H1996" s="70" t="str">
        <f t="shared" si="63"/>
        <v>QUI</v>
      </c>
    </row>
    <row r="1997" spans="1:8" ht="15" x14ac:dyDescent="0.25">
      <c r="A1997" s="88" t="s">
        <v>817</v>
      </c>
      <c r="B1997" s="88">
        <v>1994</v>
      </c>
      <c r="C1997" s="89" t="s">
        <v>1038</v>
      </c>
      <c r="D1997" s="88" t="s">
        <v>160</v>
      </c>
      <c r="F1997" s="70">
        <f t="shared" si="62"/>
        <v>1994</v>
      </c>
      <c r="G1997" s="70" t="s">
        <v>159</v>
      </c>
      <c r="H1997" s="70" t="str">
        <f t="shared" si="63"/>
        <v>QUI</v>
      </c>
    </row>
    <row r="1998" spans="1:8" ht="15" x14ac:dyDescent="0.25">
      <c r="A1998" s="88" t="s">
        <v>817</v>
      </c>
      <c r="B1998" s="88">
        <v>1994</v>
      </c>
      <c r="C1998" s="89" t="s">
        <v>1037</v>
      </c>
      <c r="D1998" s="88" t="s">
        <v>160</v>
      </c>
      <c r="F1998" s="70">
        <f t="shared" si="62"/>
        <v>1994</v>
      </c>
      <c r="G1998" s="70" t="s">
        <v>159</v>
      </c>
      <c r="H1998" s="70" t="str">
        <f t="shared" si="63"/>
        <v>QUI</v>
      </c>
    </row>
    <row r="1999" spans="1:8" ht="15" x14ac:dyDescent="0.25">
      <c r="A1999" s="88" t="s">
        <v>817</v>
      </c>
      <c r="B1999" s="88">
        <v>1994</v>
      </c>
      <c r="C1999" s="89" t="s">
        <v>1036</v>
      </c>
      <c r="D1999" s="88" t="s">
        <v>160</v>
      </c>
      <c r="F1999" s="70">
        <f t="shared" si="62"/>
        <v>1994</v>
      </c>
      <c r="G1999" s="70" t="s">
        <v>159</v>
      </c>
      <c r="H1999" s="70" t="str">
        <f t="shared" si="63"/>
        <v>QUI</v>
      </c>
    </row>
    <row r="2000" spans="1:8" ht="15" x14ac:dyDescent="0.25">
      <c r="A2000" s="88" t="s">
        <v>817</v>
      </c>
      <c r="B2000" s="88">
        <v>1994</v>
      </c>
      <c r="C2000" s="89" t="s">
        <v>1035</v>
      </c>
      <c r="D2000" s="88" t="s">
        <v>160</v>
      </c>
      <c r="F2000" s="70">
        <f t="shared" si="62"/>
        <v>1994</v>
      </c>
      <c r="G2000" s="70" t="s">
        <v>159</v>
      </c>
      <c r="H2000" s="70" t="str">
        <f t="shared" si="63"/>
        <v>QUI</v>
      </c>
    </row>
    <row r="2001" spans="1:8" ht="15" x14ac:dyDescent="0.25">
      <c r="A2001" s="88" t="s">
        <v>817</v>
      </c>
      <c r="B2001" s="88">
        <v>1994</v>
      </c>
      <c r="C2001" s="89" t="s">
        <v>1034</v>
      </c>
      <c r="D2001" s="88" t="s">
        <v>160</v>
      </c>
      <c r="F2001" s="70">
        <f t="shared" si="62"/>
        <v>1994</v>
      </c>
      <c r="G2001" s="70" t="s">
        <v>159</v>
      </c>
      <c r="H2001" s="70" t="str">
        <f t="shared" si="63"/>
        <v>QUI</v>
      </c>
    </row>
    <row r="2002" spans="1:8" ht="15" x14ac:dyDescent="0.25">
      <c r="A2002" s="88" t="s">
        <v>817</v>
      </c>
      <c r="B2002" s="88">
        <v>1995</v>
      </c>
      <c r="C2002" s="89" t="s">
        <v>1033</v>
      </c>
      <c r="D2002" s="88" t="s">
        <v>160</v>
      </c>
      <c r="F2002" s="70">
        <f t="shared" si="62"/>
        <v>1995</v>
      </c>
      <c r="G2002" s="70" t="s">
        <v>159</v>
      </c>
      <c r="H2002" s="70" t="str">
        <f t="shared" si="63"/>
        <v>QUI</v>
      </c>
    </row>
    <row r="2003" spans="1:8" ht="15" x14ac:dyDescent="0.25">
      <c r="A2003" s="88" t="s">
        <v>817</v>
      </c>
      <c r="B2003" s="88">
        <v>1995</v>
      </c>
      <c r="C2003" s="89" t="s">
        <v>1032</v>
      </c>
      <c r="D2003" s="88" t="s">
        <v>160</v>
      </c>
      <c r="F2003" s="70">
        <f t="shared" si="62"/>
        <v>1995</v>
      </c>
      <c r="G2003" s="93" t="s">
        <v>1031</v>
      </c>
      <c r="H2003" s="70" t="str">
        <f t="shared" si="63"/>
        <v>QUI</v>
      </c>
    </row>
    <row r="2004" spans="1:8" ht="15" x14ac:dyDescent="0.25">
      <c r="A2004" s="88" t="s">
        <v>817</v>
      </c>
      <c r="B2004" s="88">
        <v>1995</v>
      </c>
      <c r="C2004" s="89" t="s">
        <v>1030</v>
      </c>
      <c r="D2004" s="88" t="s">
        <v>160</v>
      </c>
      <c r="F2004" s="70">
        <f t="shared" si="62"/>
        <v>1995</v>
      </c>
      <c r="G2004" s="70" t="s">
        <v>159</v>
      </c>
      <c r="H2004" s="70" t="str">
        <f t="shared" si="63"/>
        <v>QUI</v>
      </c>
    </row>
    <row r="2005" spans="1:8" ht="15" x14ac:dyDescent="0.25">
      <c r="A2005" s="88" t="s">
        <v>817</v>
      </c>
      <c r="B2005" s="88">
        <v>1995</v>
      </c>
      <c r="C2005" s="89" t="s">
        <v>1029</v>
      </c>
      <c r="D2005" s="88" t="s">
        <v>160</v>
      </c>
      <c r="F2005" s="70">
        <f t="shared" si="62"/>
        <v>1995</v>
      </c>
      <c r="G2005" s="70" t="s">
        <v>159</v>
      </c>
      <c r="H2005" s="70" t="str">
        <f t="shared" si="63"/>
        <v>QUI</v>
      </c>
    </row>
    <row r="2006" spans="1:8" ht="15" x14ac:dyDescent="0.25">
      <c r="A2006" s="88" t="s">
        <v>817</v>
      </c>
      <c r="B2006" s="88">
        <v>1995</v>
      </c>
      <c r="C2006" s="89" t="s">
        <v>1028</v>
      </c>
      <c r="D2006" s="88" t="s">
        <v>160</v>
      </c>
      <c r="F2006" s="70">
        <f t="shared" si="62"/>
        <v>1995</v>
      </c>
      <c r="G2006" s="70" t="s">
        <v>159</v>
      </c>
      <c r="H2006" s="70" t="str">
        <f t="shared" si="63"/>
        <v>QUI</v>
      </c>
    </row>
    <row r="2007" spans="1:8" ht="15" x14ac:dyDescent="0.25">
      <c r="A2007" s="88" t="s">
        <v>817</v>
      </c>
      <c r="B2007" s="88">
        <v>1995</v>
      </c>
      <c r="C2007" s="89" t="s">
        <v>1027</v>
      </c>
      <c r="D2007" s="88" t="s">
        <v>160</v>
      </c>
      <c r="F2007" s="70">
        <f t="shared" si="62"/>
        <v>1995</v>
      </c>
      <c r="G2007" s="70" t="s">
        <v>159</v>
      </c>
      <c r="H2007" s="70" t="str">
        <f t="shared" si="63"/>
        <v>QUI</v>
      </c>
    </row>
    <row r="2008" spans="1:8" ht="15" x14ac:dyDescent="0.25">
      <c r="A2008" s="88" t="s">
        <v>817</v>
      </c>
      <c r="B2008" s="88">
        <v>1995</v>
      </c>
      <c r="C2008" s="89" t="s">
        <v>1026</v>
      </c>
      <c r="D2008" s="88" t="s">
        <v>160</v>
      </c>
      <c r="F2008" s="70">
        <f t="shared" si="62"/>
        <v>1995</v>
      </c>
      <c r="G2008" s="70" t="s">
        <v>159</v>
      </c>
      <c r="H2008" s="70" t="str">
        <f t="shared" si="63"/>
        <v>QUI</v>
      </c>
    </row>
    <row r="2009" spans="1:8" ht="15" x14ac:dyDescent="0.25">
      <c r="A2009" s="88" t="s">
        <v>817</v>
      </c>
      <c r="B2009" s="88">
        <v>1995</v>
      </c>
      <c r="C2009" s="89" t="s">
        <v>1025</v>
      </c>
      <c r="D2009" s="88" t="s">
        <v>160</v>
      </c>
      <c r="F2009" s="70">
        <f t="shared" si="62"/>
        <v>1995</v>
      </c>
      <c r="G2009" s="70" t="s">
        <v>159</v>
      </c>
      <c r="H2009" s="70" t="str">
        <f t="shared" si="63"/>
        <v>QUI</v>
      </c>
    </row>
    <row r="2010" spans="1:8" ht="15" x14ac:dyDescent="0.25">
      <c r="A2010" s="88" t="s">
        <v>817</v>
      </c>
      <c r="B2010" s="88">
        <v>1996</v>
      </c>
      <c r="C2010" s="89" t="s">
        <v>1024</v>
      </c>
      <c r="D2010" s="88" t="s">
        <v>160</v>
      </c>
      <c r="F2010" s="70">
        <f t="shared" si="62"/>
        <v>1996</v>
      </c>
      <c r="G2010" s="70" t="s">
        <v>159</v>
      </c>
      <c r="H2010" s="70" t="str">
        <f t="shared" si="63"/>
        <v>QUI</v>
      </c>
    </row>
    <row r="2011" spans="1:8" ht="15" x14ac:dyDescent="0.25">
      <c r="A2011" s="88" t="s">
        <v>817</v>
      </c>
      <c r="B2011" s="88">
        <v>1996</v>
      </c>
      <c r="C2011" s="89" t="s">
        <v>1023</v>
      </c>
      <c r="D2011" s="88" t="s">
        <v>160</v>
      </c>
      <c r="F2011" s="70">
        <f t="shared" si="62"/>
        <v>1996</v>
      </c>
      <c r="G2011" s="70" t="s">
        <v>159</v>
      </c>
      <c r="H2011" s="70" t="str">
        <f t="shared" si="63"/>
        <v>QUI</v>
      </c>
    </row>
    <row r="2012" spans="1:8" ht="15" x14ac:dyDescent="0.25">
      <c r="A2012" s="88" t="s">
        <v>817</v>
      </c>
      <c r="B2012" s="88">
        <v>1996</v>
      </c>
      <c r="C2012" s="89" t="s">
        <v>1022</v>
      </c>
      <c r="D2012" s="88" t="s">
        <v>160</v>
      </c>
      <c r="F2012" s="70">
        <f t="shared" si="62"/>
        <v>1996</v>
      </c>
      <c r="G2012" s="70" t="s">
        <v>159</v>
      </c>
      <c r="H2012" s="70" t="str">
        <f t="shared" si="63"/>
        <v>QUI</v>
      </c>
    </row>
    <row r="2013" spans="1:8" ht="15" x14ac:dyDescent="0.25">
      <c r="A2013" s="88" t="s">
        <v>817</v>
      </c>
      <c r="B2013" s="88">
        <v>1996</v>
      </c>
      <c r="C2013" s="89" t="s">
        <v>1021</v>
      </c>
      <c r="D2013" s="88" t="s">
        <v>160</v>
      </c>
      <c r="F2013" s="70">
        <f t="shared" si="62"/>
        <v>1996</v>
      </c>
      <c r="G2013" s="70" t="s">
        <v>159</v>
      </c>
      <c r="H2013" s="70" t="str">
        <f t="shared" si="63"/>
        <v>QUI</v>
      </c>
    </row>
    <row r="2014" spans="1:8" ht="15" x14ac:dyDescent="0.25">
      <c r="A2014" s="88" t="s">
        <v>817</v>
      </c>
      <c r="B2014" s="88">
        <v>1996</v>
      </c>
      <c r="C2014" s="89" t="s">
        <v>1020</v>
      </c>
      <c r="D2014" s="88" t="s">
        <v>160</v>
      </c>
      <c r="F2014" s="70">
        <f t="shared" si="62"/>
        <v>1996</v>
      </c>
      <c r="G2014" s="70" t="s">
        <v>159</v>
      </c>
      <c r="H2014" s="70" t="str">
        <f t="shared" si="63"/>
        <v>QUI</v>
      </c>
    </row>
    <row r="2015" spans="1:8" ht="15" x14ac:dyDescent="0.25">
      <c r="A2015" s="88" t="s">
        <v>817</v>
      </c>
      <c r="B2015" s="88">
        <v>1996</v>
      </c>
      <c r="C2015" s="89" t="s">
        <v>1019</v>
      </c>
      <c r="D2015" s="88" t="s">
        <v>160</v>
      </c>
      <c r="F2015" s="70">
        <f t="shared" si="62"/>
        <v>1996</v>
      </c>
      <c r="G2015" s="70" t="s">
        <v>159</v>
      </c>
      <c r="H2015" s="70" t="str">
        <f t="shared" si="63"/>
        <v>QUI</v>
      </c>
    </row>
    <row r="2016" spans="1:8" ht="15" x14ac:dyDescent="0.25">
      <c r="A2016" s="88" t="s">
        <v>817</v>
      </c>
      <c r="B2016" s="88">
        <v>1996</v>
      </c>
      <c r="C2016" s="89" t="s">
        <v>1018</v>
      </c>
      <c r="D2016" s="88" t="s">
        <v>160</v>
      </c>
      <c r="F2016" s="70">
        <f t="shared" si="62"/>
        <v>1996</v>
      </c>
      <c r="G2016" s="70" t="s">
        <v>159</v>
      </c>
      <c r="H2016" s="70" t="str">
        <f t="shared" si="63"/>
        <v>QUI</v>
      </c>
    </row>
    <row r="2017" spans="1:8" ht="15" x14ac:dyDescent="0.25">
      <c r="A2017" s="88" t="s">
        <v>817</v>
      </c>
      <c r="B2017" s="88">
        <v>1996</v>
      </c>
      <c r="C2017" s="89" t="s">
        <v>1017</v>
      </c>
      <c r="D2017" s="88" t="s">
        <v>160</v>
      </c>
      <c r="F2017" s="70">
        <f t="shared" si="62"/>
        <v>1996</v>
      </c>
      <c r="G2017" s="70" t="s">
        <v>159</v>
      </c>
      <c r="H2017" s="70" t="str">
        <f t="shared" si="63"/>
        <v>QUI</v>
      </c>
    </row>
    <row r="2018" spans="1:8" ht="15" x14ac:dyDescent="0.25">
      <c r="A2018" s="88" t="s">
        <v>817</v>
      </c>
      <c r="B2018" s="88">
        <v>1997</v>
      </c>
      <c r="C2018" s="89" t="s">
        <v>1016</v>
      </c>
      <c r="D2018" s="88" t="s">
        <v>160</v>
      </c>
      <c r="F2018" s="70">
        <f t="shared" si="62"/>
        <v>1997</v>
      </c>
      <c r="G2018" s="70" t="s">
        <v>159</v>
      </c>
      <c r="H2018" s="70" t="str">
        <f t="shared" si="63"/>
        <v>QUI</v>
      </c>
    </row>
    <row r="2019" spans="1:8" ht="15" x14ac:dyDescent="0.25">
      <c r="A2019" s="88" t="s">
        <v>817</v>
      </c>
      <c r="B2019" s="88">
        <v>1997</v>
      </c>
      <c r="C2019" s="89" t="s">
        <v>1015</v>
      </c>
      <c r="D2019" s="88" t="s">
        <v>160</v>
      </c>
      <c r="F2019" s="70">
        <f t="shared" si="62"/>
        <v>1997</v>
      </c>
      <c r="G2019" s="70" t="s">
        <v>159</v>
      </c>
      <c r="H2019" s="70" t="str">
        <f t="shared" si="63"/>
        <v>QUI</v>
      </c>
    </row>
    <row r="2020" spans="1:8" ht="15" x14ac:dyDescent="0.25">
      <c r="A2020" s="88" t="s">
        <v>817</v>
      </c>
      <c r="B2020" s="88">
        <v>1997</v>
      </c>
      <c r="C2020" s="89" t="s">
        <v>1014</v>
      </c>
      <c r="D2020" s="88" t="s">
        <v>160</v>
      </c>
      <c r="F2020" s="70">
        <f t="shared" si="62"/>
        <v>1997</v>
      </c>
      <c r="G2020" s="70" t="s">
        <v>159</v>
      </c>
      <c r="H2020" s="70" t="str">
        <f t="shared" si="63"/>
        <v>QUI</v>
      </c>
    </row>
    <row r="2021" spans="1:8" ht="15" x14ac:dyDescent="0.25">
      <c r="A2021" s="88" t="s">
        <v>817</v>
      </c>
      <c r="B2021" s="88">
        <v>1997</v>
      </c>
      <c r="C2021" s="89" t="s">
        <v>1013</v>
      </c>
      <c r="D2021" s="88" t="s">
        <v>160</v>
      </c>
      <c r="F2021" s="70">
        <f t="shared" si="62"/>
        <v>1997</v>
      </c>
      <c r="G2021" s="70" t="s">
        <v>159</v>
      </c>
      <c r="H2021" s="70" t="str">
        <f t="shared" si="63"/>
        <v>QUI</v>
      </c>
    </row>
    <row r="2022" spans="1:8" ht="15" x14ac:dyDescent="0.25">
      <c r="A2022" s="88" t="s">
        <v>817</v>
      </c>
      <c r="B2022" s="88">
        <v>1997</v>
      </c>
      <c r="C2022" s="89" t="s">
        <v>1012</v>
      </c>
      <c r="D2022" s="88" t="s">
        <v>160</v>
      </c>
      <c r="F2022" s="70">
        <f t="shared" si="62"/>
        <v>1997</v>
      </c>
      <c r="G2022" s="70" t="s">
        <v>159</v>
      </c>
      <c r="H2022" s="70" t="str">
        <f t="shared" si="63"/>
        <v>QUI</v>
      </c>
    </row>
    <row r="2023" spans="1:8" ht="15" x14ac:dyDescent="0.25">
      <c r="A2023" s="88" t="s">
        <v>817</v>
      </c>
      <c r="B2023" s="88">
        <v>1997</v>
      </c>
      <c r="C2023" s="89" t="s">
        <v>1011</v>
      </c>
      <c r="D2023" s="88" t="s">
        <v>160</v>
      </c>
      <c r="F2023" s="70">
        <f t="shared" si="62"/>
        <v>1997</v>
      </c>
      <c r="G2023" s="70" t="s">
        <v>159</v>
      </c>
      <c r="H2023" s="70" t="str">
        <f t="shared" si="63"/>
        <v>QUI</v>
      </c>
    </row>
    <row r="2024" spans="1:8" ht="15" x14ac:dyDescent="0.25">
      <c r="A2024" s="88" t="s">
        <v>817</v>
      </c>
      <c r="B2024" s="88">
        <v>1997</v>
      </c>
      <c r="C2024" s="89" t="s">
        <v>1010</v>
      </c>
      <c r="D2024" s="88" t="s">
        <v>160</v>
      </c>
      <c r="F2024" s="70">
        <f t="shared" si="62"/>
        <v>1997</v>
      </c>
      <c r="G2024" s="70" t="s">
        <v>159</v>
      </c>
      <c r="H2024" s="70" t="str">
        <f t="shared" si="63"/>
        <v>QUI</v>
      </c>
    </row>
    <row r="2025" spans="1:8" ht="15" x14ac:dyDescent="0.25">
      <c r="A2025" s="88" t="s">
        <v>817</v>
      </c>
      <c r="B2025" s="88">
        <v>1997</v>
      </c>
      <c r="C2025" s="89" t="s">
        <v>1009</v>
      </c>
      <c r="D2025" s="88" t="s">
        <v>160</v>
      </c>
      <c r="F2025" s="70">
        <f t="shared" si="62"/>
        <v>1997</v>
      </c>
      <c r="G2025" s="70" t="s">
        <v>159</v>
      </c>
      <c r="H2025" s="70" t="str">
        <f t="shared" si="63"/>
        <v>QUI</v>
      </c>
    </row>
    <row r="2026" spans="1:8" ht="15" x14ac:dyDescent="0.25">
      <c r="A2026" s="88" t="s">
        <v>817</v>
      </c>
      <c r="B2026" s="88">
        <v>1998</v>
      </c>
      <c r="C2026" s="89" t="s">
        <v>1008</v>
      </c>
      <c r="D2026" s="88" t="s">
        <v>160</v>
      </c>
      <c r="F2026" s="70">
        <f t="shared" si="62"/>
        <v>1998</v>
      </c>
      <c r="G2026" s="70" t="s">
        <v>159</v>
      </c>
      <c r="H2026" s="70" t="str">
        <f t="shared" si="63"/>
        <v>QUI</v>
      </c>
    </row>
    <row r="2027" spans="1:8" ht="15" x14ac:dyDescent="0.25">
      <c r="A2027" s="88" t="s">
        <v>817</v>
      </c>
      <c r="B2027" s="88">
        <v>1998</v>
      </c>
      <c r="C2027" s="89" t="s">
        <v>1007</v>
      </c>
      <c r="D2027" s="88" t="s">
        <v>160</v>
      </c>
      <c r="F2027" s="70">
        <f t="shared" si="62"/>
        <v>1998</v>
      </c>
      <c r="G2027" s="70" t="s">
        <v>159</v>
      </c>
      <c r="H2027" s="70" t="str">
        <f t="shared" si="63"/>
        <v>QUI</v>
      </c>
    </row>
    <row r="2028" spans="1:8" ht="15" x14ac:dyDescent="0.25">
      <c r="A2028" s="88" t="s">
        <v>817</v>
      </c>
      <c r="B2028" s="88">
        <v>1998</v>
      </c>
      <c r="C2028" s="89" t="s">
        <v>1006</v>
      </c>
      <c r="D2028" s="88" t="s">
        <v>160</v>
      </c>
      <c r="F2028" s="70">
        <f t="shared" si="62"/>
        <v>1998</v>
      </c>
      <c r="G2028" s="70" t="s">
        <v>159</v>
      </c>
      <c r="H2028" s="70" t="str">
        <f t="shared" si="63"/>
        <v>QUI</v>
      </c>
    </row>
    <row r="2029" spans="1:8" ht="15" x14ac:dyDescent="0.25">
      <c r="A2029" s="88" t="s">
        <v>817</v>
      </c>
      <c r="B2029" s="88">
        <v>1998</v>
      </c>
      <c r="C2029" s="89" t="s">
        <v>1005</v>
      </c>
      <c r="D2029" s="88" t="s">
        <v>160</v>
      </c>
      <c r="F2029" s="70">
        <f t="shared" si="62"/>
        <v>1998</v>
      </c>
      <c r="G2029" s="70" t="s">
        <v>159</v>
      </c>
      <c r="H2029" s="70" t="str">
        <f t="shared" si="63"/>
        <v>QUI</v>
      </c>
    </row>
    <row r="2030" spans="1:8" ht="15" x14ac:dyDescent="0.25">
      <c r="A2030" s="88" t="s">
        <v>817</v>
      </c>
      <c r="B2030" s="88">
        <v>1998</v>
      </c>
      <c r="C2030" s="89" t="s">
        <v>1004</v>
      </c>
      <c r="D2030" s="88" t="s">
        <v>160</v>
      </c>
      <c r="F2030" s="70">
        <f t="shared" si="62"/>
        <v>1998</v>
      </c>
      <c r="G2030" s="70" t="s">
        <v>159</v>
      </c>
      <c r="H2030" s="70" t="str">
        <f t="shared" si="63"/>
        <v>QUI</v>
      </c>
    </row>
    <row r="2031" spans="1:8" ht="15" x14ac:dyDescent="0.25">
      <c r="A2031" s="88" t="s">
        <v>817</v>
      </c>
      <c r="B2031" s="88">
        <v>1998</v>
      </c>
      <c r="C2031" s="89" t="s">
        <v>1003</v>
      </c>
      <c r="D2031" s="88" t="s">
        <v>160</v>
      </c>
      <c r="F2031" s="70">
        <f t="shared" si="62"/>
        <v>1998</v>
      </c>
      <c r="G2031" s="70" t="s">
        <v>159</v>
      </c>
      <c r="H2031" s="70" t="str">
        <f t="shared" si="63"/>
        <v>QUI</v>
      </c>
    </row>
    <row r="2032" spans="1:8" ht="15" x14ac:dyDescent="0.25">
      <c r="A2032" s="88" t="s">
        <v>817</v>
      </c>
      <c r="B2032" s="88">
        <v>1998</v>
      </c>
      <c r="C2032" s="89" t="s">
        <v>1002</v>
      </c>
      <c r="D2032" s="88" t="s">
        <v>160</v>
      </c>
      <c r="F2032" s="70">
        <f t="shared" si="62"/>
        <v>1998</v>
      </c>
      <c r="G2032" s="70" t="s">
        <v>159</v>
      </c>
      <c r="H2032" s="70" t="str">
        <f t="shared" si="63"/>
        <v>QUI</v>
      </c>
    </row>
    <row r="2033" spans="1:8" ht="15" x14ac:dyDescent="0.25">
      <c r="A2033" s="88" t="s">
        <v>817</v>
      </c>
      <c r="B2033" s="88">
        <v>1999</v>
      </c>
      <c r="C2033" s="89" t="s">
        <v>1001</v>
      </c>
      <c r="D2033" s="88" t="s">
        <v>160</v>
      </c>
      <c r="F2033" s="70">
        <f t="shared" si="62"/>
        <v>1999</v>
      </c>
      <c r="G2033" s="70" t="s">
        <v>159</v>
      </c>
      <c r="H2033" s="70" t="str">
        <f t="shared" si="63"/>
        <v>QUI</v>
      </c>
    </row>
    <row r="2034" spans="1:8" ht="15" x14ac:dyDescent="0.25">
      <c r="A2034" s="88" t="s">
        <v>817</v>
      </c>
      <c r="B2034" s="88">
        <v>1999</v>
      </c>
      <c r="C2034" s="89" t="s">
        <v>1000</v>
      </c>
      <c r="D2034" s="88" t="s">
        <v>160</v>
      </c>
      <c r="F2034" s="70">
        <f t="shared" si="62"/>
        <v>1999</v>
      </c>
      <c r="G2034" s="70" t="s">
        <v>159</v>
      </c>
      <c r="H2034" s="70" t="str">
        <f t="shared" si="63"/>
        <v>QUI</v>
      </c>
    </row>
    <row r="2035" spans="1:8" ht="15" x14ac:dyDescent="0.25">
      <c r="A2035" s="88" t="s">
        <v>817</v>
      </c>
      <c r="B2035" s="88">
        <v>1999</v>
      </c>
      <c r="C2035" s="89" t="s">
        <v>999</v>
      </c>
      <c r="D2035" s="88" t="s">
        <v>160</v>
      </c>
      <c r="F2035" s="70">
        <f t="shared" si="62"/>
        <v>1999</v>
      </c>
      <c r="G2035" s="70" t="s">
        <v>159</v>
      </c>
      <c r="H2035" s="70" t="str">
        <f t="shared" si="63"/>
        <v>QUI</v>
      </c>
    </row>
    <row r="2036" spans="1:8" ht="15" x14ac:dyDescent="0.25">
      <c r="A2036" s="88" t="s">
        <v>817</v>
      </c>
      <c r="B2036" s="88">
        <v>1999</v>
      </c>
      <c r="C2036" s="89" t="s">
        <v>998</v>
      </c>
      <c r="D2036" s="88" t="s">
        <v>160</v>
      </c>
      <c r="F2036" s="70">
        <f t="shared" si="62"/>
        <v>1999</v>
      </c>
      <c r="G2036" s="70" t="s">
        <v>159</v>
      </c>
      <c r="H2036" s="70" t="str">
        <f t="shared" si="63"/>
        <v>QUI</v>
      </c>
    </row>
    <row r="2037" spans="1:8" ht="15" x14ac:dyDescent="0.25">
      <c r="A2037" s="88" t="s">
        <v>817</v>
      </c>
      <c r="B2037" s="88">
        <v>1999</v>
      </c>
      <c r="C2037" s="89" t="s">
        <v>997</v>
      </c>
      <c r="D2037" s="88" t="s">
        <v>160</v>
      </c>
      <c r="F2037" s="70">
        <f t="shared" si="62"/>
        <v>1999</v>
      </c>
      <c r="G2037" s="70" t="s">
        <v>159</v>
      </c>
      <c r="H2037" s="70" t="str">
        <f t="shared" si="63"/>
        <v>QUI</v>
      </c>
    </row>
    <row r="2038" spans="1:8" ht="15" x14ac:dyDescent="0.25">
      <c r="A2038" s="88" t="s">
        <v>817</v>
      </c>
      <c r="B2038" s="88">
        <v>1999</v>
      </c>
      <c r="C2038" s="89" t="s">
        <v>996</v>
      </c>
      <c r="D2038" s="88" t="s">
        <v>160</v>
      </c>
      <c r="F2038" s="70">
        <f t="shared" si="62"/>
        <v>1999</v>
      </c>
      <c r="G2038" s="70" t="s">
        <v>159</v>
      </c>
      <c r="H2038" s="70" t="str">
        <f t="shared" si="63"/>
        <v>QUI</v>
      </c>
    </row>
    <row r="2039" spans="1:8" ht="15" x14ac:dyDescent="0.25">
      <c r="A2039" s="88" t="s">
        <v>817</v>
      </c>
      <c r="B2039" s="88">
        <v>2000</v>
      </c>
      <c r="C2039" s="89" t="s">
        <v>995</v>
      </c>
      <c r="D2039" s="88" t="s">
        <v>160</v>
      </c>
      <c r="F2039" s="70">
        <f t="shared" si="62"/>
        <v>2000</v>
      </c>
      <c r="G2039" s="70" t="s">
        <v>159</v>
      </c>
      <c r="H2039" s="70" t="str">
        <f t="shared" si="63"/>
        <v>QUI</v>
      </c>
    </row>
    <row r="2040" spans="1:8" ht="15" x14ac:dyDescent="0.25">
      <c r="A2040" s="88" t="s">
        <v>817</v>
      </c>
      <c r="B2040" s="88">
        <v>2000</v>
      </c>
      <c r="C2040" s="89" t="s">
        <v>994</v>
      </c>
      <c r="D2040" s="88" t="s">
        <v>160</v>
      </c>
      <c r="F2040" s="70">
        <f t="shared" si="62"/>
        <v>2000</v>
      </c>
      <c r="G2040" s="70" t="s">
        <v>159</v>
      </c>
      <c r="H2040" s="70" t="str">
        <f t="shared" si="63"/>
        <v>QUI</v>
      </c>
    </row>
    <row r="2041" spans="1:8" ht="15" x14ac:dyDescent="0.25">
      <c r="A2041" s="88" t="s">
        <v>817</v>
      </c>
      <c r="B2041" s="88">
        <v>2000</v>
      </c>
      <c r="C2041" s="89" t="s">
        <v>993</v>
      </c>
      <c r="D2041" s="88" t="s">
        <v>160</v>
      </c>
      <c r="F2041" s="70">
        <f t="shared" si="62"/>
        <v>2000</v>
      </c>
      <c r="G2041" s="70" t="s">
        <v>159</v>
      </c>
      <c r="H2041" s="70" t="str">
        <f t="shared" si="63"/>
        <v>QUI</v>
      </c>
    </row>
    <row r="2042" spans="1:8" ht="15" x14ac:dyDescent="0.25">
      <c r="A2042" s="88" t="s">
        <v>817</v>
      </c>
      <c r="B2042" s="88">
        <v>2000</v>
      </c>
      <c r="C2042" s="89" t="s">
        <v>992</v>
      </c>
      <c r="D2042" s="88" t="s">
        <v>160</v>
      </c>
      <c r="F2042" s="70">
        <f t="shared" si="62"/>
        <v>2000</v>
      </c>
      <c r="G2042" s="70" t="s">
        <v>159</v>
      </c>
      <c r="H2042" s="70" t="str">
        <f t="shared" si="63"/>
        <v>QUI</v>
      </c>
    </row>
    <row r="2043" spans="1:8" ht="15" x14ac:dyDescent="0.25">
      <c r="A2043" s="88" t="s">
        <v>817</v>
      </c>
      <c r="B2043" s="88">
        <v>2000</v>
      </c>
      <c r="C2043" s="89" t="s">
        <v>991</v>
      </c>
      <c r="D2043" s="88" t="s">
        <v>160</v>
      </c>
      <c r="F2043" s="70">
        <f t="shared" si="62"/>
        <v>2000</v>
      </c>
      <c r="G2043" s="70" t="s">
        <v>159</v>
      </c>
      <c r="H2043" s="70" t="str">
        <f t="shared" si="63"/>
        <v>QUI</v>
      </c>
    </row>
    <row r="2044" spans="1:8" ht="15" x14ac:dyDescent="0.25">
      <c r="A2044" s="88" t="s">
        <v>817</v>
      </c>
      <c r="B2044" s="88">
        <v>2000</v>
      </c>
      <c r="C2044" s="89" t="s">
        <v>990</v>
      </c>
      <c r="D2044" s="88" t="s">
        <v>160</v>
      </c>
      <c r="F2044" s="70">
        <f t="shared" si="62"/>
        <v>2000</v>
      </c>
      <c r="G2044" s="70" t="s">
        <v>159</v>
      </c>
      <c r="H2044" s="70" t="str">
        <f t="shared" si="63"/>
        <v>QUI</v>
      </c>
    </row>
    <row r="2045" spans="1:8" ht="15" x14ac:dyDescent="0.25">
      <c r="A2045" s="88" t="s">
        <v>817</v>
      </c>
      <c r="B2045" s="88">
        <v>2000</v>
      </c>
      <c r="C2045" s="89" t="s">
        <v>989</v>
      </c>
      <c r="D2045" s="88" t="s">
        <v>160</v>
      </c>
      <c r="F2045" s="70">
        <f t="shared" si="62"/>
        <v>2000</v>
      </c>
      <c r="G2045" s="70" t="s">
        <v>159</v>
      </c>
      <c r="H2045" s="70" t="str">
        <f t="shared" si="63"/>
        <v>QUI</v>
      </c>
    </row>
    <row r="2046" spans="1:8" ht="15" x14ac:dyDescent="0.25">
      <c r="A2046" s="88" t="s">
        <v>817</v>
      </c>
      <c r="B2046" s="88">
        <v>2000</v>
      </c>
      <c r="C2046" s="89" t="s">
        <v>988</v>
      </c>
      <c r="D2046" s="88" t="s">
        <v>160</v>
      </c>
      <c r="F2046" s="70">
        <f t="shared" si="62"/>
        <v>2000</v>
      </c>
      <c r="G2046" s="70" t="s">
        <v>159</v>
      </c>
      <c r="H2046" s="70" t="str">
        <f t="shared" si="63"/>
        <v>QUI</v>
      </c>
    </row>
    <row r="2047" spans="1:8" ht="15" x14ac:dyDescent="0.25">
      <c r="A2047" s="88" t="s">
        <v>817</v>
      </c>
      <c r="B2047" s="88">
        <v>2001</v>
      </c>
      <c r="C2047" s="89" t="s">
        <v>987</v>
      </c>
      <c r="D2047" s="88" t="s">
        <v>160</v>
      </c>
      <c r="F2047" s="70">
        <f t="shared" si="62"/>
        <v>2001</v>
      </c>
      <c r="G2047" s="70" t="s">
        <v>159</v>
      </c>
      <c r="H2047" s="70" t="str">
        <f t="shared" si="63"/>
        <v>QUI</v>
      </c>
    </row>
    <row r="2048" spans="1:8" ht="15" x14ac:dyDescent="0.25">
      <c r="A2048" s="88" t="s">
        <v>817</v>
      </c>
      <c r="B2048" s="88">
        <v>2001</v>
      </c>
      <c r="C2048" s="89" t="s">
        <v>986</v>
      </c>
      <c r="D2048" s="88" t="s">
        <v>160</v>
      </c>
      <c r="F2048" s="70">
        <f t="shared" si="62"/>
        <v>2001</v>
      </c>
      <c r="G2048" s="70" t="s">
        <v>159</v>
      </c>
      <c r="H2048" s="70" t="str">
        <f t="shared" si="63"/>
        <v>QUI</v>
      </c>
    </row>
    <row r="2049" spans="1:8" ht="15" x14ac:dyDescent="0.25">
      <c r="A2049" s="88" t="s">
        <v>817</v>
      </c>
      <c r="B2049" s="88">
        <v>2001</v>
      </c>
      <c r="C2049" s="89" t="s">
        <v>985</v>
      </c>
      <c r="D2049" s="88" t="s">
        <v>160</v>
      </c>
      <c r="F2049" s="70">
        <f t="shared" si="62"/>
        <v>2001</v>
      </c>
      <c r="G2049" s="70" t="s">
        <v>159</v>
      </c>
      <c r="H2049" s="70" t="str">
        <f t="shared" si="63"/>
        <v>QUI</v>
      </c>
    </row>
    <row r="2050" spans="1:8" ht="15" x14ac:dyDescent="0.25">
      <c r="A2050" s="88" t="s">
        <v>817</v>
      </c>
      <c r="B2050" s="88">
        <v>2001</v>
      </c>
      <c r="C2050" s="89" t="s">
        <v>984</v>
      </c>
      <c r="D2050" s="88" t="s">
        <v>160</v>
      </c>
      <c r="F2050" s="70">
        <f t="shared" si="62"/>
        <v>2001</v>
      </c>
      <c r="G2050" s="70" t="s">
        <v>159</v>
      </c>
      <c r="H2050" s="70" t="str">
        <f t="shared" si="63"/>
        <v>QUI</v>
      </c>
    </row>
    <row r="2051" spans="1:8" ht="15" x14ac:dyDescent="0.25">
      <c r="A2051" s="88" t="s">
        <v>817</v>
      </c>
      <c r="B2051" s="88">
        <v>2001</v>
      </c>
      <c r="C2051" s="89" t="s">
        <v>983</v>
      </c>
      <c r="D2051" s="88" t="s">
        <v>160</v>
      </c>
      <c r="F2051" s="70">
        <f t="shared" si="62"/>
        <v>2001</v>
      </c>
      <c r="G2051" s="70" t="s">
        <v>159</v>
      </c>
      <c r="H2051" s="70" t="str">
        <f t="shared" si="63"/>
        <v>QUI</v>
      </c>
    </row>
    <row r="2052" spans="1:8" ht="15" x14ac:dyDescent="0.25">
      <c r="A2052" s="88" t="s">
        <v>817</v>
      </c>
      <c r="B2052" s="88">
        <v>2001</v>
      </c>
      <c r="C2052" s="89" t="s">
        <v>982</v>
      </c>
      <c r="D2052" s="88" t="s">
        <v>160</v>
      </c>
      <c r="F2052" s="70">
        <f t="shared" si="62"/>
        <v>2001</v>
      </c>
      <c r="G2052" s="70" t="s">
        <v>159</v>
      </c>
      <c r="H2052" s="70" t="str">
        <f t="shared" si="63"/>
        <v>QUI</v>
      </c>
    </row>
    <row r="2053" spans="1:8" ht="15" x14ac:dyDescent="0.25">
      <c r="A2053" s="88" t="s">
        <v>817</v>
      </c>
      <c r="B2053" s="88">
        <v>2001</v>
      </c>
      <c r="C2053" s="89" t="s">
        <v>981</v>
      </c>
      <c r="D2053" s="88" t="s">
        <v>160</v>
      </c>
      <c r="F2053" s="70">
        <f t="shared" si="62"/>
        <v>2001</v>
      </c>
      <c r="G2053" s="70" t="s">
        <v>159</v>
      </c>
      <c r="H2053" s="70" t="str">
        <f t="shared" si="63"/>
        <v>QUI</v>
      </c>
    </row>
    <row r="2054" spans="1:8" ht="15" x14ac:dyDescent="0.25">
      <c r="A2054" s="88" t="s">
        <v>817</v>
      </c>
      <c r="B2054" s="88">
        <v>2001</v>
      </c>
      <c r="C2054" s="89" t="s">
        <v>980</v>
      </c>
      <c r="D2054" s="88" t="s">
        <v>160</v>
      </c>
      <c r="F2054" s="70">
        <f t="shared" si="62"/>
        <v>2001</v>
      </c>
      <c r="G2054" s="70" t="s">
        <v>159</v>
      </c>
      <c r="H2054" s="70" t="str">
        <f t="shared" si="63"/>
        <v>QUI</v>
      </c>
    </row>
    <row r="2055" spans="1:8" ht="15" x14ac:dyDescent="0.25">
      <c r="A2055" s="88" t="s">
        <v>817</v>
      </c>
      <c r="B2055" s="88">
        <v>2002</v>
      </c>
      <c r="C2055" s="89" t="s">
        <v>979</v>
      </c>
      <c r="D2055" s="88" t="s">
        <v>160</v>
      </c>
      <c r="F2055" s="70">
        <f t="shared" si="62"/>
        <v>2002</v>
      </c>
      <c r="G2055" s="70" t="s">
        <v>159</v>
      </c>
      <c r="H2055" s="70" t="str">
        <f t="shared" si="63"/>
        <v>QUI</v>
      </c>
    </row>
    <row r="2056" spans="1:8" ht="15" x14ac:dyDescent="0.25">
      <c r="A2056" s="88" t="s">
        <v>817</v>
      </c>
      <c r="B2056" s="88">
        <v>2002</v>
      </c>
      <c r="C2056" s="89" t="s">
        <v>978</v>
      </c>
      <c r="D2056" s="88" t="s">
        <v>160</v>
      </c>
      <c r="F2056" s="70">
        <f t="shared" ref="F2056:F2119" si="64">+B2056</f>
        <v>2002</v>
      </c>
      <c r="G2056" s="70" t="s">
        <v>159</v>
      </c>
      <c r="H2056" s="70" t="str">
        <f t="shared" ref="H2056:H2119" si="65">A2056</f>
        <v>QUI</v>
      </c>
    </row>
    <row r="2057" spans="1:8" ht="15" x14ac:dyDescent="0.25">
      <c r="A2057" s="88" t="s">
        <v>817</v>
      </c>
      <c r="B2057" s="88">
        <v>2002</v>
      </c>
      <c r="C2057" s="89" t="s">
        <v>977</v>
      </c>
      <c r="D2057" s="88" t="s">
        <v>160</v>
      </c>
      <c r="F2057" s="70">
        <f t="shared" si="64"/>
        <v>2002</v>
      </c>
      <c r="G2057" s="70" t="s">
        <v>159</v>
      </c>
      <c r="H2057" s="70" t="str">
        <f t="shared" si="65"/>
        <v>QUI</v>
      </c>
    </row>
    <row r="2058" spans="1:8" ht="15" x14ac:dyDescent="0.25">
      <c r="A2058" s="88" t="s">
        <v>817</v>
      </c>
      <c r="B2058" s="88">
        <v>2002</v>
      </c>
      <c r="C2058" s="89" t="s">
        <v>976</v>
      </c>
      <c r="D2058" s="88" t="s">
        <v>160</v>
      </c>
      <c r="F2058" s="70">
        <f t="shared" si="64"/>
        <v>2002</v>
      </c>
      <c r="G2058" s="70" t="s">
        <v>159</v>
      </c>
      <c r="H2058" s="70" t="str">
        <f t="shared" si="65"/>
        <v>QUI</v>
      </c>
    </row>
    <row r="2059" spans="1:8" ht="15" x14ac:dyDescent="0.25">
      <c r="A2059" s="88" t="s">
        <v>817</v>
      </c>
      <c r="B2059" s="88">
        <v>2002</v>
      </c>
      <c r="C2059" s="89" t="s">
        <v>975</v>
      </c>
      <c r="D2059" s="88" t="s">
        <v>160</v>
      </c>
      <c r="F2059" s="70">
        <f t="shared" si="64"/>
        <v>2002</v>
      </c>
      <c r="G2059" s="70" t="s">
        <v>159</v>
      </c>
      <c r="H2059" s="70" t="str">
        <f t="shared" si="65"/>
        <v>QUI</v>
      </c>
    </row>
    <row r="2060" spans="1:8" ht="15" x14ac:dyDescent="0.25">
      <c r="A2060" s="88" t="s">
        <v>817</v>
      </c>
      <c r="B2060" s="88">
        <v>2002</v>
      </c>
      <c r="C2060" s="89" t="s">
        <v>974</v>
      </c>
      <c r="D2060" s="88" t="s">
        <v>160</v>
      </c>
      <c r="F2060" s="70">
        <f t="shared" si="64"/>
        <v>2002</v>
      </c>
      <c r="G2060" s="70" t="s">
        <v>159</v>
      </c>
      <c r="H2060" s="70" t="str">
        <f t="shared" si="65"/>
        <v>QUI</v>
      </c>
    </row>
    <row r="2061" spans="1:8" ht="15" x14ac:dyDescent="0.25">
      <c r="A2061" s="88" t="s">
        <v>817</v>
      </c>
      <c r="B2061" s="88">
        <v>2002</v>
      </c>
      <c r="C2061" s="89" t="s">
        <v>973</v>
      </c>
      <c r="D2061" s="88" t="s">
        <v>160</v>
      </c>
      <c r="F2061" s="70">
        <f t="shared" si="64"/>
        <v>2002</v>
      </c>
      <c r="G2061" s="70" t="s">
        <v>159</v>
      </c>
      <c r="H2061" s="70" t="str">
        <f t="shared" si="65"/>
        <v>QUI</v>
      </c>
    </row>
    <row r="2062" spans="1:8" ht="15" x14ac:dyDescent="0.25">
      <c r="A2062" s="88" t="s">
        <v>817</v>
      </c>
      <c r="B2062" s="88">
        <v>2002</v>
      </c>
      <c r="C2062" s="89" t="s">
        <v>972</v>
      </c>
      <c r="D2062" s="88" t="s">
        <v>160</v>
      </c>
      <c r="F2062" s="70">
        <f t="shared" si="64"/>
        <v>2002</v>
      </c>
      <c r="G2062" s="70" t="s">
        <v>159</v>
      </c>
      <c r="H2062" s="70" t="str">
        <f t="shared" si="65"/>
        <v>QUI</v>
      </c>
    </row>
    <row r="2063" spans="1:8" ht="15" x14ac:dyDescent="0.25">
      <c r="A2063" s="88" t="s">
        <v>817</v>
      </c>
      <c r="B2063" s="88">
        <v>2003</v>
      </c>
      <c r="C2063" s="89" t="s">
        <v>971</v>
      </c>
      <c r="D2063" s="88" t="s">
        <v>160</v>
      </c>
      <c r="F2063" s="70">
        <f t="shared" si="64"/>
        <v>2003</v>
      </c>
      <c r="G2063" s="70" t="s">
        <v>159</v>
      </c>
      <c r="H2063" s="70" t="str">
        <f t="shared" si="65"/>
        <v>QUI</v>
      </c>
    </row>
    <row r="2064" spans="1:8" ht="15" x14ac:dyDescent="0.25">
      <c r="A2064" s="88" t="s">
        <v>817</v>
      </c>
      <c r="B2064" s="88">
        <v>2003</v>
      </c>
      <c r="C2064" s="89" t="s">
        <v>970</v>
      </c>
      <c r="D2064" s="88" t="s">
        <v>160</v>
      </c>
      <c r="F2064" s="70">
        <f t="shared" si="64"/>
        <v>2003</v>
      </c>
      <c r="G2064" s="70" t="s">
        <v>159</v>
      </c>
      <c r="H2064" s="70" t="str">
        <f t="shared" si="65"/>
        <v>QUI</v>
      </c>
    </row>
    <row r="2065" spans="1:8" ht="15" x14ac:dyDescent="0.25">
      <c r="A2065" s="88" t="s">
        <v>817</v>
      </c>
      <c r="B2065" s="88">
        <v>2003</v>
      </c>
      <c r="C2065" s="89" t="s">
        <v>969</v>
      </c>
      <c r="D2065" s="88" t="s">
        <v>160</v>
      </c>
      <c r="F2065" s="70">
        <f t="shared" si="64"/>
        <v>2003</v>
      </c>
      <c r="G2065" s="70" t="s">
        <v>159</v>
      </c>
      <c r="H2065" s="70" t="str">
        <f t="shared" si="65"/>
        <v>QUI</v>
      </c>
    </row>
    <row r="2066" spans="1:8" ht="15" x14ac:dyDescent="0.25">
      <c r="A2066" s="88" t="s">
        <v>817</v>
      </c>
      <c r="B2066" s="88">
        <v>2003</v>
      </c>
      <c r="C2066" s="89" t="s">
        <v>968</v>
      </c>
      <c r="D2066" s="88" t="s">
        <v>160</v>
      </c>
      <c r="F2066" s="70">
        <f t="shared" si="64"/>
        <v>2003</v>
      </c>
      <c r="G2066" s="70" t="s">
        <v>159</v>
      </c>
      <c r="H2066" s="70" t="str">
        <f t="shared" si="65"/>
        <v>QUI</v>
      </c>
    </row>
    <row r="2067" spans="1:8" ht="15" x14ac:dyDescent="0.25">
      <c r="A2067" s="88" t="s">
        <v>817</v>
      </c>
      <c r="B2067" s="88">
        <v>2003</v>
      </c>
      <c r="C2067" s="89" t="s">
        <v>967</v>
      </c>
      <c r="D2067" s="88" t="s">
        <v>160</v>
      </c>
      <c r="F2067" s="70">
        <f t="shared" si="64"/>
        <v>2003</v>
      </c>
      <c r="G2067" s="70" t="s">
        <v>159</v>
      </c>
      <c r="H2067" s="70" t="str">
        <f t="shared" si="65"/>
        <v>QUI</v>
      </c>
    </row>
    <row r="2068" spans="1:8" ht="15" x14ac:dyDescent="0.25">
      <c r="A2068" s="88" t="s">
        <v>817</v>
      </c>
      <c r="B2068" s="88">
        <v>2003</v>
      </c>
      <c r="C2068" s="89" t="s">
        <v>966</v>
      </c>
      <c r="D2068" s="88" t="s">
        <v>160</v>
      </c>
      <c r="F2068" s="70">
        <f t="shared" si="64"/>
        <v>2003</v>
      </c>
      <c r="G2068" s="70" t="s">
        <v>159</v>
      </c>
      <c r="H2068" s="70" t="str">
        <f t="shared" si="65"/>
        <v>QUI</v>
      </c>
    </row>
    <row r="2069" spans="1:8" ht="15" x14ac:dyDescent="0.25">
      <c r="A2069" s="88" t="s">
        <v>817</v>
      </c>
      <c r="B2069" s="88">
        <v>2003</v>
      </c>
      <c r="C2069" s="89" t="s">
        <v>965</v>
      </c>
      <c r="D2069" s="88" t="s">
        <v>160</v>
      </c>
      <c r="F2069" s="70">
        <f t="shared" si="64"/>
        <v>2003</v>
      </c>
      <c r="G2069" s="70" t="s">
        <v>159</v>
      </c>
      <c r="H2069" s="70" t="str">
        <f t="shared" si="65"/>
        <v>QUI</v>
      </c>
    </row>
    <row r="2070" spans="1:8" ht="15" x14ac:dyDescent="0.25">
      <c r="A2070" s="88" t="s">
        <v>817</v>
      </c>
      <c r="B2070" s="88">
        <v>2004</v>
      </c>
      <c r="C2070" s="89" t="s">
        <v>964</v>
      </c>
      <c r="D2070" s="88" t="s">
        <v>160</v>
      </c>
      <c r="F2070" s="70">
        <f t="shared" si="64"/>
        <v>2004</v>
      </c>
      <c r="G2070" s="70" t="s">
        <v>159</v>
      </c>
      <c r="H2070" s="70" t="str">
        <f t="shared" si="65"/>
        <v>QUI</v>
      </c>
    </row>
    <row r="2071" spans="1:8" ht="15" x14ac:dyDescent="0.25">
      <c r="A2071" s="88" t="s">
        <v>817</v>
      </c>
      <c r="B2071" s="88">
        <v>2004</v>
      </c>
      <c r="C2071" s="89" t="s">
        <v>963</v>
      </c>
      <c r="D2071" s="88" t="s">
        <v>160</v>
      </c>
      <c r="F2071" s="70">
        <f t="shared" si="64"/>
        <v>2004</v>
      </c>
      <c r="G2071" s="70" t="s">
        <v>159</v>
      </c>
      <c r="H2071" s="70" t="str">
        <f t="shared" si="65"/>
        <v>QUI</v>
      </c>
    </row>
    <row r="2072" spans="1:8" ht="15" x14ac:dyDescent="0.25">
      <c r="A2072" s="88" t="s">
        <v>817</v>
      </c>
      <c r="B2072" s="88">
        <v>2004</v>
      </c>
      <c r="C2072" s="89" t="s">
        <v>962</v>
      </c>
      <c r="D2072" s="88" t="s">
        <v>160</v>
      </c>
      <c r="F2072" s="70">
        <f t="shared" si="64"/>
        <v>2004</v>
      </c>
      <c r="G2072" s="70" t="s">
        <v>159</v>
      </c>
      <c r="H2072" s="70" t="str">
        <f t="shared" si="65"/>
        <v>QUI</v>
      </c>
    </row>
    <row r="2073" spans="1:8" ht="15" x14ac:dyDescent="0.25">
      <c r="A2073" s="88" t="s">
        <v>817</v>
      </c>
      <c r="B2073" s="88">
        <v>2004</v>
      </c>
      <c r="C2073" s="89" t="s">
        <v>961</v>
      </c>
      <c r="D2073" s="88" t="s">
        <v>160</v>
      </c>
      <c r="F2073" s="70">
        <f t="shared" si="64"/>
        <v>2004</v>
      </c>
      <c r="G2073" s="70" t="s">
        <v>159</v>
      </c>
      <c r="H2073" s="70" t="str">
        <f t="shared" si="65"/>
        <v>QUI</v>
      </c>
    </row>
    <row r="2074" spans="1:8" ht="15" x14ac:dyDescent="0.25">
      <c r="A2074" s="88" t="s">
        <v>817</v>
      </c>
      <c r="B2074" s="88">
        <v>2004</v>
      </c>
      <c r="C2074" s="89" t="s">
        <v>960</v>
      </c>
      <c r="D2074" s="88" t="s">
        <v>160</v>
      </c>
      <c r="F2074" s="70">
        <f t="shared" si="64"/>
        <v>2004</v>
      </c>
      <c r="G2074" s="70" t="s">
        <v>159</v>
      </c>
      <c r="H2074" s="70" t="str">
        <f t="shared" si="65"/>
        <v>QUI</v>
      </c>
    </row>
    <row r="2075" spans="1:8" ht="15" x14ac:dyDescent="0.25">
      <c r="A2075" s="88" t="s">
        <v>817</v>
      </c>
      <c r="B2075" s="88">
        <v>2004</v>
      </c>
      <c r="C2075" s="89" t="s">
        <v>959</v>
      </c>
      <c r="D2075" s="88" t="s">
        <v>160</v>
      </c>
      <c r="F2075" s="70">
        <f t="shared" si="64"/>
        <v>2004</v>
      </c>
      <c r="G2075" s="70" t="s">
        <v>159</v>
      </c>
      <c r="H2075" s="70" t="str">
        <f t="shared" si="65"/>
        <v>QUI</v>
      </c>
    </row>
    <row r="2076" spans="1:8" ht="15" x14ac:dyDescent="0.25">
      <c r="A2076" s="88" t="s">
        <v>817</v>
      </c>
      <c r="B2076" s="88">
        <v>2004</v>
      </c>
      <c r="C2076" s="89" t="s">
        <v>958</v>
      </c>
      <c r="D2076" s="88" t="s">
        <v>160</v>
      </c>
      <c r="F2076" s="70">
        <f t="shared" si="64"/>
        <v>2004</v>
      </c>
      <c r="G2076" s="70" t="s">
        <v>159</v>
      </c>
      <c r="H2076" s="70" t="str">
        <f t="shared" si="65"/>
        <v>QUI</v>
      </c>
    </row>
    <row r="2077" spans="1:8" ht="15" x14ac:dyDescent="0.25">
      <c r="A2077" s="88" t="s">
        <v>817</v>
      </c>
      <c r="B2077" s="88">
        <v>2005</v>
      </c>
      <c r="C2077" s="89" t="s">
        <v>957</v>
      </c>
      <c r="D2077" s="88" t="s">
        <v>160</v>
      </c>
      <c r="F2077" s="70">
        <f t="shared" si="64"/>
        <v>2005</v>
      </c>
      <c r="G2077" s="70" t="s">
        <v>159</v>
      </c>
      <c r="H2077" s="70" t="str">
        <f t="shared" si="65"/>
        <v>QUI</v>
      </c>
    </row>
    <row r="2078" spans="1:8" ht="15" x14ac:dyDescent="0.25">
      <c r="A2078" s="88" t="s">
        <v>817</v>
      </c>
      <c r="B2078" s="88">
        <v>2005</v>
      </c>
      <c r="C2078" s="89" t="s">
        <v>956</v>
      </c>
      <c r="D2078" s="88" t="s">
        <v>160</v>
      </c>
      <c r="F2078" s="70">
        <f t="shared" si="64"/>
        <v>2005</v>
      </c>
      <c r="G2078" s="70" t="s">
        <v>159</v>
      </c>
      <c r="H2078" s="70" t="str">
        <f t="shared" si="65"/>
        <v>QUI</v>
      </c>
    </row>
    <row r="2079" spans="1:8" ht="15" x14ac:dyDescent="0.25">
      <c r="A2079" s="88" t="s">
        <v>817</v>
      </c>
      <c r="B2079" s="88">
        <v>2005</v>
      </c>
      <c r="C2079" s="89" t="s">
        <v>955</v>
      </c>
      <c r="D2079" s="88" t="s">
        <v>160</v>
      </c>
      <c r="F2079" s="70">
        <f t="shared" si="64"/>
        <v>2005</v>
      </c>
      <c r="G2079" s="70" t="s">
        <v>159</v>
      </c>
      <c r="H2079" s="70" t="str">
        <f t="shared" si="65"/>
        <v>QUI</v>
      </c>
    </row>
    <row r="2080" spans="1:8" ht="15" x14ac:dyDescent="0.25">
      <c r="A2080" s="88" t="s">
        <v>817</v>
      </c>
      <c r="B2080" s="88">
        <v>2005</v>
      </c>
      <c r="C2080" s="89" t="s">
        <v>954</v>
      </c>
      <c r="D2080" s="88" t="s">
        <v>160</v>
      </c>
      <c r="F2080" s="70">
        <f t="shared" si="64"/>
        <v>2005</v>
      </c>
      <c r="G2080" s="70" t="s">
        <v>159</v>
      </c>
      <c r="H2080" s="70" t="str">
        <f t="shared" si="65"/>
        <v>QUI</v>
      </c>
    </row>
    <row r="2081" spans="1:8" ht="15" x14ac:dyDescent="0.25">
      <c r="A2081" s="88" t="s">
        <v>817</v>
      </c>
      <c r="B2081" s="88">
        <v>2005</v>
      </c>
      <c r="C2081" s="89" t="s">
        <v>953</v>
      </c>
      <c r="D2081" s="88" t="s">
        <v>160</v>
      </c>
      <c r="F2081" s="70">
        <f t="shared" si="64"/>
        <v>2005</v>
      </c>
      <c r="G2081" s="70" t="s">
        <v>159</v>
      </c>
      <c r="H2081" s="70" t="str">
        <f t="shared" si="65"/>
        <v>QUI</v>
      </c>
    </row>
    <row r="2082" spans="1:8" ht="15" x14ac:dyDescent="0.25">
      <c r="A2082" s="88" t="s">
        <v>817</v>
      </c>
      <c r="B2082" s="88">
        <v>2005</v>
      </c>
      <c r="C2082" s="89" t="s">
        <v>952</v>
      </c>
      <c r="D2082" s="88" t="s">
        <v>160</v>
      </c>
      <c r="F2082" s="70">
        <f t="shared" si="64"/>
        <v>2005</v>
      </c>
      <c r="G2082" s="70" t="s">
        <v>159</v>
      </c>
      <c r="H2082" s="70" t="str">
        <f t="shared" si="65"/>
        <v>QUI</v>
      </c>
    </row>
    <row r="2083" spans="1:8" ht="15" x14ac:dyDescent="0.25">
      <c r="A2083" s="88" t="s">
        <v>817</v>
      </c>
      <c r="B2083" s="88">
        <v>2005</v>
      </c>
      <c r="C2083" s="89" t="s">
        <v>951</v>
      </c>
      <c r="D2083" s="88" t="s">
        <v>160</v>
      </c>
      <c r="F2083" s="70">
        <f t="shared" si="64"/>
        <v>2005</v>
      </c>
      <c r="G2083" s="70" t="s">
        <v>159</v>
      </c>
      <c r="H2083" s="70" t="str">
        <f t="shared" si="65"/>
        <v>QUI</v>
      </c>
    </row>
    <row r="2084" spans="1:8" ht="15" x14ac:dyDescent="0.25">
      <c r="A2084" s="88" t="s">
        <v>817</v>
      </c>
      <c r="B2084" s="88">
        <v>2005</v>
      </c>
      <c r="C2084" s="89" t="s">
        <v>950</v>
      </c>
      <c r="D2084" s="88" t="s">
        <v>160</v>
      </c>
      <c r="F2084" s="70">
        <f t="shared" si="64"/>
        <v>2005</v>
      </c>
      <c r="G2084" s="70" t="s">
        <v>159</v>
      </c>
      <c r="H2084" s="70" t="str">
        <f t="shared" si="65"/>
        <v>QUI</v>
      </c>
    </row>
    <row r="2085" spans="1:8" ht="15" x14ac:dyDescent="0.25">
      <c r="A2085" s="88" t="s">
        <v>817</v>
      </c>
      <c r="B2085" s="88">
        <v>2006</v>
      </c>
      <c r="C2085" s="89" t="s">
        <v>949</v>
      </c>
      <c r="D2085" s="88" t="s">
        <v>160</v>
      </c>
      <c r="F2085" s="70">
        <f t="shared" si="64"/>
        <v>2006</v>
      </c>
      <c r="G2085" s="70" t="s">
        <v>159</v>
      </c>
      <c r="H2085" s="70" t="str">
        <f t="shared" si="65"/>
        <v>QUI</v>
      </c>
    </row>
    <row r="2086" spans="1:8" ht="15" x14ac:dyDescent="0.25">
      <c r="A2086" s="88" t="s">
        <v>817</v>
      </c>
      <c r="B2086" s="88">
        <v>2006</v>
      </c>
      <c r="C2086" s="89" t="s">
        <v>948</v>
      </c>
      <c r="D2086" s="88" t="s">
        <v>160</v>
      </c>
      <c r="F2086" s="70">
        <f t="shared" si="64"/>
        <v>2006</v>
      </c>
      <c r="G2086" s="70" t="s">
        <v>159</v>
      </c>
      <c r="H2086" s="70" t="str">
        <f t="shared" si="65"/>
        <v>QUI</v>
      </c>
    </row>
    <row r="2087" spans="1:8" ht="15" x14ac:dyDescent="0.25">
      <c r="A2087" s="88" t="s">
        <v>817</v>
      </c>
      <c r="B2087" s="88">
        <v>2006</v>
      </c>
      <c r="C2087" s="89" t="s">
        <v>947</v>
      </c>
      <c r="D2087" s="88" t="s">
        <v>160</v>
      </c>
      <c r="F2087" s="70">
        <f t="shared" si="64"/>
        <v>2006</v>
      </c>
      <c r="G2087" s="70" t="s">
        <v>159</v>
      </c>
      <c r="H2087" s="70" t="str">
        <f t="shared" si="65"/>
        <v>QUI</v>
      </c>
    </row>
    <row r="2088" spans="1:8" ht="15" x14ac:dyDescent="0.25">
      <c r="A2088" s="88" t="s">
        <v>817</v>
      </c>
      <c r="B2088" s="88">
        <v>2006</v>
      </c>
      <c r="C2088" s="89" t="s">
        <v>946</v>
      </c>
      <c r="D2088" s="88" t="s">
        <v>160</v>
      </c>
      <c r="F2088" s="70">
        <f t="shared" si="64"/>
        <v>2006</v>
      </c>
      <c r="G2088" s="70" t="s">
        <v>159</v>
      </c>
      <c r="H2088" s="70" t="str">
        <f t="shared" si="65"/>
        <v>QUI</v>
      </c>
    </row>
    <row r="2089" spans="1:8" ht="15" x14ac:dyDescent="0.25">
      <c r="A2089" s="88" t="s">
        <v>817</v>
      </c>
      <c r="B2089" s="88">
        <v>2006</v>
      </c>
      <c r="C2089" s="89" t="s">
        <v>945</v>
      </c>
      <c r="D2089" s="88" t="s">
        <v>160</v>
      </c>
      <c r="F2089" s="70">
        <f t="shared" si="64"/>
        <v>2006</v>
      </c>
      <c r="G2089" s="70" t="s">
        <v>159</v>
      </c>
      <c r="H2089" s="70" t="str">
        <f t="shared" si="65"/>
        <v>QUI</v>
      </c>
    </row>
    <row r="2090" spans="1:8" ht="15" x14ac:dyDescent="0.25">
      <c r="A2090" s="88" t="s">
        <v>817</v>
      </c>
      <c r="B2090" s="88">
        <v>2006</v>
      </c>
      <c r="C2090" s="89" t="s">
        <v>944</v>
      </c>
      <c r="D2090" s="88" t="s">
        <v>160</v>
      </c>
      <c r="F2090" s="70">
        <f t="shared" si="64"/>
        <v>2006</v>
      </c>
      <c r="G2090" s="70" t="s">
        <v>159</v>
      </c>
      <c r="H2090" s="70" t="str">
        <f t="shared" si="65"/>
        <v>QUI</v>
      </c>
    </row>
    <row r="2091" spans="1:8" ht="15" x14ac:dyDescent="0.25">
      <c r="A2091" s="88" t="s">
        <v>817</v>
      </c>
      <c r="B2091" s="88">
        <v>2006</v>
      </c>
      <c r="C2091" s="89" t="s">
        <v>943</v>
      </c>
      <c r="D2091" s="88" t="s">
        <v>160</v>
      </c>
      <c r="F2091" s="70">
        <f t="shared" si="64"/>
        <v>2006</v>
      </c>
      <c r="G2091" s="70" t="s">
        <v>159</v>
      </c>
      <c r="H2091" s="70" t="str">
        <f t="shared" si="65"/>
        <v>QUI</v>
      </c>
    </row>
    <row r="2092" spans="1:8" ht="15" x14ac:dyDescent="0.25">
      <c r="A2092" s="88" t="s">
        <v>817</v>
      </c>
      <c r="B2092" s="88">
        <v>2006</v>
      </c>
      <c r="C2092" s="89" t="s">
        <v>942</v>
      </c>
      <c r="D2092" s="88" t="s">
        <v>160</v>
      </c>
      <c r="F2092" s="70">
        <f t="shared" si="64"/>
        <v>2006</v>
      </c>
      <c r="G2092" s="70" t="s">
        <v>159</v>
      </c>
      <c r="H2092" s="70" t="str">
        <f t="shared" si="65"/>
        <v>QUI</v>
      </c>
    </row>
    <row r="2093" spans="1:8" ht="15" x14ac:dyDescent="0.25">
      <c r="A2093" s="88" t="s">
        <v>817</v>
      </c>
      <c r="B2093" s="88">
        <v>2007</v>
      </c>
      <c r="C2093" s="89" t="s">
        <v>941</v>
      </c>
      <c r="D2093" s="88" t="s">
        <v>160</v>
      </c>
      <c r="F2093" s="70">
        <f t="shared" si="64"/>
        <v>2007</v>
      </c>
      <c r="G2093" s="70" t="s">
        <v>159</v>
      </c>
      <c r="H2093" s="70" t="str">
        <f t="shared" si="65"/>
        <v>QUI</v>
      </c>
    </row>
    <row r="2094" spans="1:8" ht="15" x14ac:dyDescent="0.25">
      <c r="A2094" s="88" t="s">
        <v>817</v>
      </c>
      <c r="B2094" s="88">
        <v>2007</v>
      </c>
      <c r="C2094" s="89" t="s">
        <v>940</v>
      </c>
      <c r="D2094" s="88" t="s">
        <v>160</v>
      </c>
      <c r="F2094" s="70">
        <f t="shared" si="64"/>
        <v>2007</v>
      </c>
      <c r="G2094" s="70" t="s">
        <v>159</v>
      </c>
      <c r="H2094" s="70" t="str">
        <f t="shared" si="65"/>
        <v>QUI</v>
      </c>
    </row>
    <row r="2095" spans="1:8" ht="15" x14ac:dyDescent="0.25">
      <c r="A2095" s="88" t="s">
        <v>817</v>
      </c>
      <c r="B2095" s="88">
        <v>2007</v>
      </c>
      <c r="C2095" s="89" t="s">
        <v>939</v>
      </c>
      <c r="D2095" s="88" t="s">
        <v>160</v>
      </c>
      <c r="F2095" s="70">
        <f t="shared" si="64"/>
        <v>2007</v>
      </c>
      <c r="G2095" s="70" t="s">
        <v>159</v>
      </c>
      <c r="H2095" s="70" t="str">
        <f t="shared" si="65"/>
        <v>QUI</v>
      </c>
    </row>
    <row r="2096" spans="1:8" ht="15" x14ac:dyDescent="0.25">
      <c r="A2096" s="88" t="s">
        <v>817</v>
      </c>
      <c r="B2096" s="88">
        <v>2007</v>
      </c>
      <c r="C2096" s="89" t="s">
        <v>938</v>
      </c>
      <c r="D2096" s="88" t="s">
        <v>160</v>
      </c>
      <c r="F2096" s="70">
        <f t="shared" si="64"/>
        <v>2007</v>
      </c>
      <c r="G2096" s="70" t="s">
        <v>159</v>
      </c>
      <c r="H2096" s="70" t="str">
        <f t="shared" si="65"/>
        <v>QUI</v>
      </c>
    </row>
    <row r="2097" spans="1:8" ht="15" x14ac:dyDescent="0.25">
      <c r="A2097" s="88" t="s">
        <v>817</v>
      </c>
      <c r="B2097" s="88">
        <v>2007</v>
      </c>
      <c r="C2097" s="89" t="s">
        <v>937</v>
      </c>
      <c r="D2097" s="88" t="s">
        <v>160</v>
      </c>
      <c r="F2097" s="70">
        <f t="shared" si="64"/>
        <v>2007</v>
      </c>
      <c r="G2097" s="70" t="s">
        <v>159</v>
      </c>
      <c r="H2097" s="70" t="str">
        <f t="shared" si="65"/>
        <v>QUI</v>
      </c>
    </row>
    <row r="2098" spans="1:8" ht="15" x14ac:dyDescent="0.25">
      <c r="A2098" s="88" t="s">
        <v>817</v>
      </c>
      <c r="B2098" s="88">
        <v>2007</v>
      </c>
      <c r="C2098" s="89" t="s">
        <v>936</v>
      </c>
      <c r="D2098" s="88" t="s">
        <v>160</v>
      </c>
      <c r="F2098" s="70">
        <f t="shared" si="64"/>
        <v>2007</v>
      </c>
      <c r="G2098" s="70" t="s">
        <v>159</v>
      </c>
      <c r="H2098" s="70" t="str">
        <f t="shared" si="65"/>
        <v>QUI</v>
      </c>
    </row>
    <row r="2099" spans="1:8" ht="15" x14ac:dyDescent="0.25">
      <c r="A2099" s="88" t="s">
        <v>817</v>
      </c>
      <c r="B2099" s="88">
        <v>2007</v>
      </c>
      <c r="C2099" s="89" t="s">
        <v>935</v>
      </c>
      <c r="D2099" s="88" t="s">
        <v>160</v>
      </c>
      <c r="F2099" s="70">
        <f t="shared" si="64"/>
        <v>2007</v>
      </c>
      <c r="G2099" s="70" t="s">
        <v>159</v>
      </c>
      <c r="H2099" s="70" t="str">
        <f t="shared" si="65"/>
        <v>QUI</v>
      </c>
    </row>
    <row r="2100" spans="1:8" ht="15" x14ac:dyDescent="0.25">
      <c r="A2100" s="88" t="s">
        <v>817</v>
      </c>
      <c r="B2100" s="88">
        <v>2007</v>
      </c>
      <c r="C2100" s="89" t="s">
        <v>934</v>
      </c>
      <c r="D2100" s="88" t="s">
        <v>160</v>
      </c>
      <c r="F2100" s="70">
        <f t="shared" si="64"/>
        <v>2007</v>
      </c>
      <c r="G2100" s="70" t="s">
        <v>159</v>
      </c>
      <c r="H2100" s="70" t="str">
        <f t="shared" si="65"/>
        <v>QUI</v>
      </c>
    </row>
    <row r="2101" spans="1:8" ht="15" x14ac:dyDescent="0.25">
      <c r="A2101" s="88" t="s">
        <v>817</v>
      </c>
      <c r="B2101" s="88">
        <v>2007</v>
      </c>
      <c r="C2101" s="89" t="s">
        <v>933</v>
      </c>
      <c r="D2101" s="88" t="s">
        <v>160</v>
      </c>
      <c r="F2101" s="70">
        <f t="shared" si="64"/>
        <v>2007</v>
      </c>
      <c r="G2101" s="70" t="s">
        <v>159</v>
      </c>
      <c r="H2101" s="70" t="str">
        <f t="shared" si="65"/>
        <v>QUI</v>
      </c>
    </row>
    <row r="2102" spans="1:8" ht="15" x14ac:dyDescent="0.25">
      <c r="A2102" s="88" t="s">
        <v>817</v>
      </c>
      <c r="B2102" s="88">
        <v>2007</v>
      </c>
      <c r="C2102" s="89" t="s">
        <v>932</v>
      </c>
      <c r="D2102" s="88" t="s">
        <v>160</v>
      </c>
      <c r="F2102" s="70">
        <f t="shared" si="64"/>
        <v>2007</v>
      </c>
      <c r="G2102" s="70" t="s">
        <v>159</v>
      </c>
      <c r="H2102" s="70" t="str">
        <f t="shared" si="65"/>
        <v>QUI</v>
      </c>
    </row>
    <row r="2103" spans="1:8" ht="15" x14ac:dyDescent="0.25">
      <c r="A2103" s="88" t="s">
        <v>817</v>
      </c>
      <c r="B2103" s="88">
        <v>2007</v>
      </c>
      <c r="C2103" s="89" t="s">
        <v>931</v>
      </c>
      <c r="D2103" s="88" t="s">
        <v>160</v>
      </c>
      <c r="F2103" s="70">
        <f t="shared" si="64"/>
        <v>2007</v>
      </c>
      <c r="G2103" s="70" t="s">
        <v>159</v>
      </c>
      <c r="H2103" s="70" t="str">
        <f t="shared" si="65"/>
        <v>QUI</v>
      </c>
    </row>
    <row r="2104" spans="1:8" ht="15" x14ac:dyDescent="0.25">
      <c r="A2104" s="88" t="s">
        <v>817</v>
      </c>
      <c r="B2104" s="88">
        <v>2007</v>
      </c>
      <c r="C2104" s="89" t="s">
        <v>930</v>
      </c>
      <c r="D2104" s="88" t="s">
        <v>160</v>
      </c>
      <c r="F2104" s="70">
        <f t="shared" si="64"/>
        <v>2007</v>
      </c>
      <c r="G2104" s="70" t="s">
        <v>159</v>
      </c>
      <c r="H2104" s="70" t="str">
        <f t="shared" si="65"/>
        <v>QUI</v>
      </c>
    </row>
    <row r="2105" spans="1:8" ht="15" x14ac:dyDescent="0.25">
      <c r="A2105" s="88" t="s">
        <v>817</v>
      </c>
      <c r="B2105" s="88">
        <v>2007</v>
      </c>
      <c r="C2105" s="89" t="s">
        <v>929</v>
      </c>
      <c r="D2105" s="88" t="s">
        <v>160</v>
      </c>
      <c r="F2105" s="70">
        <f t="shared" si="64"/>
        <v>2007</v>
      </c>
      <c r="G2105" s="70" t="s">
        <v>159</v>
      </c>
      <c r="H2105" s="70" t="str">
        <f t="shared" si="65"/>
        <v>QUI</v>
      </c>
    </row>
    <row r="2106" spans="1:8" ht="15" x14ac:dyDescent="0.25">
      <c r="A2106" s="88" t="s">
        <v>817</v>
      </c>
      <c r="B2106" s="88">
        <v>2007</v>
      </c>
      <c r="C2106" s="89" t="s">
        <v>928</v>
      </c>
      <c r="D2106" s="88" t="s">
        <v>160</v>
      </c>
      <c r="F2106" s="70">
        <f t="shared" si="64"/>
        <v>2007</v>
      </c>
      <c r="G2106" s="70" t="s">
        <v>159</v>
      </c>
      <c r="H2106" s="70" t="str">
        <f t="shared" si="65"/>
        <v>QUI</v>
      </c>
    </row>
    <row r="2107" spans="1:8" ht="15" x14ac:dyDescent="0.25">
      <c r="A2107" s="88" t="s">
        <v>817</v>
      </c>
      <c r="B2107" s="88">
        <v>2007</v>
      </c>
      <c r="C2107" s="89" t="s">
        <v>927</v>
      </c>
      <c r="D2107" s="88" t="s">
        <v>160</v>
      </c>
      <c r="F2107" s="70">
        <f t="shared" si="64"/>
        <v>2007</v>
      </c>
      <c r="G2107" s="70" t="s">
        <v>159</v>
      </c>
      <c r="H2107" s="70" t="str">
        <f t="shared" si="65"/>
        <v>QUI</v>
      </c>
    </row>
    <row r="2108" spans="1:8" ht="15" x14ac:dyDescent="0.25">
      <c r="A2108" s="88" t="s">
        <v>817</v>
      </c>
      <c r="B2108" s="88">
        <v>2007</v>
      </c>
      <c r="C2108" s="89" t="s">
        <v>926</v>
      </c>
      <c r="D2108" s="88" t="s">
        <v>160</v>
      </c>
      <c r="F2108" s="70">
        <f t="shared" si="64"/>
        <v>2007</v>
      </c>
      <c r="G2108" s="70" t="s">
        <v>159</v>
      </c>
      <c r="H2108" s="70" t="str">
        <f t="shared" si="65"/>
        <v>QUI</v>
      </c>
    </row>
    <row r="2109" spans="1:8" ht="15" x14ac:dyDescent="0.25">
      <c r="A2109" s="88" t="s">
        <v>817</v>
      </c>
      <c r="B2109" s="88">
        <v>2008</v>
      </c>
      <c r="C2109" s="89" t="s">
        <v>925</v>
      </c>
      <c r="D2109" s="88" t="s">
        <v>160</v>
      </c>
      <c r="F2109" s="70">
        <f t="shared" si="64"/>
        <v>2008</v>
      </c>
      <c r="G2109" s="70" t="s">
        <v>159</v>
      </c>
      <c r="H2109" s="70" t="str">
        <f t="shared" si="65"/>
        <v>QUI</v>
      </c>
    </row>
    <row r="2110" spans="1:8" ht="15" x14ac:dyDescent="0.25">
      <c r="A2110" s="88" t="s">
        <v>817</v>
      </c>
      <c r="B2110" s="88">
        <v>2008</v>
      </c>
      <c r="C2110" s="89" t="s">
        <v>924</v>
      </c>
      <c r="D2110" s="88" t="s">
        <v>160</v>
      </c>
      <c r="F2110" s="70">
        <f t="shared" si="64"/>
        <v>2008</v>
      </c>
      <c r="G2110" s="70" t="s">
        <v>159</v>
      </c>
      <c r="H2110" s="70" t="str">
        <f t="shared" si="65"/>
        <v>QUI</v>
      </c>
    </row>
    <row r="2111" spans="1:8" ht="15" x14ac:dyDescent="0.25">
      <c r="A2111" s="88" t="s">
        <v>817</v>
      </c>
      <c r="B2111" s="88">
        <v>2008</v>
      </c>
      <c r="C2111" s="89" t="s">
        <v>923</v>
      </c>
      <c r="D2111" s="88" t="s">
        <v>160</v>
      </c>
      <c r="F2111" s="70">
        <f t="shared" si="64"/>
        <v>2008</v>
      </c>
      <c r="G2111" s="70" t="s">
        <v>159</v>
      </c>
      <c r="H2111" s="70" t="str">
        <f t="shared" si="65"/>
        <v>QUI</v>
      </c>
    </row>
    <row r="2112" spans="1:8" ht="15" x14ac:dyDescent="0.25">
      <c r="A2112" s="88" t="s">
        <v>817</v>
      </c>
      <c r="B2112" s="88">
        <v>2008</v>
      </c>
      <c r="C2112" s="89" t="s">
        <v>922</v>
      </c>
      <c r="D2112" s="88" t="s">
        <v>160</v>
      </c>
      <c r="F2112" s="70">
        <f t="shared" si="64"/>
        <v>2008</v>
      </c>
      <c r="G2112" s="70" t="s">
        <v>159</v>
      </c>
      <c r="H2112" s="70" t="str">
        <f t="shared" si="65"/>
        <v>QUI</v>
      </c>
    </row>
    <row r="2113" spans="1:8" ht="15" x14ac:dyDescent="0.25">
      <c r="A2113" s="88" t="s">
        <v>817</v>
      </c>
      <c r="B2113" s="88">
        <v>2008</v>
      </c>
      <c r="C2113" s="89" t="s">
        <v>921</v>
      </c>
      <c r="D2113" s="88" t="s">
        <v>160</v>
      </c>
      <c r="F2113" s="70">
        <f t="shared" si="64"/>
        <v>2008</v>
      </c>
      <c r="G2113" s="70" t="s">
        <v>159</v>
      </c>
      <c r="H2113" s="70" t="str">
        <f t="shared" si="65"/>
        <v>QUI</v>
      </c>
    </row>
    <row r="2114" spans="1:8" ht="15" x14ac:dyDescent="0.25">
      <c r="A2114" s="88" t="s">
        <v>817</v>
      </c>
      <c r="B2114" s="88">
        <v>2008</v>
      </c>
      <c r="C2114" s="89" t="s">
        <v>920</v>
      </c>
      <c r="D2114" s="88" t="s">
        <v>160</v>
      </c>
      <c r="F2114" s="70">
        <f t="shared" si="64"/>
        <v>2008</v>
      </c>
      <c r="G2114" s="70" t="s">
        <v>159</v>
      </c>
      <c r="H2114" s="70" t="str">
        <f t="shared" si="65"/>
        <v>QUI</v>
      </c>
    </row>
    <row r="2115" spans="1:8" ht="15" x14ac:dyDescent="0.25">
      <c r="A2115" s="88" t="s">
        <v>817</v>
      </c>
      <c r="B2115" s="88">
        <v>2008</v>
      </c>
      <c r="C2115" s="89" t="s">
        <v>919</v>
      </c>
      <c r="D2115" s="88" t="s">
        <v>160</v>
      </c>
      <c r="F2115" s="70">
        <f t="shared" si="64"/>
        <v>2008</v>
      </c>
      <c r="G2115" s="70" t="s">
        <v>159</v>
      </c>
      <c r="H2115" s="70" t="str">
        <f t="shared" si="65"/>
        <v>QUI</v>
      </c>
    </row>
    <row r="2116" spans="1:8" ht="15" x14ac:dyDescent="0.25">
      <c r="A2116" s="88" t="s">
        <v>817</v>
      </c>
      <c r="B2116" s="88">
        <v>2008</v>
      </c>
      <c r="C2116" s="89" t="s">
        <v>918</v>
      </c>
      <c r="D2116" s="88" t="s">
        <v>160</v>
      </c>
      <c r="F2116" s="70">
        <f t="shared" si="64"/>
        <v>2008</v>
      </c>
      <c r="G2116" s="70" t="s">
        <v>159</v>
      </c>
      <c r="H2116" s="70" t="str">
        <f t="shared" si="65"/>
        <v>QUI</v>
      </c>
    </row>
    <row r="2117" spans="1:8" ht="15" x14ac:dyDescent="0.25">
      <c r="A2117" s="88" t="s">
        <v>817</v>
      </c>
      <c r="B2117" s="88">
        <v>2009</v>
      </c>
      <c r="C2117" s="89" t="s">
        <v>917</v>
      </c>
      <c r="D2117" s="88" t="s">
        <v>160</v>
      </c>
      <c r="F2117" s="70">
        <f t="shared" si="64"/>
        <v>2009</v>
      </c>
      <c r="G2117" s="70" t="s">
        <v>159</v>
      </c>
      <c r="H2117" s="70" t="str">
        <f t="shared" si="65"/>
        <v>QUI</v>
      </c>
    </row>
    <row r="2118" spans="1:8" ht="15" x14ac:dyDescent="0.25">
      <c r="A2118" s="88" t="s">
        <v>817</v>
      </c>
      <c r="B2118" s="88">
        <v>2009</v>
      </c>
      <c r="C2118" s="89" t="s">
        <v>916</v>
      </c>
      <c r="D2118" s="88" t="s">
        <v>160</v>
      </c>
      <c r="F2118" s="70">
        <f t="shared" si="64"/>
        <v>2009</v>
      </c>
      <c r="G2118" s="70" t="s">
        <v>159</v>
      </c>
      <c r="H2118" s="70" t="str">
        <f t="shared" si="65"/>
        <v>QUI</v>
      </c>
    </row>
    <row r="2119" spans="1:8" ht="15" x14ac:dyDescent="0.25">
      <c r="A2119" s="88" t="s">
        <v>817</v>
      </c>
      <c r="B2119" s="88">
        <v>2009</v>
      </c>
      <c r="C2119" s="89" t="s">
        <v>915</v>
      </c>
      <c r="D2119" s="88" t="s">
        <v>160</v>
      </c>
      <c r="F2119" s="70">
        <f t="shared" si="64"/>
        <v>2009</v>
      </c>
      <c r="G2119" s="70" t="s">
        <v>159</v>
      </c>
      <c r="H2119" s="70" t="str">
        <f t="shared" si="65"/>
        <v>QUI</v>
      </c>
    </row>
    <row r="2120" spans="1:8" ht="15" x14ac:dyDescent="0.25">
      <c r="A2120" s="88" t="s">
        <v>817</v>
      </c>
      <c r="B2120" s="88">
        <v>2009</v>
      </c>
      <c r="C2120" s="89" t="s">
        <v>914</v>
      </c>
      <c r="D2120" s="88" t="s">
        <v>160</v>
      </c>
      <c r="F2120" s="70">
        <f t="shared" ref="F2120:F2183" si="66">+B2120</f>
        <v>2009</v>
      </c>
      <c r="G2120" s="70" t="s">
        <v>159</v>
      </c>
      <c r="H2120" s="70" t="str">
        <f t="shared" ref="H2120:H2183" si="67">A2120</f>
        <v>QUI</v>
      </c>
    </row>
    <row r="2121" spans="1:8" ht="15" x14ac:dyDescent="0.25">
      <c r="A2121" s="88" t="s">
        <v>817</v>
      </c>
      <c r="B2121" s="88">
        <v>2009</v>
      </c>
      <c r="C2121" s="89" t="s">
        <v>913</v>
      </c>
      <c r="D2121" s="88" t="s">
        <v>160</v>
      </c>
      <c r="F2121" s="70">
        <f t="shared" si="66"/>
        <v>2009</v>
      </c>
      <c r="G2121" s="70" t="s">
        <v>159</v>
      </c>
      <c r="H2121" s="70" t="str">
        <f t="shared" si="67"/>
        <v>QUI</v>
      </c>
    </row>
    <row r="2122" spans="1:8" ht="15" x14ac:dyDescent="0.25">
      <c r="A2122" s="88" t="s">
        <v>817</v>
      </c>
      <c r="B2122" s="88">
        <v>2009</v>
      </c>
      <c r="C2122" s="89" t="s">
        <v>912</v>
      </c>
      <c r="D2122" s="88" t="s">
        <v>160</v>
      </c>
      <c r="F2122" s="70">
        <f t="shared" si="66"/>
        <v>2009</v>
      </c>
      <c r="G2122" s="70" t="s">
        <v>159</v>
      </c>
      <c r="H2122" s="70" t="str">
        <f t="shared" si="67"/>
        <v>QUI</v>
      </c>
    </row>
    <row r="2123" spans="1:8" ht="15" x14ac:dyDescent="0.25">
      <c r="A2123" s="88" t="s">
        <v>817</v>
      </c>
      <c r="B2123" s="88">
        <v>2009</v>
      </c>
      <c r="C2123" s="89" t="s">
        <v>911</v>
      </c>
      <c r="D2123" s="88" t="s">
        <v>160</v>
      </c>
      <c r="F2123" s="70">
        <f t="shared" si="66"/>
        <v>2009</v>
      </c>
      <c r="G2123" s="70" t="s">
        <v>159</v>
      </c>
      <c r="H2123" s="70" t="str">
        <f t="shared" si="67"/>
        <v>QUI</v>
      </c>
    </row>
    <row r="2124" spans="1:8" ht="15" x14ac:dyDescent="0.25">
      <c r="A2124" s="88" t="s">
        <v>817</v>
      </c>
      <c r="B2124" s="88">
        <v>2009</v>
      </c>
      <c r="C2124" s="89" t="s">
        <v>910</v>
      </c>
      <c r="D2124" s="88" t="s">
        <v>160</v>
      </c>
      <c r="F2124" s="70">
        <f t="shared" si="66"/>
        <v>2009</v>
      </c>
      <c r="G2124" s="70" t="s">
        <v>159</v>
      </c>
      <c r="H2124" s="70" t="str">
        <f t="shared" si="67"/>
        <v>QUI</v>
      </c>
    </row>
    <row r="2125" spans="1:8" ht="15" x14ac:dyDescent="0.25">
      <c r="A2125" s="88" t="s">
        <v>817</v>
      </c>
      <c r="B2125" s="88">
        <v>2009</v>
      </c>
      <c r="C2125" s="89" t="s">
        <v>909</v>
      </c>
      <c r="D2125" s="88" t="s">
        <v>160</v>
      </c>
      <c r="F2125" s="70">
        <f t="shared" si="66"/>
        <v>2009</v>
      </c>
      <c r="G2125" s="70" t="s">
        <v>159</v>
      </c>
      <c r="H2125" s="70" t="str">
        <f t="shared" si="67"/>
        <v>QUI</v>
      </c>
    </row>
    <row r="2126" spans="1:8" ht="15" x14ac:dyDescent="0.25">
      <c r="A2126" s="88" t="s">
        <v>817</v>
      </c>
      <c r="B2126" s="88">
        <v>2009</v>
      </c>
      <c r="C2126" s="89" t="s">
        <v>908</v>
      </c>
      <c r="D2126" s="88" t="s">
        <v>160</v>
      </c>
      <c r="F2126" s="70">
        <f t="shared" si="66"/>
        <v>2009</v>
      </c>
      <c r="G2126" s="70" t="s">
        <v>159</v>
      </c>
      <c r="H2126" s="70" t="str">
        <f t="shared" si="67"/>
        <v>QUI</v>
      </c>
    </row>
    <row r="2127" spans="1:8" ht="15" x14ac:dyDescent="0.25">
      <c r="A2127" s="88" t="s">
        <v>817</v>
      </c>
      <c r="B2127" s="88">
        <v>2009</v>
      </c>
      <c r="C2127" s="89" t="s">
        <v>907</v>
      </c>
      <c r="D2127" s="88" t="s">
        <v>160</v>
      </c>
      <c r="F2127" s="70">
        <f t="shared" si="66"/>
        <v>2009</v>
      </c>
      <c r="G2127" s="70" t="s">
        <v>159</v>
      </c>
      <c r="H2127" s="70" t="str">
        <f t="shared" si="67"/>
        <v>QUI</v>
      </c>
    </row>
    <row r="2128" spans="1:8" ht="15" x14ac:dyDescent="0.25">
      <c r="A2128" s="88" t="s">
        <v>817</v>
      </c>
      <c r="B2128" s="88">
        <v>2009</v>
      </c>
      <c r="C2128" s="89" t="s">
        <v>906</v>
      </c>
      <c r="D2128" s="88" t="s">
        <v>160</v>
      </c>
      <c r="F2128" s="70">
        <f t="shared" si="66"/>
        <v>2009</v>
      </c>
      <c r="G2128" s="70" t="s">
        <v>159</v>
      </c>
      <c r="H2128" s="70" t="str">
        <f t="shared" si="67"/>
        <v>QUI</v>
      </c>
    </row>
    <row r="2129" spans="1:8" ht="15" x14ac:dyDescent="0.25">
      <c r="A2129" s="88" t="s">
        <v>817</v>
      </c>
      <c r="B2129" s="88">
        <v>2009</v>
      </c>
      <c r="C2129" s="89" t="s">
        <v>905</v>
      </c>
      <c r="D2129" s="88" t="s">
        <v>160</v>
      </c>
      <c r="F2129" s="70">
        <f t="shared" si="66"/>
        <v>2009</v>
      </c>
      <c r="G2129" s="70" t="s">
        <v>159</v>
      </c>
      <c r="H2129" s="70" t="str">
        <f t="shared" si="67"/>
        <v>QUI</v>
      </c>
    </row>
    <row r="2130" spans="1:8" ht="15" x14ac:dyDescent="0.25">
      <c r="A2130" s="88" t="s">
        <v>817</v>
      </c>
      <c r="B2130" s="88">
        <v>2010</v>
      </c>
      <c r="C2130" s="89" t="s">
        <v>904</v>
      </c>
      <c r="D2130" s="88" t="s">
        <v>160</v>
      </c>
      <c r="F2130" s="70">
        <f t="shared" si="66"/>
        <v>2010</v>
      </c>
      <c r="G2130" s="70" t="s">
        <v>159</v>
      </c>
      <c r="H2130" s="70" t="str">
        <f t="shared" si="67"/>
        <v>QUI</v>
      </c>
    </row>
    <row r="2131" spans="1:8" ht="15" x14ac:dyDescent="0.25">
      <c r="A2131" s="88" t="s">
        <v>817</v>
      </c>
      <c r="B2131" s="88">
        <v>2010</v>
      </c>
      <c r="C2131" s="89" t="s">
        <v>903</v>
      </c>
      <c r="D2131" s="88" t="s">
        <v>160</v>
      </c>
      <c r="F2131" s="70">
        <f t="shared" si="66"/>
        <v>2010</v>
      </c>
      <c r="G2131" s="70" t="s">
        <v>159</v>
      </c>
      <c r="H2131" s="70" t="str">
        <f t="shared" si="67"/>
        <v>QUI</v>
      </c>
    </row>
    <row r="2132" spans="1:8" ht="15" x14ac:dyDescent="0.25">
      <c r="A2132" s="88" t="s">
        <v>817</v>
      </c>
      <c r="B2132" s="88">
        <v>2010</v>
      </c>
      <c r="C2132" s="89" t="s">
        <v>902</v>
      </c>
      <c r="D2132" s="88" t="s">
        <v>160</v>
      </c>
      <c r="F2132" s="70">
        <f t="shared" si="66"/>
        <v>2010</v>
      </c>
      <c r="G2132" s="70" t="s">
        <v>159</v>
      </c>
      <c r="H2132" s="70" t="str">
        <f t="shared" si="67"/>
        <v>QUI</v>
      </c>
    </row>
    <row r="2133" spans="1:8" ht="15" x14ac:dyDescent="0.25">
      <c r="A2133" s="88" t="s">
        <v>817</v>
      </c>
      <c r="B2133" s="88">
        <v>2010</v>
      </c>
      <c r="C2133" s="89" t="s">
        <v>901</v>
      </c>
      <c r="D2133" s="88" t="s">
        <v>160</v>
      </c>
      <c r="F2133" s="70">
        <f t="shared" si="66"/>
        <v>2010</v>
      </c>
      <c r="G2133" s="70" t="s">
        <v>159</v>
      </c>
      <c r="H2133" s="70" t="str">
        <f t="shared" si="67"/>
        <v>QUI</v>
      </c>
    </row>
    <row r="2134" spans="1:8" ht="15" x14ac:dyDescent="0.25">
      <c r="A2134" s="88" t="s">
        <v>817</v>
      </c>
      <c r="B2134" s="88">
        <v>2010</v>
      </c>
      <c r="C2134" s="89" t="s">
        <v>900</v>
      </c>
      <c r="D2134" s="88" t="s">
        <v>160</v>
      </c>
      <c r="F2134" s="70">
        <f t="shared" si="66"/>
        <v>2010</v>
      </c>
      <c r="G2134" s="70" t="s">
        <v>159</v>
      </c>
      <c r="H2134" s="70" t="str">
        <f t="shared" si="67"/>
        <v>QUI</v>
      </c>
    </row>
    <row r="2135" spans="1:8" ht="15" x14ac:dyDescent="0.25">
      <c r="A2135" s="88" t="s">
        <v>817</v>
      </c>
      <c r="B2135" s="88">
        <v>2010</v>
      </c>
      <c r="C2135" s="89" t="s">
        <v>899</v>
      </c>
      <c r="D2135" s="88" t="s">
        <v>160</v>
      </c>
      <c r="F2135" s="70">
        <f t="shared" si="66"/>
        <v>2010</v>
      </c>
      <c r="G2135" s="70" t="s">
        <v>159</v>
      </c>
      <c r="H2135" s="70" t="str">
        <f t="shared" si="67"/>
        <v>QUI</v>
      </c>
    </row>
    <row r="2136" spans="1:8" ht="15" x14ac:dyDescent="0.25">
      <c r="A2136" s="88" t="s">
        <v>817</v>
      </c>
      <c r="B2136" s="88">
        <v>2010</v>
      </c>
      <c r="C2136" s="89" t="s">
        <v>898</v>
      </c>
      <c r="D2136" s="88" t="s">
        <v>160</v>
      </c>
      <c r="F2136" s="70">
        <f t="shared" si="66"/>
        <v>2010</v>
      </c>
      <c r="G2136" s="70" t="s">
        <v>159</v>
      </c>
      <c r="H2136" s="70" t="str">
        <f t="shared" si="67"/>
        <v>QUI</v>
      </c>
    </row>
    <row r="2137" spans="1:8" ht="15" x14ac:dyDescent="0.25">
      <c r="A2137" s="88" t="s">
        <v>817</v>
      </c>
      <c r="B2137" s="88">
        <v>2010</v>
      </c>
      <c r="C2137" s="89" t="s">
        <v>897</v>
      </c>
      <c r="D2137" s="88" t="s">
        <v>160</v>
      </c>
      <c r="F2137" s="70">
        <f t="shared" si="66"/>
        <v>2010</v>
      </c>
      <c r="G2137" s="70" t="s">
        <v>159</v>
      </c>
      <c r="H2137" s="70" t="str">
        <f t="shared" si="67"/>
        <v>QUI</v>
      </c>
    </row>
    <row r="2138" spans="1:8" ht="15" x14ac:dyDescent="0.25">
      <c r="A2138" s="88" t="s">
        <v>817</v>
      </c>
      <c r="B2138" s="88">
        <v>2010</v>
      </c>
      <c r="C2138" s="89" t="s">
        <v>896</v>
      </c>
      <c r="D2138" s="88" t="s">
        <v>160</v>
      </c>
      <c r="F2138" s="70">
        <f t="shared" si="66"/>
        <v>2010</v>
      </c>
      <c r="G2138" s="70" t="s">
        <v>159</v>
      </c>
      <c r="H2138" s="70" t="str">
        <f t="shared" si="67"/>
        <v>QUI</v>
      </c>
    </row>
    <row r="2139" spans="1:8" ht="15" x14ac:dyDescent="0.25">
      <c r="A2139" s="88" t="s">
        <v>817</v>
      </c>
      <c r="B2139" s="88">
        <v>2010</v>
      </c>
      <c r="C2139" s="89" t="s">
        <v>895</v>
      </c>
      <c r="D2139" s="88" t="s">
        <v>160</v>
      </c>
      <c r="F2139" s="70">
        <f t="shared" si="66"/>
        <v>2010</v>
      </c>
      <c r="G2139" s="70" t="s">
        <v>159</v>
      </c>
      <c r="H2139" s="70" t="str">
        <f t="shared" si="67"/>
        <v>QUI</v>
      </c>
    </row>
    <row r="2140" spans="1:8" ht="15" x14ac:dyDescent="0.25">
      <c r="A2140" s="88" t="s">
        <v>817</v>
      </c>
      <c r="B2140" s="88">
        <v>2010</v>
      </c>
      <c r="C2140" s="89" t="s">
        <v>894</v>
      </c>
      <c r="D2140" s="88" t="s">
        <v>160</v>
      </c>
      <c r="F2140" s="70">
        <f t="shared" si="66"/>
        <v>2010</v>
      </c>
      <c r="G2140" s="70" t="s">
        <v>159</v>
      </c>
      <c r="H2140" s="70" t="str">
        <f t="shared" si="67"/>
        <v>QUI</v>
      </c>
    </row>
    <row r="2141" spans="1:8" ht="15" x14ac:dyDescent="0.25">
      <c r="A2141" s="88" t="s">
        <v>817</v>
      </c>
      <c r="B2141" s="88">
        <v>2011</v>
      </c>
      <c r="C2141" s="89" t="s">
        <v>893</v>
      </c>
      <c r="D2141" s="88" t="s">
        <v>160</v>
      </c>
      <c r="F2141" s="70">
        <f t="shared" si="66"/>
        <v>2011</v>
      </c>
      <c r="G2141" s="70" t="s">
        <v>159</v>
      </c>
      <c r="H2141" s="70" t="str">
        <f t="shared" si="67"/>
        <v>QUI</v>
      </c>
    </row>
    <row r="2142" spans="1:8" ht="15" x14ac:dyDescent="0.25">
      <c r="A2142" s="88" t="s">
        <v>817</v>
      </c>
      <c r="B2142" s="88">
        <v>2011</v>
      </c>
      <c r="C2142" s="89" t="s">
        <v>892</v>
      </c>
      <c r="D2142" s="88" t="s">
        <v>160</v>
      </c>
      <c r="F2142" s="70">
        <f t="shared" si="66"/>
        <v>2011</v>
      </c>
      <c r="G2142" s="70" t="s">
        <v>159</v>
      </c>
      <c r="H2142" s="70" t="str">
        <f t="shared" si="67"/>
        <v>QUI</v>
      </c>
    </row>
    <row r="2143" spans="1:8" ht="15" x14ac:dyDescent="0.25">
      <c r="A2143" s="88" t="s">
        <v>817</v>
      </c>
      <c r="B2143" s="88">
        <v>2011</v>
      </c>
      <c r="C2143" s="89" t="s">
        <v>891</v>
      </c>
      <c r="D2143" s="88" t="s">
        <v>160</v>
      </c>
      <c r="F2143" s="70">
        <f t="shared" si="66"/>
        <v>2011</v>
      </c>
      <c r="G2143" s="70" t="s">
        <v>159</v>
      </c>
      <c r="H2143" s="70" t="str">
        <f t="shared" si="67"/>
        <v>QUI</v>
      </c>
    </row>
    <row r="2144" spans="1:8" ht="15" x14ac:dyDescent="0.25">
      <c r="A2144" s="88" t="s">
        <v>817</v>
      </c>
      <c r="B2144" s="88">
        <v>2011</v>
      </c>
      <c r="C2144" s="89" t="s">
        <v>890</v>
      </c>
      <c r="D2144" s="88" t="s">
        <v>160</v>
      </c>
      <c r="F2144" s="70">
        <f t="shared" si="66"/>
        <v>2011</v>
      </c>
      <c r="G2144" s="70" t="s">
        <v>159</v>
      </c>
      <c r="H2144" s="70" t="str">
        <f t="shared" si="67"/>
        <v>QUI</v>
      </c>
    </row>
    <row r="2145" spans="1:8" ht="15" x14ac:dyDescent="0.25">
      <c r="A2145" s="88" t="s">
        <v>817</v>
      </c>
      <c r="B2145" s="88">
        <v>2011</v>
      </c>
      <c r="C2145" s="89" t="s">
        <v>889</v>
      </c>
      <c r="D2145" s="88" t="s">
        <v>160</v>
      </c>
      <c r="F2145" s="70">
        <f t="shared" si="66"/>
        <v>2011</v>
      </c>
      <c r="G2145" s="70" t="s">
        <v>159</v>
      </c>
      <c r="H2145" s="70" t="str">
        <f t="shared" si="67"/>
        <v>QUI</v>
      </c>
    </row>
    <row r="2146" spans="1:8" ht="15" x14ac:dyDescent="0.25">
      <c r="A2146" s="88" t="s">
        <v>817</v>
      </c>
      <c r="B2146" s="88">
        <v>2011</v>
      </c>
      <c r="C2146" s="89" t="s">
        <v>888</v>
      </c>
      <c r="D2146" s="88" t="s">
        <v>160</v>
      </c>
      <c r="F2146" s="70">
        <f t="shared" si="66"/>
        <v>2011</v>
      </c>
      <c r="G2146" s="70" t="s">
        <v>159</v>
      </c>
      <c r="H2146" s="70" t="str">
        <f t="shared" si="67"/>
        <v>QUI</v>
      </c>
    </row>
    <row r="2147" spans="1:8" ht="15" x14ac:dyDescent="0.25">
      <c r="A2147" s="88" t="s">
        <v>817</v>
      </c>
      <c r="B2147" s="88">
        <v>2011</v>
      </c>
      <c r="C2147" s="89" t="s">
        <v>887</v>
      </c>
      <c r="D2147" s="88" t="s">
        <v>160</v>
      </c>
      <c r="F2147" s="70">
        <f t="shared" si="66"/>
        <v>2011</v>
      </c>
      <c r="G2147" s="70" t="s">
        <v>159</v>
      </c>
      <c r="H2147" s="70" t="str">
        <f t="shared" si="67"/>
        <v>QUI</v>
      </c>
    </row>
    <row r="2148" spans="1:8" ht="15" x14ac:dyDescent="0.25">
      <c r="A2148" s="88" t="s">
        <v>817</v>
      </c>
      <c r="B2148" s="88">
        <v>2011</v>
      </c>
      <c r="C2148" s="89" t="s">
        <v>886</v>
      </c>
      <c r="D2148" s="88" t="s">
        <v>160</v>
      </c>
      <c r="F2148" s="70">
        <f t="shared" si="66"/>
        <v>2011</v>
      </c>
      <c r="G2148" s="70" t="s">
        <v>159</v>
      </c>
      <c r="H2148" s="70" t="str">
        <f t="shared" si="67"/>
        <v>QUI</v>
      </c>
    </row>
    <row r="2149" spans="1:8" ht="15" x14ac:dyDescent="0.25">
      <c r="A2149" s="88" t="s">
        <v>817</v>
      </c>
      <c r="B2149" s="88">
        <v>2011</v>
      </c>
      <c r="C2149" s="89" t="s">
        <v>885</v>
      </c>
      <c r="D2149" s="88" t="s">
        <v>160</v>
      </c>
      <c r="F2149" s="70">
        <f t="shared" si="66"/>
        <v>2011</v>
      </c>
      <c r="G2149" s="70" t="s">
        <v>159</v>
      </c>
      <c r="H2149" s="70" t="str">
        <f t="shared" si="67"/>
        <v>QUI</v>
      </c>
    </row>
    <row r="2150" spans="1:8" ht="15" x14ac:dyDescent="0.25">
      <c r="A2150" s="88" t="s">
        <v>817</v>
      </c>
      <c r="B2150" s="88">
        <v>2012</v>
      </c>
      <c r="C2150" s="89" t="s">
        <v>884</v>
      </c>
      <c r="D2150" s="88" t="s">
        <v>160</v>
      </c>
      <c r="F2150" s="70">
        <f t="shared" si="66"/>
        <v>2012</v>
      </c>
      <c r="G2150" s="70" t="s">
        <v>159</v>
      </c>
      <c r="H2150" s="70" t="str">
        <f t="shared" si="67"/>
        <v>QUI</v>
      </c>
    </row>
    <row r="2151" spans="1:8" ht="15" x14ac:dyDescent="0.25">
      <c r="A2151" s="88" t="s">
        <v>817</v>
      </c>
      <c r="B2151" s="88">
        <v>2012</v>
      </c>
      <c r="C2151" s="89" t="s">
        <v>883</v>
      </c>
      <c r="D2151" s="88" t="s">
        <v>160</v>
      </c>
      <c r="F2151" s="70">
        <f t="shared" si="66"/>
        <v>2012</v>
      </c>
      <c r="G2151" s="70" t="s">
        <v>159</v>
      </c>
      <c r="H2151" s="70" t="str">
        <f t="shared" si="67"/>
        <v>QUI</v>
      </c>
    </row>
    <row r="2152" spans="1:8" ht="15" x14ac:dyDescent="0.25">
      <c r="A2152" s="88" t="s">
        <v>817</v>
      </c>
      <c r="B2152" s="88">
        <v>2012</v>
      </c>
      <c r="C2152" s="89" t="s">
        <v>882</v>
      </c>
      <c r="D2152" s="88" t="s">
        <v>160</v>
      </c>
      <c r="F2152" s="70">
        <f t="shared" si="66"/>
        <v>2012</v>
      </c>
      <c r="G2152" s="70" t="s">
        <v>159</v>
      </c>
      <c r="H2152" s="70" t="str">
        <f t="shared" si="67"/>
        <v>QUI</v>
      </c>
    </row>
    <row r="2153" spans="1:8" ht="15" x14ac:dyDescent="0.25">
      <c r="A2153" s="88" t="s">
        <v>817</v>
      </c>
      <c r="B2153" s="88">
        <v>2012</v>
      </c>
      <c r="C2153" s="89" t="s">
        <v>881</v>
      </c>
      <c r="D2153" s="88" t="s">
        <v>160</v>
      </c>
      <c r="F2153" s="70">
        <f t="shared" si="66"/>
        <v>2012</v>
      </c>
      <c r="G2153" s="70" t="s">
        <v>159</v>
      </c>
      <c r="H2153" s="70" t="str">
        <f t="shared" si="67"/>
        <v>QUI</v>
      </c>
    </row>
    <row r="2154" spans="1:8" ht="15" x14ac:dyDescent="0.25">
      <c r="A2154" s="88" t="s">
        <v>817</v>
      </c>
      <c r="B2154" s="88">
        <v>2012</v>
      </c>
      <c r="C2154" s="89" t="s">
        <v>880</v>
      </c>
      <c r="D2154" s="88" t="s">
        <v>160</v>
      </c>
      <c r="F2154" s="70">
        <f t="shared" si="66"/>
        <v>2012</v>
      </c>
      <c r="G2154" s="70" t="s">
        <v>159</v>
      </c>
      <c r="H2154" s="70" t="str">
        <f t="shared" si="67"/>
        <v>QUI</v>
      </c>
    </row>
    <row r="2155" spans="1:8" ht="15" x14ac:dyDescent="0.25">
      <c r="A2155" s="88" t="s">
        <v>817</v>
      </c>
      <c r="B2155" s="88">
        <v>2012</v>
      </c>
      <c r="C2155" s="89" t="s">
        <v>879</v>
      </c>
      <c r="D2155" s="88" t="s">
        <v>160</v>
      </c>
      <c r="F2155" s="70">
        <f t="shared" si="66"/>
        <v>2012</v>
      </c>
      <c r="G2155" s="70" t="s">
        <v>159</v>
      </c>
      <c r="H2155" s="70" t="str">
        <f t="shared" si="67"/>
        <v>QUI</v>
      </c>
    </row>
    <row r="2156" spans="1:8" ht="15" x14ac:dyDescent="0.25">
      <c r="A2156" s="88" t="s">
        <v>817</v>
      </c>
      <c r="B2156" s="88">
        <v>2012</v>
      </c>
      <c r="C2156" s="89" t="s">
        <v>878</v>
      </c>
      <c r="D2156" s="88" t="s">
        <v>160</v>
      </c>
      <c r="F2156" s="70">
        <f t="shared" si="66"/>
        <v>2012</v>
      </c>
      <c r="G2156" s="70" t="s">
        <v>159</v>
      </c>
      <c r="H2156" s="70" t="str">
        <f t="shared" si="67"/>
        <v>QUI</v>
      </c>
    </row>
    <row r="2157" spans="1:8" ht="15" x14ac:dyDescent="0.25">
      <c r="A2157" s="88" t="s">
        <v>817</v>
      </c>
      <c r="B2157" s="88">
        <v>2012</v>
      </c>
      <c r="C2157" s="89" t="s">
        <v>877</v>
      </c>
      <c r="D2157" s="88" t="s">
        <v>160</v>
      </c>
      <c r="F2157" s="70">
        <f t="shared" si="66"/>
        <v>2012</v>
      </c>
      <c r="G2157" s="70" t="s">
        <v>159</v>
      </c>
      <c r="H2157" s="70" t="str">
        <f t="shared" si="67"/>
        <v>QUI</v>
      </c>
    </row>
    <row r="2158" spans="1:8" ht="15" x14ac:dyDescent="0.25">
      <c r="A2158" s="88" t="s">
        <v>817</v>
      </c>
      <c r="B2158" s="88">
        <v>2013</v>
      </c>
      <c r="C2158" s="76" t="s">
        <v>876</v>
      </c>
      <c r="D2158" s="89" t="s">
        <v>160</v>
      </c>
      <c r="F2158" s="70">
        <f t="shared" si="66"/>
        <v>2013</v>
      </c>
      <c r="G2158" s="70" t="s">
        <v>159</v>
      </c>
      <c r="H2158" s="70" t="str">
        <f t="shared" si="67"/>
        <v>QUI</v>
      </c>
    </row>
    <row r="2159" spans="1:8" ht="15" x14ac:dyDescent="0.25">
      <c r="A2159" s="88" t="s">
        <v>817</v>
      </c>
      <c r="B2159" s="88">
        <v>2013</v>
      </c>
      <c r="C2159" s="76" t="s">
        <v>875</v>
      </c>
      <c r="D2159" s="89" t="s">
        <v>160</v>
      </c>
      <c r="F2159" s="70">
        <f t="shared" si="66"/>
        <v>2013</v>
      </c>
      <c r="G2159" s="70" t="s">
        <v>159</v>
      </c>
      <c r="H2159" s="70" t="str">
        <f t="shared" si="67"/>
        <v>QUI</v>
      </c>
    </row>
    <row r="2160" spans="1:8" ht="15" x14ac:dyDescent="0.25">
      <c r="A2160" s="88" t="s">
        <v>817</v>
      </c>
      <c r="B2160" s="88">
        <v>2013</v>
      </c>
      <c r="C2160" s="76" t="s">
        <v>874</v>
      </c>
      <c r="D2160" s="89" t="s">
        <v>160</v>
      </c>
      <c r="F2160" s="70">
        <f t="shared" si="66"/>
        <v>2013</v>
      </c>
      <c r="G2160" s="70" t="s">
        <v>159</v>
      </c>
      <c r="H2160" s="70" t="str">
        <f t="shared" si="67"/>
        <v>QUI</v>
      </c>
    </row>
    <row r="2161" spans="1:8" ht="15" x14ac:dyDescent="0.25">
      <c r="A2161" s="88" t="s">
        <v>817</v>
      </c>
      <c r="B2161" s="88">
        <v>2013</v>
      </c>
      <c r="C2161" s="76" t="s">
        <v>873</v>
      </c>
      <c r="D2161" s="89" t="s">
        <v>160</v>
      </c>
      <c r="F2161" s="70">
        <f t="shared" si="66"/>
        <v>2013</v>
      </c>
      <c r="G2161" s="70" t="s">
        <v>159</v>
      </c>
      <c r="H2161" s="70" t="str">
        <f t="shared" si="67"/>
        <v>QUI</v>
      </c>
    </row>
    <row r="2162" spans="1:8" ht="15" x14ac:dyDescent="0.25">
      <c r="A2162" s="88" t="s">
        <v>817</v>
      </c>
      <c r="B2162" s="88">
        <v>2013</v>
      </c>
      <c r="C2162" s="76" t="s">
        <v>872</v>
      </c>
      <c r="D2162" s="89" t="s">
        <v>160</v>
      </c>
      <c r="F2162" s="70">
        <f t="shared" si="66"/>
        <v>2013</v>
      </c>
      <c r="G2162" s="70" t="s">
        <v>159</v>
      </c>
      <c r="H2162" s="70" t="str">
        <f t="shared" si="67"/>
        <v>QUI</v>
      </c>
    </row>
    <row r="2163" spans="1:8" ht="15" x14ac:dyDescent="0.25">
      <c r="A2163" s="88" t="s">
        <v>817</v>
      </c>
      <c r="B2163" s="88">
        <v>2013</v>
      </c>
      <c r="C2163" s="76" t="s">
        <v>871</v>
      </c>
      <c r="D2163" s="89" t="s">
        <v>160</v>
      </c>
      <c r="F2163" s="70">
        <f t="shared" si="66"/>
        <v>2013</v>
      </c>
      <c r="G2163" s="70" t="s">
        <v>159</v>
      </c>
      <c r="H2163" s="70" t="str">
        <f t="shared" si="67"/>
        <v>QUI</v>
      </c>
    </row>
    <row r="2164" spans="1:8" ht="15" x14ac:dyDescent="0.25">
      <c r="A2164" s="88" t="s">
        <v>817</v>
      </c>
      <c r="B2164" s="88">
        <v>2013</v>
      </c>
      <c r="C2164" s="76" t="s">
        <v>870</v>
      </c>
      <c r="D2164" s="89" t="s">
        <v>160</v>
      </c>
      <c r="F2164" s="70">
        <f t="shared" si="66"/>
        <v>2013</v>
      </c>
      <c r="G2164" s="70" t="s">
        <v>159</v>
      </c>
      <c r="H2164" s="70" t="str">
        <f t="shared" si="67"/>
        <v>QUI</v>
      </c>
    </row>
    <row r="2165" spans="1:8" ht="15" x14ac:dyDescent="0.25">
      <c r="A2165" s="88" t="s">
        <v>817</v>
      </c>
      <c r="B2165" s="88">
        <v>2013</v>
      </c>
      <c r="C2165" s="76" t="s">
        <v>869</v>
      </c>
      <c r="D2165" s="89" t="s">
        <v>160</v>
      </c>
      <c r="F2165" s="70">
        <f t="shared" si="66"/>
        <v>2013</v>
      </c>
      <c r="G2165" s="70" t="s">
        <v>159</v>
      </c>
      <c r="H2165" s="70" t="str">
        <f t="shared" si="67"/>
        <v>QUI</v>
      </c>
    </row>
    <row r="2166" spans="1:8" ht="15" x14ac:dyDescent="0.25">
      <c r="A2166" s="88" t="s">
        <v>817</v>
      </c>
      <c r="B2166" s="88">
        <v>2013</v>
      </c>
      <c r="C2166" s="76" t="s">
        <v>868</v>
      </c>
      <c r="D2166" s="89" t="s">
        <v>160</v>
      </c>
      <c r="F2166" s="70">
        <f t="shared" si="66"/>
        <v>2013</v>
      </c>
      <c r="G2166" s="70" t="s">
        <v>159</v>
      </c>
      <c r="H2166" s="70" t="str">
        <f t="shared" si="67"/>
        <v>QUI</v>
      </c>
    </row>
    <row r="2167" spans="1:8" ht="15" x14ac:dyDescent="0.25">
      <c r="A2167" s="88" t="s">
        <v>817</v>
      </c>
      <c r="B2167" s="88">
        <v>2013</v>
      </c>
      <c r="C2167" s="76" t="s">
        <v>867</v>
      </c>
      <c r="D2167" s="89" t="s">
        <v>160</v>
      </c>
      <c r="F2167" s="70">
        <f t="shared" si="66"/>
        <v>2013</v>
      </c>
      <c r="G2167" s="70" t="s">
        <v>159</v>
      </c>
      <c r="H2167" s="70" t="str">
        <f t="shared" si="67"/>
        <v>QUI</v>
      </c>
    </row>
    <row r="2168" spans="1:8" ht="15" x14ac:dyDescent="0.25">
      <c r="A2168" s="88" t="s">
        <v>817</v>
      </c>
      <c r="B2168" s="88">
        <v>2013</v>
      </c>
      <c r="C2168" s="76" t="s">
        <v>866</v>
      </c>
      <c r="D2168" s="89" t="s">
        <v>160</v>
      </c>
      <c r="F2168" s="70">
        <f t="shared" si="66"/>
        <v>2013</v>
      </c>
      <c r="G2168" s="70" t="s">
        <v>159</v>
      </c>
      <c r="H2168" s="70" t="str">
        <f t="shared" si="67"/>
        <v>QUI</v>
      </c>
    </row>
    <row r="2169" spans="1:8" ht="15" x14ac:dyDescent="0.25">
      <c r="A2169" s="88" t="s">
        <v>817</v>
      </c>
      <c r="B2169" s="88">
        <v>2013</v>
      </c>
      <c r="C2169" s="76" t="s">
        <v>865</v>
      </c>
      <c r="D2169" s="89" t="s">
        <v>160</v>
      </c>
      <c r="F2169" s="70">
        <f t="shared" si="66"/>
        <v>2013</v>
      </c>
      <c r="G2169" s="70" t="s">
        <v>159</v>
      </c>
      <c r="H2169" s="70" t="str">
        <f t="shared" si="67"/>
        <v>QUI</v>
      </c>
    </row>
    <row r="2170" spans="1:8" ht="15" x14ac:dyDescent="0.25">
      <c r="A2170" s="88" t="s">
        <v>817</v>
      </c>
      <c r="B2170" s="88">
        <v>2014</v>
      </c>
      <c r="C2170" s="76" t="s">
        <v>864</v>
      </c>
      <c r="D2170" s="89" t="s">
        <v>160</v>
      </c>
      <c r="F2170" s="70">
        <f t="shared" si="66"/>
        <v>2014</v>
      </c>
      <c r="G2170" s="70" t="s">
        <v>159</v>
      </c>
      <c r="H2170" s="70" t="str">
        <f t="shared" si="67"/>
        <v>QUI</v>
      </c>
    </row>
    <row r="2171" spans="1:8" ht="15" x14ac:dyDescent="0.25">
      <c r="A2171" s="88" t="s">
        <v>817</v>
      </c>
      <c r="B2171" s="88">
        <v>2014</v>
      </c>
      <c r="C2171" s="76" t="s">
        <v>863</v>
      </c>
      <c r="D2171" s="89" t="s">
        <v>160</v>
      </c>
      <c r="F2171" s="70">
        <f t="shared" si="66"/>
        <v>2014</v>
      </c>
      <c r="G2171" s="70" t="s">
        <v>159</v>
      </c>
      <c r="H2171" s="70" t="str">
        <f t="shared" si="67"/>
        <v>QUI</v>
      </c>
    </row>
    <row r="2172" spans="1:8" ht="15" x14ac:dyDescent="0.25">
      <c r="A2172" s="88" t="s">
        <v>817</v>
      </c>
      <c r="B2172" s="88">
        <v>2014</v>
      </c>
      <c r="C2172" s="76" t="s">
        <v>862</v>
      </c>
      <c r="D2172" s="89" t="s">
        <v>160</v>
      </c>
      <c r="F2172" s="70">
        <f t="shared" si="66"/>
        <v>2014</v>
      </c>
      <c r="G2172" s="70" t="s">
        <v>159</v>
      </c>
      <c r="H2172" s="70" t="str">
        <f t="shared" si="67"/>
        <v>QUI</v>
      </c>
    </row>
    <row r="2173" spans="1:8" ht="15" x14ac:dyDescent="0.25">
      <c r="A2173" s="88" t="s">
        <v>817</v>
      </c>
      <c r="B2173" s="88">
        <v>2014</v>
      </c>
      <c r="C2173" s="76" t="s">
        <v>861</v>
      </c>
      <c r="D2173" s="89" t="s">
        <v>160</v>
      </c>
      <c r="F2173" s="70">
        <f t="shared" si="66"/>
        <v>2014</v>
      </c>
      <c r="G2173" s="70" t="s">
        <v>159</v>
      </c>
      <c r="H2173" s="70" t="str">
        <f t="shared" si="67"/>
        <v>QUI</v>
      </c>
    </row>
    <row r="2174" spans="1:8" ht="15" x14ac:dyDescent="0.25">
      <c r="A2174" s="88" t="s">
        <v>817</v>
      </c>
      <c r="B2174" s="88">
        <v>2014</v>
      </c>
      <c r="C2174" s="76" t="s">
        <v>860</v>
      </c>
      <c r="D2174" s="89" t="s">
        <v>160</v>
      </c>
      <c r="F2174" s="70">
        <f t="shared" si="66"/>
        <v>2014</v>
      </c>
      <c r="G2174" s="70" t="s">
        <v>159</v>
      </c>
      <c r="H2174" s="70" t="str">
        <f t="shared" si="67"/>
        <v>QUI</v>
      </c>
    </row>
    <row r="2175" spans="1:8" ht="15" x14ac:dyDescent="0.25">
      <c r="A2175" s="88" t="s">
        <v>817</v>
      </c>
      <c r="B2175" s="88">
        <v>2014</v>
      </c>
      <c r="C2175" s="76" t="s">
        <v>859</v>
      </c>
      <c r="D2175" s="89" t="s">
        <v>160</v>
      </c>
      <c r="F2175" s="70">
        <f t="shared" si="66"/>
        <v>2014</v>
      </c>
      <c r="G2175" s="70" t="s">
        <v>159</v>
      </c>
      <c r="H2175" s="70" t="str">
        <f t="shared" si="67"/>
        <v>QUI</v>
      </c>
    </row>
    <row r="2176" spans="1:8" ht="15" x14ac:dyDescent="0.25">
      <c r="A2176" s="88" t="s">
        <v>817</v>
      </c>
      <c r="B2176" s="88">
        <v>2015</v>
      </c>
      <c r="C2176" s="76" t="s">
        <v>858</v>
      </c>
      <c r="D2176" s="89" t="s">
        <v>160</v>
      </c>
      <c r="F2176" s="70">
        <f t="shared" si="66"/>
        <v>2015</v>
      </c>
      <c r="G2176" s="70" t="s">
        <v>159</v>
      </c>
      <c r="H2176" s="70" t="str">
        <f t="shared" si="67"/>
        <v>QUI</v>
      </c>
    </row>
    <row r="2177" spans="1:8" ht="15" x14ac:dyDescent="0.25">
      <c r="A2177" s="88" t="s">
        <v>817</v>
      </c>
      <c r="B2177" s="88">
        <v>2015</v>
      </c>
      <c r="C2177" s="76" t="s">
        <v>857</v>
      </c>
      <c r="D2177" s="89" t="s">
        <v>160</v>
      </c>
      <c r="F2177" s="70">
        <f t="shared" si="66"/>
        <v>2015</v>
      </c>
      <c r="G2177" s="70" t="s">
        <v>159</v>
      </c>
      <c r="H2177" s="70" t="str">
        <f t="shared" si="67"/>
        <v>QUI</v>
      </c>
    </row>
    <row r="2178" spans="1:8" ht="15" x14ac:dyDescent="0.25">
      <c r="A2178" s="88" t="s">
        <v>817</v>
      </c>
      <c r="B2178" s="88">
        <v>2015</v>
      </c>
      <c r="C2178" s="76" t="s">
        <v>856</v>
      </c>
      <c r="D2178" s="89" t="s">
        <v>160</v>
      </c>
      <c r="F2178" s="70">
        <f t="shared" si="66"/>
        <v>2015</v>
      </c>
      <c r="G2178" s="70" t="s">
        <v>159</v>
      </c>
      <c r="H2178" s="70" t="str">
        <f t="shared" si="67"/>
        <v>QUI</v>
      </c>
    </row>
    <row r="2179" spans="1:8" ht="15" x14ac:dyDescent="0.25">
      <c r="A2179" s="88" t="s">
        <v>817</v>
      </c>
      <c r="B2179" s="88">
        <v>2015</v>
      </c>
      <c r="C2179" s="76" t="s">
        <v>855</v>
      </c>
      <c r="D2179" s="89" t="s">
        <v>160</v>
      </c>
      <c r="F2179" s="70">
        <f t="shared" si="66"/>
        <v>2015</v>
      </c>
      <c r="G2179" s="70" t="s">
        <v>159</v>
      </c>
      <c r="H2179" s="70" t="str">
        <f t="shared" si="67"/>
        <v>QUI</v>
      </c>
    </row>
    <row r="2180" spans="1:8" ht="15" x14ac:dyDescent="0.25">
      <c r="A2180" s="88" t="s">
        <v>817</v>
      </c>
      <c r="B2180" s="88">
        <v>2015</v>
      </c>
      <c r="C2180" s="76" t="s">
        <v>854</v>
      </c>
      <c r="D2180" s="89" t="s">
        <v>160</v>
      </c>
      <c r="F2180" s="70">
        <f t="shared" si="66"/>
        <v>2015</v>
      </c>
      <c r="G2180" s="70" t="s">
        <v>159</v>
      </c>
      <c r="H2180" s="70" t="str">
        <f t="shared" si="67"/>
        <v>QUI</v>
      </c>
    </row>
    <row r="2181" spans="1:8" ht="15" x14ac:dyDescent="0.25">
      <c r="A2181" s="88" t="s">
        <v>817</v>
      </c>
      <c r="B2181" s="88">
        <v>2015</v>
      </c>
      <c r="C2181" s="76" t="s">
        <v>853</v>
      </c>
      <c r="D2181" s="89" t="s">
        <v>160</v>
      </c>
      <c r="F2181" s="70">
        <f t="shared" si="66"/>
        <v>2015</v>
      </c>
      <c r="G2181" s="70" t="s">
        <v>159</v>
      </c>
      <c r="H2181" s="70" t="str">
        <f t="shared" si="67"/>
        <v>QUI</v>
      </c>
    </row>
    <row r="2182" spans="1:8" ht="15" x14ac:dyDescent="0.25">
      <c r="A2182" s="88" t="s">
        <v>817</v>
      </c>
      <c r="B2182" s="88">
        <v>2015</v>
      </c>
      <c r="C2182" s="76" t="s">
        <v>852</v>
      </c>
      <c r="D2182" s="89" t="s">
        <v>160</v>
      </c>
      <c r="F2182" s="70">
        <f t="shared" si="66"/>
        <v>2015</v>
      </c>
      <c r="G2182" s="70" t="s">
        <v>159</v>
      </c>
      <c r="H2182" s="70" t="str">
        <f t="shared" si="67"/>
        <v>QUI</v>
      </c>
    </row>
    <row r="2183" spans="1:8" ht="15" x14ac:dyDescent="0.25">
      <c r="A2183" s="88" t="s">
        <v>817</v>
      </c>
      <c r="B2183" s="88">
        <v>2015</v>
      </c>
      <c r="C2183" s="76" t="s">
        <v>851</v>
      </c>
      <c r="D2183" s="89" t="s">
        <v>160</v>
      </c>
      <c r="F2183" s="70">
        <f t="shared" si="66"/>
        <v>2015</v>
      </c>
      <c r="G2183" s="70" t="s">
        <v>159</v>
      </c>
      <c r="H2183" s="70" t="str">
        <f t="shared" si="67"/>
        <v>QUI</v>
      </c>
    </row>
    <row r="2184" spans="1:8" ht="15" x14ac:dyDescent="0.25">
      <c r="A2184" s="88" t="s">
        <v>817</v>
      </c>
      <c r="B2184" s="88">
        <v>2015</v>
      </c>
      <c r="C2184" s="76" t="s">
        <v>850</v>
      </c>
      <c r="D2184" s="89" t="s">
        <v>160</v>
      </c>
      <c r="F2184" s="70">
        <f t="shared" ref="F2184:F2247" si="68">+B2184</f>
        <v>2015</v>
      </c>
      <c r="G2184" s="70" t="s">
        <v>159</v>
      </c>
      <c r="H2184" s="70" t="str">
        <f t="shared" ref="H2184:H2247" si="69">A2184</f>
        <v>QUI</v>
      </c>
    </row>
    <row r="2185" spans="1:8" ht="15" x14ac:dyDescent="0.25">
      <c r="A2185" s="88" t="s">
        <v>817</v>
      </c>
      <c r="B2185" s="88">
        <v>2015</v>
      </c>
      <c r="C2185" s="76" t="s">
        <v>849</v>
      </c>
      <c r="D2185" s="89" t="s">
        <v>160</v>
      </c>
      <c r="F2185" s="70">
        <f t="shared" si="68"/>
        <v>2015</v>
      </c>
      <c r="G2185" s="70" t="s">
        <v>159</v>
      </c>
      <c r="H2185" s="70" t="str">
        <f t="shared" si="69"/>
        <v>QUI</v>
      </c>
    </row>
    <row r="2186" spans="1:8" ht="15" x14ac:dyDescent="0.25">
      <c r="A2186" s="88" t="s">
        <v>817</v>
      </c>
      <c r="B2186" s="88">
        <v>2015</v>
      </c>
      <c r="C2186" s="76" t="s">
        <v>848</v>
      </c>
      <c r="D2186" s="89" t="s">
        <v>160</v>
      </c>
      <c r="F2186" s="70">
        <f t="shared" si="68"/>
        <v>2015</v>
      </c>
      <c r="G2186" s="70" t="s">
        <v>159</v>
      </c>
      <c r="H2186" s="70" t="str">
        <f t="shared" si="69"/>
        <v>QUI</v>
      </c>
    </row>
    <row r="2187" spans="1:8" ht="15" x14ac:dyDescent="0.25">
      <c r="A2187" s="88" t="s">
        <v>817</v>
      </c>
      <c r="B2187" s="88">
        <v>2015</v>
      </c>
      <c r="C2187" s="76" t="s">
        <v>847</v>
      </c>
      <c r="D2187" s="89" t="s">
        <v>160</v>
      </c>
      <c r="F2187" s="70">
        <f t="shared" si="68"/>
        <v>2015</v>
      </c>
      <c r="G2187" s="70" t="s">
        <v>159</v>
      </c>
      <c r="H2187" s="70" t="str">
        <f t="shared" si="69"/>
        <v>QUI</v>
      </c>
    </row>
    <row r="2188" spans="1:8" ht="15" x14ac:dyDescent="0.25">
      <c r="A2188" s="88" t="s">
        <v>817</v>
      </c>
      <c r="B2188" s="88">
        <v>2015</v>
      </c>
      <c r="C2188" s="76" t="s">
        <v>846</v>
      </c>
      <c r="D2188" s="89" t="s">
        <v>160</v>
      </c>
      <c r="F2188" s="70">
        <f t="shared" si="68"/>
        <v>2015</v>
      </c>
      <c r="G2188" s="70" t="s">
        <v>159</v>
      </c>
      <c r="H2188" s="70" t="str">
        <f t="shared" si="69"/>
        <v>QUI</v>
      </c>
    </row>
    <row r="2189" spans="1:8" ht="15" x14ac:dyDescent="0.25">
      <c r="A2189" s="88" t="s">
        <v>817</v>
      </c>
      <c r="B2189" s="88">
        <v>2016</v>
      </c>
      <c r="C2189" s="76" t="s">
        <v>845</v>
      </c>
      <c r="D2189" s="89" t="s">
        <v>160</v>
      </c>
      <c r="F2189" s="70">
        <f t="shared" si="68"/>
        <v>2016</v>
      </c>
      <c r="G2189" s="70" t="s">
        <v>159</v>
      </c>
      <c r="H2189" s="70" t="str">
        <f t="shared" si="69"/>
        <v>QUI</v>
      </c>
    </row>
    <row r="2190" spans="1:8" ht="15" x14ac:dyDescent="0.25">
      <c r="A2190" s="88" t="s">
        <v>817</v>
      </c>
      <c r="B2190" s="88">
        <v>2016</v>
      </c>
      <c r="C2190" s="76" t="s">
        <v>844</v>
      </c>
      <c r="D2190" s="89" t="s">
        <v>160</v>
      </c>
      <c r="F2190" s="70">
        <f t="shared" si="68"/>
        <v>2016</v>
      </c>
      <c r="G2190" s="70" t="s">
        <v>159</v>
      </c>
      <c r="H2190" s="70" t="str">
        <f t="shared" si="69"/>
        <v>QUI</v>
      </c>
    </row>
    <row r="2191" spans="1:8" ht="15" x14ac:dyDescent="0.25">
      <c r="A2191" s="88" t="s">
        <v>817</v>
      </c>
      <c r="B2191" s="88">
        <v>2016</v>
      </c>
      <c r="C2191" s="76" t="s">
        <v>843</v>
      </c>
      <c r="D2191" s="89" t="s">
        <v>160</v>
      </c>
      <c r="F2191" s="70">
        <f t="shared" si="68"/>
        <v>2016</v>
      </c>
      <c r="G2191" s="70" t="s">
        <v>159</v>
      </c>
      <c r="H2191" s="70" t="str">
        <f t="shared" si="69"/>
        <v>QUI</v>
      </c>
    </row>
    <row r="2192" spans="1:8" ht="15" x14ac:dyDescent="0.25">
      <c r="A2192" s="88" t="s">
        <v>817</v>
      </c>
      <c r="B2192" s="88">
        <v>2016</v>
      </c>
      <c r="C2192" s="76" t="s">
        <v>842</v>
      </c>
      <c r="D2192" s="89" t="s">
        <v>160</v>
      </c>
      <c r="F2192" s="70">
        <f t="shared" si="68"/>
        <v>2016</v>
      </c>
      <c r="G2192" s="70" t="s">
        <v>159</v>
      </c>
      <c r="H2192" s="70" t="str">
        <f t="shared" si="69"/>
        <v>QUI</v>
      </c>
    </row>
    <row r="2193" spans="1:8" ht="15" x14ac:dyDescent="0.25">
      <c r="A2193" s="88" t="s">
        <v>817</v>
      </c>
      <c r="B2193" s="88">
        <v>2016</v>
      </c>
      <c r="C2193" s="76" t="s">
        <v>841</v>
      </c>
      <c r="D2193" s="89" t="s">
        <v>160</v>
      </c>
      <c r="F2193" s="70">
        <f t="shared" si="68"/>
        <v>2016</v>
      </c>
      <c r="G2193" s="70" t="s">
        <v>159</v>
      </c>
      <c r="H2193" s="70" t="str">
        <f t="shared" si="69"/>
        <v>QUI</v>
      </c>
    </row>
    <row r="2194" spans="1:8" ht="15" x14ac:dyDescent="0.25">
      <c r="A2194" s="88" t="s">
        <v>817</v>
      </c>
      <c r="B2194" s="88">
        <v>2016</v>
      </c>
      <c r="C2194" s="76" t="s">
        <v>840</v>
      </c>
      <c r="D2194" s="89" t="s">
        <v>160</v>
      </c>
      <c r="F2194" s="70">
        <f t="shared" si="68"/>
        <v>2016</v>
      </c>
      <c r="G2194" s="70" t="s">
        <v>159</v>
      </c>
      <c r="H2194" s="70" t="str">
        <f t="shared" si="69"/>
        <v>QUI</v>
      </c>
    </row>
    <row r="2195" spans="1:8" ht="15" x14ac:dyDescent="0.25">
      <c r="A2195" s="88" t="s">
        <v>817</v>
      </c>
      <c r="B2195" s="88">
        <v>2016</v>
      </c>
      <c r="C2195" s="76" t="s">
        <v>839</v>
      </c>
      <c r="D2195" s="89" t="s">
        <v>160</v>
      </c>
      <c r="F2195" s="70">
        <f t="shared" si="68"/>
        <v>2016</v>
      </c>
      <c r="G2195" s="70" t="s">
        <v>159</v>
      </c>
      <c r="H2195" s="70" t="str">
        <f t="shared" si="69"/>
        <v>QUI</v>
      </c>
    </row>
    <row r="2196" spans="1:8" ht="15" x14ac:dyDescent="0.25">
      <c r="A2196" s="88" t="s">
        <v>817</v>
      </c>
      <c r="B2196" s="88">
        <v>2016</v>
      </c>
      <c r="C2196" s="76" t="s">
        <v>838</v>
      </c>
      <c r="D2196" s="89" t="s">
        <v>160</v>
      </c>
      <c r="F2196" s="70">
        <f t="shared" si="68"/>
        <v>2016</v>
      </c>
      <c r="G2196" s="70" t="s">
        <v>159</v>
      </c>
      <c r="H2196" s="70" t="str">
        <f t="shared" si="69"/>
        <v>QUI</v>
      </c>
    </row>
    <row r="2197" spans="1:8" ht="15" x14ac:dyDescent="0.25">
      <c r="A2197" s="88" t="s">
        <v>817</v>
      </c>
      <c r="B2197" s="88">
        <v>2016</v>
      </c>
      <c r="C2197" s="76" t="s">
        <v>837</v>
      </c>
      <c r="D2197" s="89" t="s">
        <v>160</v>
      </c>
      <c r="F2197" s="70">
        <f t="shared" si="68"/>
        <v>2016</v>
      </c>
      <c r="G2197" s="70" t="s">
        <v>159</v>
      </c>
      <c r="H2197" s="70" t="str">
        <f t="shared" si="69"/>
        <v>QUI</v>
      </c>
    </row>
    <row r="2198" spans="1:8" ht="15" x14ac:dyDescent="0.25">
      <c r="A2198" s="78" t="s">
        <v>817</v>
      </c>
      <c r="B2198" s="78">
        <v>2016</v>
      </c>
      <c r="C2198" s="92" t="s">
        <v>836</v>
      </c>
      <c r="D2198" s="91" t="s">
        <v>160</v>
      </c>
      <c r="F2198" s="70">
        <f t="shared" si="68"/>
        <v>2016</v>
      </c>
      <c r="G2198" s="70" t="s">
        <v>159</v>
      </c>
      <c r="H2198" s="70" t="str">
        <f t="shared" si="69"/>
        <v>QUI</v>
      </c>
    </row>
    <row r="2199" spans="1:8" ht="15" x14ac:dyDescent="0.25">
      <c r="A2199" s="78" t="s">
        <v>817</v>
      </c>
      <c r="B2199" s="78">
        <v>2017</v>
      </c>
      <c r="C2199" s="92" t="s">
        <v>835</v>
      </c>
      <c r="D2199" s="91" t="s">
        <v>160</v>
      </c>
      <c r="F2199" s="70">
        <f t="shared" si="68"/>
        <v>2017</v>
      </c>
      <c r="G2199" s="70" t="s">
        <v>159</v>
      </c>
      <c r="H2199" s="70" t="str">
        <f t="shared" si="69"/>
        <v>QUI</v>
      </c>
    </row>
    <row r="2200" spans="1:8" ht="15" x14ac:dyDescent="0.25">
      <c r="A2200" s="78" t="s">
        <v>817</v>
      </c>
      <c r="B2200" s="78">
        <v>2017</v>
      </c>
      <c r="C2200" s="92" t="s">
        <v>834</v>
      </c>
      <c r="D2200" s="91" t="s">
        <v>160</v>
      </c>
      <c r="F2200" s="70">
        <f t="shared" si="68"/>
        <v>2017</v>
      </c>
      <c r="G2200" s="70" t="s">
        <v>159</v>
      </c>
      <c r="H2200" s="70" t="str">
        <f t="shared" si="69"/>
        <v>QUI</v>
      </c>
    </row>
    <row r="2201" spans="1:8" ht="15" x14ac:dyDescent="0.25">
      <c r="A2201" s="78" t="s">
        <v>817</v>
      </c>
      <c r="B2201" s="78">
        <v>2017</v>
      </c>
      <c r="C2201" s="92" t="s">
        <v>833</v>
      </c>
      <c r="D2201" s="91" t="s">
        <v>160</v>
      </c>
      <c r="F2201" s="70">
        <f t="shared" si="68"/>
        <v>2017</v>
      </c>
      <c r="G2201" s="70" t="s">
        <v>159</v>
      </c>
      <c r="H2201" s="70" t="str">
        <f t="shared" si="69"/>
        <v>QUI</v>
      </c>
    </row>
    <row r="2202" spans="1:8" ht="15" x14ac:dyDescent="0.25">
      <c r="A2202" s="78" t="s">
        <v>817</v>
      </c>
      <c r="B2202" s="78">
        <v>2017</v>
      </c>
      <c r="C2202" s="92" t="s">
        <v>832</v>
      </c>
      <c r="D2202" s="91" t="s">
        <v>160</v>
      </c>
      <c r="F2202" s="70">
        <f t="shared" si="68"/>
        <v>2017</v>
      </c>
      <c r="G2202" s="70" t="s">
        <v>159</v>
      </c>
      <c r="H2202" s="70" t="str">
        <f t="shared" si="69"/>
        <v>QUI</v>
      </c>
    </row>
    <row r="2203" spans="1:8" ht="15" x14ac:dyDescent="0.25">
      <c r="A2203" s="78" t="s">
        <v>817</v>
      </c>
      <c r="B2203" s="78">
        <v>2017</v>
      </c>
      <c r="C2203" s="92" t="s">
        <v>831</v>
      </c>
      <c r="D2203" s="91" t="s">
        <v>160</v>
      </c>
      <c r="F2203" s="70">
        <f t="shared" si="68"/>
        <v>2017</v>
      </c>
      <c r="G2203" s="70" t="s">
        <v>159</v>
      </c>
      <c r="H2203" s="70" t="str">
        <f t="shared" si="69"/>
        <v>QUI</v>
      </c>
    </row>
    <row r="2204" spans="1:8" ht="15" x14ac:dyDescent="0.25">
      <c r="A2204" s="78" t="s">
        <v>817</v>
      </c>
      <c r="B2204" s="78">
        <v>2017</v>
      </c>
      <c r="C2204" s="92" t="s">
        <v>830</v>
      </c>
      <c r="D2204" s="91" t="s">
        <v>160</v>
      </c>
      <c r="F2204" s="70">
        <f t="shared" si="68"/>
        <v>2017</v>
      </c>
      <c r="G2204" s="70" t="s">
        <v>159</v>
      </c>
      <c r="H2204" s="70" t="str">
        <f t="shared" si="69"/>
        <v>QUI</v>
      </c>
    </row>
    <row r="2205" spans="1:8" ht="15" x14ac:dyDescent="0.25">
      <c r="A2205" s="78" t="s">
        <v>817</v>
      </c>
      <c r="B2205" s="78">
        <v>2017</v>
      </c>
      <c r="C2205" s="92" t="s">
        <v>829</v>
      </c>
      <c r="D2205" s="91" t="s">
        <v>160</v>
      </c>
      <c r="F2205" s="70">
        <f t="shared" si="68"/>
        <v>2017</v>
      </c>
      <c r="G2205" s="70" t="s">
        <v>159</v>
      </c>
      <c r="H2205" s="70" t="str">
        <f t="shared" si="69"/>
        <v>QUI</v>
      </c>
    </row>
    <row r="2206" spans="1:8" ht="15" x14ac:dyDescent="0.25">
      <c r="A2206" s="78" t="s">
        <v>817</v>
      </c>
      <c r="B2206" s="78">
        <v>2017</v>
      </c>
      <c r="C2206" s="92" t="s">
        <v>828</v>
      </c>
      <c r="D2206" s="91" t="s">
        <v>160</v>
      </c>
      <c r="F2206" s="70">
        <f t="shared" si="68"/>
        <v>2017</v>
      </c>
      <c r="G2206" s="70" t="s">
        <v>159</v>
      </c>
      <c r="H2206" s="70" t="str">
        <f t="shared" si="69"/>
        <v>QUI</v>
      </c>
    </row>
    <row r="2207" spans="1:8" ht="15" x14ac:dyDescent="0.25">
      <c r="A2207" s="78" t="s">
        <v>817</v>
      </c>
      <c r="B2207" s="78">
        <v>2017</v>
      </c>
      <c r="C2207" s="92" t="s">
        <v>827</v>
      </c>
      <c r="D2207" s="91" t="s">
        <v>160</v>
      </c>
      <c r="F2207" s="70">
        <f t="shared" si="68"/>
        <v>2017</v>
      </c>
      <c r="G2207" s="70" t="s">
        <v>159</v>
      </c>
      <c r="H2207" s="70" t="str">
        <f t="shared" si="69"/>
        <v>QUI</v>
      </c>
    </row>
    <row r="2208" spans="1:8" ht="15" x14ac:dyDescent="0.25">
      <c r="A2208" s="78" t="s">
        <v>817</v>
      </c>
      <c r="B2208" s="78">
        <v>2017</v>
      </c>
      <c r="C2208" s="92" t="s">
        <v>826</v>
      </c>
      <c r="D2208" s="91" t="s">
        <v>160</v>
      </c>
      <c r="F2208" s="70">
        <f t="shared" si="68"/>
        <v>2017</v>
      </c>
      <c r="G2208" s="70" t="s">
        <v>159</v>
      </c>
      <c r="H2208" s="70" t="str">
        <f t="shared" si="69"/>
        <v>QUI</v>
      </c>
    </row>
    <row r="2209" spans="1:8" ht="15" x14ac:dyDescent="0.25">
      <c r="A2209" s="78" t="s">
        <v>817</v>
      </c>
      <c r="B2209" s="78">
        <v>2017</v>
      </c>
      <c r="C2209" s="92" t="s">
        <v>825</v>
      </c>
      <c r="D2209" s="91" t="s">
        <v>160</v>
      </c>
      <c r="F2209" s="70">
        <f t="shared" si="68"/>
        <v>2017</v>
      </c>
      <c r="G2209" s="70" t="s">
        <v>159</v>
      </c>
      <c r="H2209" s="70" t="str">
        <f t="shared" si="69"/>
        <v>QUI</v>
      </c>
    </row>
    <row r="2210" spans="1:8" ht="15" x14ac:dyDescent="0.25">
      <c r="A2210" s="81" t="s">
        <v>817</v>
      </c>
      <c r="B2210" s="81">
        <v>2018</v>
      </c>
      <c r="C2210" s="90" t="s">
        <v>824</v>
      </c>
      <c r="D2210" s="71" t="s">
        <v>160</v>
      </c>
      <c r="F2210" s="70">
        <f t="shared" si="68"/>
        <v>2018</v>
      </c>
      <c r="G2210" s="70" t="s">
        <v>159</v>
      </c>
      <c r="H2210" s="70" t="str">
        <f t="shared" si="69"/>
        <v>QUI</v>
      </c>
    </row>
    <row r="2211" spans="1:8" ht="15" x14ac:dyDescent="0.25">
      <c r="A2211" s="81" t="s">
        <v>817</v>
      </c>
      <c r="B2211" s="81">
        <v>2018</v>
      </c>
      <c r="C2211" s="90" t="s">
        <v>823</v>
      </c>
      <c r="D2211" s="71" t="s">
        <v>160</v>
      </c>
      <c r="F2211" s="70">
        <f t="shared" si="68"/>
        <v>2018</v>
      </c>
      <c r="G2211" s="70" t="s">
        <v>159</v>
      </c>
      <c r="H2211" s="70" t="str">
        <f t="shared" si="69"/>
        <v>QUI</v>
      </c>
    </row>
    <row r="2212" spans="1:8" ht="15" x14ac:dyDescent="0.25">
      <c r="A2212" s="81" t="s">
        <v>817</v>
      </c>
      <c r="B2212" s="81">
        <v>2018</v>
      </c>
      <c r="C2212" s="90" t="s">
        <v>822</v>
      </c>
      <c r="D2212" s="71" t="s">
        <v>160</v>
      </c>
      <c r="F2212" s="70">
        <f t="shared" si="68"/>
        <v>2018</v>
      </c>
      <c r="G2212" s="70" t="s">
        <v>159</v>
      </c>
      <c r="H2212" s="70" t="str">
        <f t="shared" si="69"/>
        <v>QUI</v>
      </c>
    </row>
    <row r="2213" spans="1:8" ht="15" x14ac:dyDescent="0.25">
      <c r="A2213" s="81" t="s">
        <v>817</v>
      </c>
      <c r="B2213" s="81">
        <v>2018</v>
      </c>
      <c r="C2213" s="90" t="s">
        <v>821</v>
      </c>
      <c r="D2213" s="71" t="s">
        <v>160</v>
      </c>
      <c r="F2213" s="70">
        <f t="shared" si="68"/>
        <v>2018</v>
      </c>
      <c r="G2213" s="70" t="s">
        <v>159</v>
      </c>
      <c r="H2213" s="70" t="str">
        <f t="shared" si="69"/>
        <v>QUI</v>
      </c>
    </row>
    <row r="2214" spans="1:8" ht="15" x14ac:dyDescent="0.25">
      <c r="A2214" s="81" t="s">
        <v>817</v>
      </c>
      <c r="B2214" s="81">
        <v>2018</v>
      </c>
      <c r="C2214" s="90" t="s">
        <v>820</v>
      </c>
      <c r="D2214" s="71" t="s">
        <v>160</v>
      </c>
      <c r="F2214" s="70">
        <f t="shared" si="68"/>
        <v>2018</v>
      </c>
      <c r="G2214" s="70" t="s">
        <v>159</v>
      </c>
      <c r="H2214" s="70" t="str">
        <f t="shared" si="69"/>
        <v>QUI</v>
      </c>
    </row>
    <row r="2215" spans="1:8" ht="15" x14ac:dyDescent="0.25">
      <c r="A2215" s="81" t="s">
        <v>817</v>
      </c>
      <c r="B2215" s="81">
        <v>2018</v>
      </c>
      <c r="C2215" s="90" t="s">
        <v>819</v>
      </c>
      <c r="D2215" s="71" t="s">
        <v>160</v>
      </c>
      <c r="F2215" s="70">
        <f t="shared" si="68"/>
        <v>2018</v>
      </c>
      <c r="G2215" s="70" t="s">
        <v>159</v>
      </c>
      <c r="H2215" s="70" t="str">
        <f t="shared" si="69"/>
        <v>QUI</v>
      </c>
    </row>
    <row r="2216" spans="1:8" ht="15" x14ac:dyDescent="0.25">
      <c r="A2216" s="81" t="s">
        <v>817</v>
      </c>
      <c r="B2216" s="81">
        <v>2018</v>
      </c>
      <c r="C2216" s="90" t="s">
        <v>818</v>
      </c>
      <c r="D2216" s="71" t="s">
        <v>160</v>
      </c>
      <c r="F2216" s="70">
        <f t="shared" si="68"/>
        <v>2018</v>
      </c>
      <c r="G2216" s="70" t="s">
        <v>159</v>
      </c>
      <c r="H2216" s="70" t="str">
        <f t="shared" si="69"/>
        <v>QUI</v>
      </c>
    </row>
    <row r="2217" spans="1:8" ht="15" x14ac:dyDescent="0.25">
      <c r="A2217" s="81" t="s">
        <v>817</v>
      </c>
      <c r="B2217" s="81">
        <v>2018</v>
      </c>
      <c r="C2217" s="90" t="s">
        <v>816</v>
      </c>
      <c r="D2217" s="71" t="s">
        <v>160</v>
      </c>
      <c r="F2217" s="70">
        <f t="shared" si="68"/>
        <v>2018</v>
      </c>
      <c r="G2217" s="70" t="s">
        <v>159</v>
      </c>
      <c r="H2217" s="70" t="str">
        <f t="shared" si="69"/>
        <v>QUI</v>
      </c>
    </row>
    <row r="2218" spans="1:8" ht="15" x14ac:dyDescent="0.25">
      <c r="A2218" s="88" t="s">
        <v>212</v>
      </c>
      <c r="B2218" s="88">
        <v>1973</v>
      </c>
      <c r="C2218" s="89" t="s">
        <v>815</v>
      </c>
      <c r="D2218" s="88" t="s">
        <v>160</v>
      </c>
      <c r="F2218" s="70">
        <f t="shared" si="68"/>
        <v>1973</v>
      </c>
      <c r="G2218" s="70" t="s">
        <v>159</v>
      </c>
      <c r="H2218" s="70" t="str">
        <f t="shared" si="69"/>
        <v>RBT</v>
      </c>
    </row>
    <row r="2219" spans="1:8" ht="15" x14ac:dyDescent="0.25">
      <c r="A2219" s="88" t="s">
        <v>212</v>
      </c>
      <c r="B2219" s="88">
        <v>1973</v>
      </c>
      <c r="C2219" s="89" t="s">
        <v>814</v>
      </c>
      <c r="D2219" s="88" t="s">
        <v>160</v>
      </c>
      <c r="F2219" s="70">
        <f t="shared" si="68"/>
        <v>1973</v>
      </c>
      <c r="G2219" s="70" t="s">
        <v>159</v>
      </c>
      <c r="H2219" s="70" t="str">
        <f t="shared" si="69"/>
        <v>RBT</v>
      </c>
    </row>
    <row r="2220" spans="1:8" ht="15" x14ac:dyDescent="0.25">
      <c r="A2220" s="88" t="s">
        <v>212</v>
      </c>
      <c r="B2220" s="88">
        <v>1973</v>
      </c>
      <c r="C2220" s="89" t="s">
        <v>813</v>
      </c>
      <c r="D2220" s="88" t="s">
        <v>160</v>
      </c>
      <c r="F2220" s="70">
        <f t="shared" si="68"/>
        <v>1973</v>
      </c>
      <c r="G2220" s="70" t="s">
        <v>159</v>
      </c>
      <c r="H2220" s="70" t="str">
        <f t="shared" si="69"/>
        <v>RBT</v>
      </c>
    </row>
    <row r="2221" spans="1:8" ht="15" x14ac:dyDescent="0.25">
      <c r="A2221" s="88" t="s">
        <v>212</v>
      </c>
      <c r="B2221" s="88">
        <v>1973</v>
      </c>
      <c r="C2221" s="89" t="s">
        <v>812</v>
      </c>
      <c r="D2221" s="88" t="s">
        <v>160</v>
      </c>
      <c r="F2221" s="70">
        <f t="shared" si="68"/>
        <v>1973</v>
      </c>
      <c r="G2221" s="70" t="s">
        <v>159</v>
      </c>
      <c r="H2221" s="70" t="str">
        <f t="shared" si="69"/>
        <v>RBT</v>
      </c>
    </row>
    <row r="2222" spans="1:8" ht="15" x14ac:dyDescent="0.25">
      <c r="A2222" s="88" t="s">
        <v>212</v>
      </c>
      <c r="B2222" s="88">
        <v>1974</v>
      </c>
      <c r="C2222" s="89" t="s">
        <v>811</v>
      </c>
      <c r="D2222" s="88" t="s">
        <v>160</v>
      </c>
      <c r="F2222" s="70">
        <f t="shared" si="68"/>
        <v>1974</v>
      </c>
      <c r="G2222" s="70" t="s">
        <v>159</v>
      </c>
      <c r="H2222" s="70" t="str">
        <f t="shared" si="69"/>
        <v>RBT</v>
      </c>
    </row>
    <row r="2223" spans="1:8" ht="15" x14ac:dyDescent="0.25">
      <c r="A2223" s="88" t="s">
        <v>212</v>
      </c>
      <c r="B2223" s="88">
        <v>1974</v>
      </c>
      <c r="C2223" s="89" t="s">
        <v>810</v>
      </c>
      <c r="D2223" s="88" t="s">
        <v>160</v>
      </c>
      <c r="F2223" s="70">
        <f t="shared" si="68"/>
        <v>1974</v>
      </c>
      <c r="G2223" s="70" t="s">
        <v>159</v>
      </c>
      <c r="H2223" s="70" t="str">
        <f t="shared" si="69"/>
        <v>RBT</v>
      </c>
    </row>
    <row r="2224" spans="1:8" ht="15" x14ac:dyDescent="0.25">
      <c r="A2224" s="88" t="s">
        <v>212</v>
      </c>
      <c r="B2224" s="88">
        <v>1974</v>
      </c>
      <c r="C2224" s="89" t="s">
        <v>809</v>
      </c>
      <c r="D2224" s="88" t="s">
        <v>160</v>
      </c>
      <c r="F2224" s="70">
        <f t="shared" si="68"/>
        <v>1974</v>
      </c>
      <c r="G2224" s="70" t="s">
        <v>159</v>
      </c>
      <c r="H2224" s="70" t="str">
        <f t="shared" si="69"/>
        <v>RBT</v>
      </c>
    </row>
    <row r="2225" spans="1:8" ht="15" x14ac:dyDescent="0.25">
      <c r="A2225" s="88" t="s">
        <v>212</v>
      </c>
      <c r="B2225" s="88">
        <v>1975</v>
      </c>
      <c r="C2225" s="89" t="s">
        <v>808</v>
      </c>
      <c r="D2225" s="88" t="s">
        <v>160</v>
      </c>
      <c r="F2225" s="70">
        <f t="shared" si="68"/>
        <v>1975</v>
      </c>
      <c r="G2225" s="70" t="s">
        <v>159</v>
      </c>
      <c r="H2225" s="70" t="str">
        <f t="shared" si="69"/>
        <v>RBT</v>
      </c>
    </row>
    <row r="2226" spans="1:8" ht="15" x14ac:dyDescent="0.25">
      <c r="A2226" s="88" t="s">
        <v>212</v>
      </c>
      <c r="B2226" s="88">
        <v>1975</v>
      </c>
      <c r="C2226" s="89" t="s">
        <v>807</v>
      </c>
      <c r="D2226" s="88" t="s">
        <v>160</v>
      </c>
      <c r="F2226" s="70">
        <f t="shared" si="68"/>
        <v>1975</v>
      </c>
      <c r="G2226" s="70" t="s">
        <v>159</v>
      </c>
      <c r="H2226" s="70" t="str">
        <f t="shared" si="69"/>
        <v>RBT</v>
      </c>
    </row>
    <row r="2227" spans="1:8" ht="15" x14ac:dyDescent="0.25">
      <c r="A2227" s="88" t="s">
        <v>212</v>
      </c>
      <c r="B2227" s="88">
        <v>1975</v>
      </c>
      <c r="C2227" s="89" t="s">
        <v>806</v>
      </c>
      <c r="D2227" s="88" t="s">
        <v>160</v>
      </c>
      <c r="F2227" s="70">
        <f t="shared" si="68"/>
        <v>1975</v>
      </c>
      <c r="G2227" s="70" t="s">
        <v>159</v>
      </c>
      <c r="H2227" s="70" t="str">
        <f t="shared" si="69"/>
        <v>RBT</v>
      </c>
    </row>
    <row r="2228" spans="1:8" ht="15" x14ac:dyDescent="0.25">
      <c r="A2228" s="88" t="s">
        <v>212</v>
      </c>
      <c r="B2228" s="88">
        <v>1976</v>
      </c>
      <c r="C2228" s="89" t="s">
        <v>805</v>
      </c>
      <c r="D2228" s="88" t="s">
        <v>160</v>
      </c>
      <c r="F2228" s="70">
        <f t="shared" si="68"/>
        <v>1976</v>
      </c>
      <c r="G2228" s="70" t="s">
        <v>159</v>
      </c>
      <c r="H2228" s="70" t="str">
        <f t="shared" si="69"/>
        <v>RBT</v>
      </c>
    </row>
    <row r="2229" spans="1:8" ht="15" x14ac:dyDescent="0.25">
      <c r="A2229" s="88" t="s">
        <v>212</v>
      </c>
      <c r="B2229" s="88">
        <v>1976</v>
      </c>
      <c r="C2229" s="89" t="s">
        <v>804</v>
      </c>
      <c r="D2229" s="88" t="s">
        <v>160</v>
      </c>
      <c r="F2229" s="70">
        <f t="shared" si="68"/>
        <v>1976</v>
      </c>
      <c r="G2229" s="70" t="s">
        <v>159</v>
      </c>
      <c r="H2229" s="70" t="str">
        <f t="shared" si="69"/>
        <v>RBT</v>
      </c>
    </row>
    <row r="2230" spans="1:8" ht="15" x14ac:dyDescent="0.25">
      <c r="A2230" s="88" t="s">
        <v>212</v>
      </c>
      <c r="B2230" s="88">
        <v>1976</v>
      </c>
      <c r="C2230" s="89" t="s">
        <v>803</v>
      </c>
      <c r="D2230" s="88" t="s">
        <v>160</v>
      </c>
      <c r="F2230" s="70">
        <f t="shared" si="68"/>
        <v>1976</v>
      </c>
      <c r="G2230" s="70" t="s">
        <v>159</v>
      </c>
      <c r="H2230" s="70" t="str">
        <f t="shared" si="69"/>
        <v>RBT</v>
      </c>
    </row>
    <row r="2231" spans="1:8" ht="15" x14ac:dyDescent="0.25">
      <c r="A2231" s="88" t="s">
        <v>212</v>
      </c>
      <c r="B2231" s="88">
        <v>1977</v>
      </c>
      <c r="C2231" s="89" t="s">
        <v>802</v>
      </c>
      <c r="D2231" s="88" t="s">
        <v>160</v>
      </c>
      <c r="F2231" s="70">
        <f t="shared" si="68"/>
        <v>1977</v>
      </c>
      <c r="G2231" s="70" t="s">
        <v>159</v>
      </c>
      <c r="H2231" s="70" t="str">
        <f t="shared" si="69"/>
        <v>RBT</v>
      </c>
    </row>
    <row r="2232" spans="1:8" ht="15" x14ac:dyDescent="0.25">
      <c r="A2232" s="88" t="s">
        <v>212</v>
      </c>
      <c r="B2232" s="88">
        <v>1977</v>
      </c>
      <c r="C2232" s="89" t="s">
        <v>801</v>
      </c>
      <c r="D2232" s="88" t="s">
        <v>160</v>
      </c>
      <c r="F2232" s="70">
        <f t="shared" si="68"/>
        <v>1977</v>
      </c>
      <c r="G2232" s="70" t="s">
        <v>159</v>
      </c>
      <c r="H2232" s="70" t="str">
        <f t="shared" si="69"/>
        <v>RBT</v>
      </c>
    </row>
    <row r="2233" spans="1:8" ht="15" x14ac:dyDescent="0.25">
      <c r="A2233" s="88" t="s">
        <v>212</v>
      </c>
      <c r="B2233" s="88">
        <v>1978</v>
      </c>
      <c r="C2233" s="89" t="s">
        <v>800</v>
      </c>
      <c r="D2233" s="88" t="s">
        <v>160</v>
      </c>
      <c r="F2233" s="70">
        <f t="shared" si="68"/>
        <v>1978</v>
      </c>
      <c r="G2233" s="70" t="s">
        <v>159</v>
      </c>
      <c r="H2233" s="70" t="str">
        <f t="shared" si="69"/>
        <v>RBT</v>
      </c>
    </row>
    <row r="2234" spans="1:8" ht="15" x14ac:dyDescent="0.25">
      <c r="A2234" s="88" t="s">
        <v>212</v>
      </c>
      <c r="B2234" s="88">
        <v>1978</v>
      </c>
      <c r="C2234" s="89" t="s">
        <v>799</v>
      </c>
      <c r="D2234" s="88" t="s">
        <v>160</v>
      </c>
      <c r="F2234" s="70">
        <f t="shared" si="68"/>
        <v>1978</v>
      </c>
      <c r="G2234" s="70" t="s">
        <v>159</v>
      </c>
      <c r="H2234" s="70" t="str">
        <f t="shared" si="69"/>
        <v>RBT</v>
      </c>
    </row>
    <row r="2235" spans="1:8" ht="15" x14ac:dyDescent="0.25">
      <c r="A2235" s="88" t="s">
        <v>212</v>
      </c>
      <c r="B2235" s="88">
        <v>1978</v>
      </c>
      <c r="C2235" s="89" t="s">
        <v>798</v>
      </c>
      <c r="D2235" s="88" t="s">
        <v>160</v>
      </c>
      <c r="F2235" s="70">
        <f t="shared" si="68"/>
        <v>1978</v>
      </c>
      <c r="G2235" s="70" t="s">
        <v>159</v>
      </c>
      <c r="H2235" s="70" t="str">
        <f t="shared" si="69"/>
        <v>RBT</v>
      </c>
    </row>
    <row r="2236" spans="1:8" ht="15" x14ac:dyDescent="0.25">
      <c r="A2236" s="88" t="s">
        <v>212</v>
      </c>
      <c r="B2236" s="88">
        <v>1978</v>
      </c>
      <c r="C2236" s="89" t="s">
        <v>797</v>
      </c>
      <c r="D2236" s="88" t="s">
        <v>160</v>
      </c>
      <c r="F2236" s="70">
        <f t="shared" si="68"/>
        <v>1978</v>
      </c>
      <c r="G2236" s="70" t="s">
        <v>159</v>
      </c>
      <c r="H2236" s="70" t="str">
        <f t="shared" si="69"/>
        <v>RBT</v>
      </c>
    </row>
    <row r="2237" spans="1:8" ht="15" x14ac:dyDescent="0.25">
      <c r="A2237" s="88" t="s">
        <v>212</v>
      </c>
      <c r="B2237" s="88">
        <v>1978</v>
      </c>
      <c r="C2237" s="89" t="s">
        <v>796</v>
      </c>
      <c r="D2237" s="88" t="s">
        <v>160</v>
      </c>
      <c r="F2237" s="70">
        <f t="shared" si="68"/>
        <v>1978</v>
      </c>
      <c r="G2237" s="70" t="s">
        <v>159</v>
      </c>
      <c r="H2237" s="70" t="str">
        <f t="shared" si="69"/>
        <v>RBT</v>
      </c>
    </row>
    <row r="2238" spans="1:8" ht="15" x14ac:dyDescent="0.25">
      <c r="A2238" s="88" t="s">
        <v>212</v>
      </c>
      <c r="B2238" s="88">
        <v>1979</v>
      </c>
      <c r="C2238" s="89" t="s">
        <v>795</v>
      </c>
      <c r="D2238" s="88" t="s">
        <v>160</v>
      </c>
      <c r="F2238" s="70">
        <f t="shared" si="68"/>
        <v>1979</v>
      </c>
      <c r="G2238" s="70" t="s">
        <v>159</v>
      </c>
      <c r="H2238" s="70" t="str">
        <f t="shared" si="69"/>
        <v>RBT</v>
      </c>
    </row>
    <row r="2239" spans="1:8" ht="15" x14ac:dyDescent="0.25">
      <c r="A2239" s="88" t="s">
        <v>212</v>
      </c>
      <c r="B2239" s="88">
        <v>1979</v>
      </c>
      <c r="C2239" s="89" t="s">
        <v>794</v>
      </c>
      <c r="D2239" s="88" t="s">
        <v>160</v>
      </c>
      <c r="F2239" s="70">
        <f t="shared" si="68"/>
        <v>1979</v>
      </c>
      <c r="G2239" s="70" t="s">
        <v>159</v>
      </c>
      <c r="H2239" s="70" t="str">
        <f t="shared" si="69"/>
        <v>RBT</v>
      </c>
    </row>
    <row r="2240" spans="1:8" ht="15" x14ac:dyDescent="0.25">
      <c r="A2240" s="88" t="s">
        <v>212</v>
      </c>
      <c r="B2240" s="88">
        <v>1979</v>
      </c>
      <c r="C2240" s="89" t="s">
        <v>793</v>
      </c>
      <c r="D2240" s="88" t="s">
        <v>160</v>
      </c>
      <c r="F2240" s="70">
        <f t="shared" si="68"/>
        <v>1979</v>
      </c>
      <c r="G2240" s="70" t="s">
        <v>159</v>
      </c>
      <c r="H2240" s="70" t="str">
        <f t="shared" si="69"/>
        <v>RBT</v>
      </c>
    </row>
    <row r="2241" spans="1:8" ht="15" x14ac:dyDescent="0.25">
      <c r="A2241" s="88" t="s">
        <v>212</v>
      </c>
      <c r="B2241" s="88">
        <v>1979</v>
      </c>
      <c r="C2241" s="89" t="s">
        <v>792</v>
      </c>
      <c r="D2241" s="88" t="s">
        <v>160</v>
      </c>
      <c r="F2241" s="70">
        <f t="shared" si="68"/>
        <v>1979</v>
      </c>
      <c r="G2241" s="70" t="s">
        <v>159</v>
      </c>
      <c r="H2241" s="70" t="str">
        <f t="shared" si="69"/>
        <v>RBT</v>
      </c>
    </row>
    <row r="2242" spans="1:8" ht="15" x14ac:dyDescent="0.25">
      <c r="A2242" s="88" t="s">
        <v>212</v>
      </c>
      <c r="B2242" s="88">
        <v>1979</v>
      </c>
      <c r="C2242" s="89" t="s">
        <v>791</v>
      </c>
      <c r="D2242" s="88" t="s">
        <v>160</v>
      </c>
      <c r="F2242" s="70">
        <f t="shared" si="68"/>
        <v>1979</v>
      </c>
      <c r="G2242" s="70" t="s">
        <v>159</v>
      </c>
      <c r="H2242" s="70" t="str">
        <f t="shared" si="69"/>
        <v>RBT</v>
      </c>
    </row>
    <row r="2243" spans="1:8" ht="15" x14ac:dyDescent="0.25">
      <c r="A2243" s="88" t="s">
        <v>212</v>
      </c>
      <c r="B2243" s="88">
        <v>1979</v>
      </c>
      <c r="C2243" s="89" t="s">
        <v>790</v>
      </c>
      <c r="D2243" s="88" t="s">
        <v>160</v>
      </c>
      <c r="F2243" s="70">
        <f t="shared" si="68"/>
        <v>1979</v>
      </c>
      <c r="G2243" s="70" t="s">
        <v>159</v>
      </c>
      <c r="H2243" s="70" t="str">
        <f t="shared" si="69"/>
        <v>RBT</v>
      </c>
    </row>
    <row r="2244" spans="1:8" ht="15" x14ac:dyDescent="0.25">
      <c r="A2244" s="88" t="s">
        <v>212</v>
      </c>
      <c r="B2244" s="88">
        <v>1980</v>
      </c>
      <c r="C2244" s="89" t="s">
        <v>789</v>
      </c>
      <c r="D2244" s="88" t="s">
        <v>160</v>
      </c>
      <c r="F2244" s="70">
        <f t="shared" si="68"/>
        <v>1980</v>
      </c>
      <c r="G2244" s="70" t="s">
        <v>159</v>
      </c>
      <c r="H2244" s="70" t="str">
        <f t="shared" si="69"/>
        <v>RBT</v>
      </c>
    </row>
    <row r="2245" spans="1:8" ht="15" x14ac:dyDescent="0.25">
      <c r="A2245" s="88" t="s">
        <v>212</v>
      </c>
      <c r="B2245" s="88">
        <v>1980</v>
      </c>
      <c r="C2245" s="89" t="s">
        <v>788</v>
      </c>
      <c r="D2245" s="88" t="s">
        <v>160</v>
      </c>
      <c r="F2245" s="70">
        <f t="shared" si="68"/>
        <v>1980</v>
      </c>
      <c r="G2245" s="70" t="s">
        <v>159</v>
      </c>
      <c r="H2245" s="70" t="str">
        <f t="shared" si="69"/>
        <v>RBT</v>
      </c>
    </row>
    <row r="2246" spans="1:8" ht="15" x14ac:dyDescent="0.25">
      <c r="A2246" s="88" t="s">
        <v>212</v>
      </c>
      <c r="B2246" s="88">
        <v>1980</v>
      </c>
      <c r="C2246" s="89" t="s">
        <v>787</v>
      </c>
      <c r="D2246" s="88" t="s">
        <v>160</v>
      </c>
      <c r="F2246" s="70">
        <f t="shared" si="68"/>
        <v>1980</v>
      </c>
      <c r="G2246" s="70" t="s">
        <v>159</v>
      </c>
      <c r="H2246" s="70" t="str">
        <f t="shared" si="69"/>
        <v>RBT</v>
      </c>
    </row>
    <row r="2247" spans="1:8" ht="15" x14ac:dyDescent="0.25">
      <c r="A2247" s="88" t="s">
        <v>212</v>
      </c>
      <c r="B2247" s="88">
        <v>1980</v>
      </c>
      <c r="C2247" s="89" t="s">
        <v>786</v>
      </c>
      <c r="D2247" s="88" t="s">
        <v>160</v>
      </c>
      <c r="F2247" s="70">
        <f t="shared" si="68"/>
        <v>1980</v>
      </c>
      <c r="G2247" s="70" t="s">
        <v>159</v>
      </c>
      <c r="H2247" s="70" t="str">
        <f t="shared" si="69"/>
        <v>RBT</v>
      </c>
    </row>
    <row r="2248" spans="1:8" ht="15" x14ac:dyDescent="0.25">
      <c r="A2248" s="88" t="s">
        <v>212</v>
      </c>
      <c r="B2248" s="88">
        <v>1981</v>
      </c>
      <c r="C2248" s="89" t="s">
        <v>785</v>
      </c>
      <c r="D2248" s="88" t="s">
        <v>160</v>
      </c>
      <c r="F2248" s="70">
        <f t="shared" ref="F2248:F2311" si="70">+B2248</f>
        <v>1981</v>
      </c>
      <c r="G2248" s="70" t="s">
        <v>159</v>
      </c>
      <c r="H2248" s="70" t="str">
        <f t="shared" ref="H2248:H2311" si="71">A2248</f>
        <v>RBT</v>
      </c>
    </row>
    <row r="2249" spans="1:8" ht="15" x14ac:dyDescent="0.25">
      <c r="A2249" s="88" t="s">
        <v>212</v>
      </c>
      <c r="B2249" s="88">
        <v>1981</v>
      </c>
      <c r="C2249" s="89" t="s">
        <v>784</v>
      </c>
      <c r="D2249" s="88" t="s">
        <v>160</v>
      </c>
      <c r="F2249" s="70">
        <f t="shared" si="70"/>
        <v>1981</v>
      </c>
      <c r="G2249" s="70" t="s">
        <v>159</v>
      </c>
      <c r="H2249" s="70" t="str">
        <f t="shared" si="71"/>
        <v>RBT</v>
      </c>
    </row>
    <row r="2250" spans="1:8" ht="15" x14ac:dyDescent="0.25">
      <c r="A2250" s="88" t="s">
        <v>212</v>
      </c>
      <c r="B2250" s="88">
        <v>1981</v>
      </c>
      <c r="C2250" s="89" t="s">
        <v>783</v>
      </c>
      <c r="D2250" s="88" t="s">
        <v>160</v>
      </c>
      <c r="F2250" s="70">
        <f t="shared" si="70"/>
        <v>1981</v>
      </c>
      <c r="G2250" s="70" t="s">
        <v>159</v>
      </c>
      <c r="H2250" s="70" t="str">
        <f t="shared" si="71"/>
        <v>RBT</v>
      </c>
    </row>
    <row r="2251" spans="1:8" ht="15" x14ac:dyDescent="0.25">
      <c r="A2251" s="88" t="s">
        <v>212</v>
      </c>
      <c r="B2251" s="88">
        <v>1981</v>
      </c>
      <c r="C2251" s="89" t="s">
        <v>782</v>
      </c>
      <c r="D2251" s="88" t="s">
        <v>160</v>
      </c>
      <c r="F2251" s="70">
        <f t="shared" si="70"/>
        <v>1981</v>
      </c>
      <c r="G2251" s="70" t="s">
        <v>159</v>
      </c>
      <c r="H2251" s="70" t="str">
        <f t="shared" si="71"/>
        <v>RBT</v>
      </c>
    </row>
    <row r="2252" spans="1:8" ht="15" x14ac:dyDescent="0.25">
      <c r="A2252" s="88" t="s">
        <v>212</v>
      </c>
      <c r="B2252" s="88">
        <v>1981</v>
      </c>
      <c r="C2252" s="89" t="s">
        <v>781</v>
      </c>
      <c r="D2252" s="88" t="s">
        <v>160</v>
      </c>
      <c r="F2252" s="70">
        <f t="shared" si="70"/>
        <v>1981</v>
      </c>
      <c r="G2252" s="70" t="s">
        <v>159</v>
      </c>
      <c r="H2252" s="70" t="str">
        <f t="shared" si="71"/>
        <v>RBT</v>
      </c>
    </row>
    <row r="2253" spans="1:8" ht="15" x14ac:dyDescent="0.25">
      <c r="A2253" s="88" t="s">
        <v>212</v>
      </c>
      <c r="B2253" s="88">
        <v>1982</v>
      </c>
      <c r="C2253" s="89" t="s">
        <v>780</v>
      </c>
      <c r="D2253" s="88" t="s">
        <v>160</v>
      </c>
      <c r="F2253" s="70">
        <f t="shared" si="70"/>
        <v>1982</v>
      </c>
      <c r="G2253" s="70" t="s">
        <v>159</v>
      </c>
      <c r="H2253" s="70" t="str">
        <f t="shared" si="71"/>
        <v>RBT</v>
      </c>
    </row>
    <row r="2254" spans="1:8" ht="15" x14ac:dyDescent="0.25">
      <c r="A2254" s="88" t="s">
        <v>212</v>
      </c>
      <c r="B2254" s="88">
        <v>1982</v>
      </c>
      <c r="C2254" s="89" t="s">
        <v>779</v>
      </c>
      <c r="D2254" s="88" t="s">
        <v>160</v>
      </c>
      <c r="F2254" s="70">
        <f t="shared" si="70"/>
        <v>1982</v>
      </c>
      <c r="G2254" s="70" t="s">
        <v>159</v>
      </c>
      <c r="H2254" s="70" t="str">
        <f t="shared" si="71"/>
        <v>RBT</v>
      </c>
    </row>
    <row r="2255" spans="1:8" ht="15" x14ac:dyDescent="0.25">
      <c r="A2255" s="88" t="s">
        <v>212</v>
      </c>
      <c r="B2255" s="88">
        <v>1982</v>
      </c>
      <c r="C2255" s="89" t="s">
        <v>778</v>
      </c>
      <c r="D2255" s="88" t="s">
        <v>160</v>
      </c>
      <c r="F2255" s="70">
        <f t="shared" si="70"/>
        <v>1982</v>
      </c>
      <c r="G2255" s="70" t="s">
        <v>159</v>
      </c>
      <c r="H2255" s="70" t="str">
        <f t="shared" si="71"/>
        <v>RBT</v>
      </c>
    </row>
    <row r="2256" spans="1:8" ht="15" x14ac:dyDescent="0.25">
      <c r="A2256" s="88" t="s">
        <v>212</v>
      </c>
      <c r="B2256" s="88">
        <v>1982</v>
      </c>
      <c r="C2256" s="89" t="s">
        <v>777</v>
      </c>
      <c r="D2256" s="88" t="s">
        <v>160</v>
      </c>
      <c r="F2256" s="70">
        <f t="shared" si="70"/>
        <v>1982</v>
      </c>
      <c r="G2256" s="70" t="s">
        <v>159</v>
      </c>
      <c r="H2256" s="70" t="str">
        <f t="shared" si="71"/>
        <v>RBT</v>
      </c>
    </row>
    <row r="2257" spans="1:8" ht="15" x14ac:dyDescent="0.25">
      <c r="A2257" s="88" t="s">
        <v>212</v>
      </c>
      <c r="B2257" s="88">
        <v>1982</v>
      </c>
      <c r="C2257" s="89" t="s">
        <v>776</v>
      </c>
      <c r="D2257" s="88" t="s">
        <v>160</v>
      </c>
      <c r="F2257" s="70">
        <f t="shared" si="70"/>
        <v>1982</v>
      </c>
      <c r="G2257" s="70" t="s">
        <v>159</v>
      </c>
      <c r="H2257" s="70" t="str">
        <f t="shared" si="71"/>
        <v>RBT</v>
      </c>
    </row>
    <row r="2258" spans="1:8" ht="15" x14ac:dyDescent="0.25">
      <c r="A2258" s="88" t="s">
        <v>212</v>
      </c>
      <c r="B2258" s="88">
        <v>1982</v>
      </c>
      <c r="C2258" s="89" t="s">
        <v>775</v>
      </c>
      <c r="D2258" s="88" t="s">
        <v>160</v>
      </c>
      <c r="F2258" s="70">
        <f t="shared" si="70"/>
        <v>1982</v>
      </c>
      <c r="G2258" s="70" t="s">
        <v>159</v>
      </c>
      <c r="H2258" s="70" t="str">
        <f t="shared" si="71"/>
        <v>RBT</v>
      </c>
    </row>
    <row r="2259" spans="1:8" ht="15" x14ac:dyDescent="0.25">
      <c r="A2259" s="88" t="s">
        <v>212</v>
      </c>
      <c r="B2259" s="88">
        <v>1982</v>
      </c>
      <c r="C2259" s="89" t="s">
        <v>774</v>
      </c>
      <c r="D2259" s="88" t="s">
        <v>160</v>
      </c>
      <c r="F2259" s="70">
        <f t="shared" si="70"/>
        <v>1982</v>
      </c>
      <c r="G2259" s="70" t="s">
        <v>159</v>
      </c>
      <c r="H2259" s="70" t="str">
        <f t="shared" si="71"/>
        <v>RBT</v>
      </c>
    </row>
    <row r="2260" spans="1:8" ht="15" x14ac:dyDescent="0.25">
      <c r="A2260" s="88" t="s">
        <v>212</v>
      </c>
      <c r="B2260" s="88">
        <v>1982</v>
      </c>
      <c r="C2260" s="89" t="s">
        <v>773</v>
      </c>
      <c r="D2260" s="88" t="s">
        <v>160</v>
      </c>
      <c r="F2260" s="70">
        <f t="shared" si="70"/>
        <v>1982</v>
      </c>
      <c r="G2260" s="70" t="s">
        <v>159</v>
      </c>
      <c r="H2260" s="70" t="str">
        <f t="shared" si="71"/>
        <v>RBT</v>
      </c>
    </row>
    <row r="2261" spans="1:8" ht="15" x14ac:dyDescent="0.25">
      <c r="A2261" s="88" t="s">
        <v>212</v>
      </c>
      <c r="B2261" s="88">
        <v>1983</v>
      </c>
      <c r="C2261" s="89" t="s">
        <v>772</v>
      </c>
      <c r="D2261" s="88" t="s">
        <v>160</v>
      </c>
      <c r="F2261" s="70">
        <f t="shared" si="70"/>
        <v>1983</v>
      </c>
      <c r="G2261" s="70" t="s">
        <v>159</v>
      </c>
      <c r="H2261" s="70" t="str">
        <f t="shared" si="71"/>
        <v>RBT</v>
      </c>
    </row>
    <row r="2262" spans="1:8" ht="15" x14ac:dyDescent="0.25">
      <c r="A2262" s="88" t="s">
        <v>212</v>
      </c>
      <c r="B2262" s="88">
        <v>1983</v>
      </c>
      <c r="C2262" s="89" t="s">
        <v>771</v>
      </c>
      <c r="D2262" s="88" t="s">
        <v>160</v>
      </c>
      <c r="F2262" s="70">
        <f t="shared" si="70"/>
        <v>1983</v>
      </c>
      <c r="G2262" s="70" t="s">
        <v>159</v>
      </c>
      <c r="H2262" s="70" t="str">
        <f t="shared" si="71"/>
        <v>RBT</v>
      </c>
    </row>
    <row r="2263" spans="1:8" ht="15" x14ac:dyDescent="0.25">
      <c r="A2263" s="88" t="s">
        <v>212</v>
      </c>
      <c r="B2263" s="88">
        <v>1983</v>
      </c>
      <c r="C2263" s="89" t="s">
        <v>770</v>
      </c>
      <c r="D2263" s="88" t="s">
        <v>160</v>
      </c>
      <c r="F2263" s="70">
        <f t="shared" si="70"/>
        <v>1983</v>
      </c>
      <c r="G2263" s="70" t="s">
        <v>159</v>
      </c>
      <c r="H2263" s="70" t="str">
        <f t="shared" si="71"/>
        <v>RBT</v>
      </c>
    </row>
    <row r="2264" spans="1:8" ht="15" x14ac:dyDescent="0.25">
      <c r="A2264" s="88" t="s">
        <v>212</v>
      </c>
      <c r="B2264" s="88">
        <v>1983</v>
      </c>
      <c r="C2264" s="89" t="s">
        <v>769</v>
      </c>
      <c r="D2264" s="88" t="s">
        <v>160</v>
      </c>
      <c r="F2264" s="70">
        <f t="shared" si="70"/>
        <v>1983</v>
      </c>
      <c r="G2264" s="70" t="s">
        <v>159</v>
      </c>
      <c r="H2264" s="70" t="str">
        <f t="shared" si="71"/>
        <v>RBT</v>
      </c>
    </row>
    <row r="2265" spans="1:8" ht="15" x14ac:dyDescent="0.25">
      <c r="A2265" s="88" t="s">
        <v>212</v>
      </c>
      <c r="B2265" s="88">
        <v>1983</v>
      </c>
      <c r="C2265" s="89" t="s">
        <v>768</v>
      </c>
      <c r="D2265" s="88" t="s">
        <v>160</v>
      </c>
      <c r="F2265" s="70">
        <f t="shared" si="70"/>
        <v>1983</v>
      </c>
      <c r="G2265" s="70" t="s">
        <v>159</v>
      </c>
      <c r="H2265" s="70" t="str">
        <f t="shared" si="71"/>
        <v>RBT</v>
      </c>
    </row>
    <row r="2266" spans="1:8" ht="15" x14ac:dyDescent="0.25">
      <c r="A2266" s="88" t="s">
        <v>212</v>
      </c>
      <c r="B2266" s="88">
        <v>1983</v>
      </c>
      <c r="C2266" s="89" t="s">
        <v>767</v>
      </c>
      <c r="D2266" s="88" t="s">
        <v>160</v>
      </c>
      <c r="F2266" s="70">
        <f t="shared" si="70"/>
        <v>1983</v>
      </c>
      <c r="G2266" s="70" t="s">
        <v>159</v>
      </c>
      <c r="H2266" s="70" t="str">
        <f t="shared" si="71"/>
        <v>RBT</v>
      </c>
    </row>
    <row r="2267" spans="1:8" ht="15" x14ac:dyDescent="0.25">
      <c r="A2267" s="88" t="s">
        <v>212</v>
      </c>
      <c r="B2267" s="88">
        <v>1984</v>
      </c>
      <c r="C2267" s="89" t="s">
        <v>766</v>
      </c>
      <c r="D2267" s="88" t="s">
        <v>160</v>
      </c>
      <c r="F2267" s="70">
        <f t="shared" si="70"/>
        <v>1984</v>
      </c>
      <c r="G2267" s="70" t="s">
        <v>159</v>
      </c>
      <c r="H2267" s="70" t="str">
        <f t="shared" si="71"/>
        <v>RBT</v>
      </c>
    </row>
    <row r="2268" spans="1:8" ht="15" x14ac:dyDescent="0.25">
      <c r="A2268" s="88" t="s">
        <v>212</v>
      </c>
      <c r="B2268" s="88">
        <v>1984</v>
      </c>
      <c r="C2268" s="89" t="s">
        <v>765</v>
      </c>
      <c r="D2268" s="88" t="s">
        <v>160</v>
      </c>
      <c r="F2268" s="70">
        <f t="shared" si="70"/>
        <v>1984</v>
      </c>
      <c r="G2268" s="70" t="s">
        <v>159</v>
      </c>
      <c r="H2268" s="70" t="str">
        <f t="shared" si="71"/>
        <v>RBT</v>
      </c>
    </row>
    <row r="2269" spans="1:8" ht="15" x14ac:dyDescent="0.25">
      <c r="A2269" s="88" t="s">
        <v>212</v>
      </c>
      <c r="B2269" s="88">
        <v>1984</v>
      </c>
      <c r="C2269" s="89" t="s">
        <v>764</v>
      </c>
      <c r="D2269" s="88" t="s">
        <v>160</v>
      </c>
      <c r="F2269" s="70">
        <f t="shared" si="70"/>
        <v>1984</v>
      </c>
      <c r="G2269" s="70" t="s">
        <v>159</v>
      </c>
      <c r="H2269" s="70" t="str">
        <f t="shared" si="71"/>
        <v>RBT</v>
      </c>
    </row>
    <row r="2270" spans="1:8" ht="15" x14ac:dyDescent="0.25">
      <c r="A2270" s="88" t="s">
        <v>212</v>
      </c>
      <c r="B2270" s="88">
        <v>1984</v>
      </c>
      <c r="C2270" s="89" t="s">
        <v>763</v>
      </c>
      <c r="D2270" s="88" t="s">
        <v>160</v>
      </c>
      <c r="F2270" s="70">
        <f t="shared" si="70"/>
        <v>1984</v>
      </c>
      <c r="G2270" s="70" t="s">
        <v>159</v>
      </c>
      <c r="H2270" s="70" t="str">
        <f t="shared" si="71"/>
        <v>RBT</v>
      </c>
    </row>
    <row r="2271" spans="1:8" ht="15" x14ac:dyDescent="0.25">
      <c r="A2271" s="88" t="s">
        <v>212</v>
      </c>
      <c r="B2271" s="88">
        <v>1984</v>
      </c>
      <c r="C2271" s="89" t="s">
        <v>762</v>
      </c>
      <c r="D2271" s="88" t="s">
        <v>160</v>
      </c>
      <c r="F2271" s="70">
        <f t="shared" si="70"/>
        <v>1984</v>
      </c>
      <c r="G2271" s="70" t="s">
        <v>159</v>
      </c>
      <c r="H2271" s="70" t="str">
        <f t="shared" si="71"/>
        <v>RBT</v>
      </c>
    </row>
    <row r="2272" spans="1:8" ht="15" x14ac:dyDescent="0.25">
      <c r="A2272" s="88" t="s">
        <v>212</v>
      </c>
      <c r="B2272" s="88">
        <v>1984</v>
      </c>
      <c r="C2272" s="89" t="s">
        <v>761</v>
      </c>
      <c r="D2272" s="88" t="s">
        <v>160</v>
      </c>
      <c r="F2272" s="70">
        <f t="shared" si="70"/>
        <v>1984</v>
      </c>
      <c r="G2272" s="70" t="s">
        <v>159</v>
      </c>
      <c r="H2272" s="70" t="str">
        <f t="shared" si="71"/>
        <v>RBT</v>
      </c>
    </row>
    <row r="2273" spans="1:8" ht="15" x14ac:dyDescent="0.25">
      <c r="A2273" s="88" t="s">
        <v>212</v>
      </c>
      <c r="B2273" s="88">
        <v>1984</v>
      </c>
      <c r="C2273" s="89" t="s">
        <v>760</v>
      </c>
      <c r="D2273" s="88" t="s">
        <v>160</v>
      </c>
      <c r="F2273" s="70">
        <f t="shared" si="70"/>
        <v>1984</v>
      </c>
      <c r="G2273" s="70" t="s">
        <v>159</v>
      </c>
      <c r="H2273" s="70" t="str">
        <f t="shared" si="71"/>
        <v>RBT</v>
      </c>
    </row>
    <row r="2274" spans="1:8" ht="15" x14ac:dyDescent="0.25">
      <c r="A2274" s="88" t="s">
        <v>212</v>
      </c>
      <c r="B2274" s="88">
        <v>1984</v>
      </c>
      <c r="C2274" s="89" t="s">
        <v>759</v>
      </c>
      <c r="D2274" s="88" t="s">
        <v>160</v>
      </c>
      <c r="F2274" s="70">
        <f t="shared" si="70"/>
        <v>1984</v>
      </c>
      <c r="G2274" s="70" t="s">
        <v>159</v>
      </c>
      <c r="H2274" s="70" t="str">
        <f t="shared" si="71"/>
        <v>RBT</v>
      </c>
    </row>
    <row r="2275" spans="1:8" ht="15" x14ac:dyDescent="0.25">
      <c r="A2275" s="88" t="s">
        <v>212</v>
      </c>
      <c r="B2275" s="88">
        <v>1984</v>
      </c>
      <c r="C2275" s="89" t="s">
        <v>758</v>
      </c>
      <c r="D2275" s="88" t="s">
        <v>160</v>
      </c>
      <c r="F2275" s="70">
        <f t="shared" si="70"/>
        <v>1984</v>
      </c>
      <c r="G2275" s="70" t="s">
        <v>159</v>
      </c>
      <c r="H2275" s="70" t="str">
        <f t="shared" si="71"/>
        <v>RBT</v>
      </c>
    </row>
    <row r="2276" spans="1:8" ht="15" x14ac:dyDescent="0.25">
      <c r="A2276" s="88" t="s">
        <v>212</v>
      </c>
      <c r="B2276" s="88">
        <v>1984</v>
      </c>
      <c r="C2276" s="89" t="s">
        <v>757</v>
      </c>
      <c r="D2276" s="88" t="s">
        <v>160</v>
      </c>
      <c r="F2276" s="70">
        <f t="shared" si="70"/>
        <v>1984</v>
      </c>
      <c r="G2276" s="70" t="s">
        <v>159</v>
      </c>
      <c r="H2276" s="70" t="str">
        <f t="shared" si="71"/>
        <v>RBT</v>
      </c>
    </row>
    <row r="2277" spans="1:8" ht="15" x14ac:dyDescent="0.25">
      <c r="A2277" s="88" t="s">
        <v>212</v>
      </c>
      <c r="B2277" s="88">
        <v>1984</v>
      </c>
      <c r="C2277" s="89" t="s">
        <v>756</v>
      </c>
      <c r="D2277" s="88" t="s">
        <v>160</v>
      </c>
      <c r="F2277" s="70">
        <f t="shared" si="70"/>
        <v>1984</v>
      </c>
      <c r="G2277" s="70" t="s">
        <v>159</v>
      </c>
      <c r="H2277" s="70" t="str">
        <f t="shared" si="71"/>
        <v>RBT</v>
      </c>
    </row>
    <row r="2278" spans="1:8" ht="15" x14ac:dyDescent="0.25">
      <c r="A2278" s="88" t="s">
        <v>212</v>
      </c>
      <c r="B2278" s="88">
        <v>1984</v>
      </c>
      <c r="C2278" s="89" t="s">
        <v>755</v>
      </c>
      <c r="D2278" s="88" t="s">
        <v>160</v>
      </c>
      <c r="F2278" s="70">
        <f t="shared" si="70"/>
        <v>1984</v>
      </c>
      <c r="G2278" s="70" t="s">
        <v>159</v>
      </c>
      <c r="H2278" s="70" t="str">
        <f t="shared" si="71"/>
        <v>RBT</v>
      </c>
    </row>
    <row r="2279" spans="1:8" ht="15" x14ac:dyDescent="0.25">
      <c r="A2279" s="88" t="s">
        <v>212</v>
      </c>
      <c r="B2279" s="88">
        <v>1984</v>
      </c>
      <c r="C2279" s="89" t="s">
        <v>754</v>
      </c>
      <c r="D2279" s="88" t="s">
        <v>160</v>
      </c>
      <c r="F2279" s="70">
        <f t="shared" si="70"/>
        <v>1984</v>
      </c>
      <c r="G2279" s="70" t="s">
        <v>159</v>
      </c>
      <c r="H2279" s="70" t="str">
        <f t="shared" si="71"/>
        <v>RBT</v>
      </c>
    </row>
    <row r="2280" spans="1:8" ht="15" x14ac:dyDescent="0.25">
      <c r="A2280" s="88" t="s">
        <v>212</v>
      </c>
      <c r="B2280" s="88">
        <v>1984</v>
      </c>
      <c r="C2280" s="89" t="s">
        <v>753</v>
      </c>
      <c r="D2280" s="88" t="s">
        <v>160</v>
      </c>
      <c r="F2280" s="70">
        <f t="shared" si="70"/>
        <v>1984</v>
      </c>
      <c r="G2280" s="70" t="s">
        <v>159</v>
      </c>
      <c r="H2280" s="70" t="str">
        <f t="shared" si="71"/>
        <v>RBT</v>
      </c>
    </row>
    <row r="2281" spans="1:8" ht="15" x14ac:dyDescent="0.25">
      <c r="A2281" s="88" t="s">
        <v>212</v>
      </c>
      <c r="B2281" s="88">
        <v>1984</v>
      </c>
      <c r="C2281" s="89" t="s">
        <v>752</v>
      </c>
      <c r="D2281" s="88" t="s">
        <v>160</v>
      </c>
      <c r="F2281" s="70">
        <f t="shared" si="70"/>
        <v>1984</v>
      </c>
      <c r="G2281" s="70" t="s">
        <v>159</v>
      </c>
      <c r="H2281" s="70" t="str">
        <f t="shared" si="71"/>
        <v>RBT</v>
      </c>
    </row>
    <row r="2282" spans="1:8" ht="15" x14ac:dyDescent="0.25">
      <c r="A2282" s="88" t="s">
        <v>212</v>
      </c>
      <c r="B2282" s="88">
        <v>1984</v>
      </c>
      <c r="C2282" s="89" t="s">
        <v>751</v>
      </c>
      <c r="D2282" s="88" t="s">
        <v>160</v>
      </c>
      <c r="F2282" s="70">
        <f t="shared" si="70"/>
        <v>1984</v>
      </c>
      <c r="G2282" s="70" t="s">
        <v>159</v>
      </c>
      <c r="H2282" s="70" t="str">
        <f t="shared" si="71"/>
        <v>RBT</v>
      </c>
    </row>
    <row r="2283" spans="1:8" ht="15" x14ac:dyDescent="0.25">
      <c r="A2283" s="88" t="s">
        <v>212</v>
      </c>
      <c r="B2283" s="88">
        <v>1985</v>
      </c>
      <c r="C2283" s="89" t="s">
        <v>750</v>
      </c>
      <c r="D2283" s="88" t="s">
        <v>160</v>
      </c>
      <c r="F2283" s="70">
        <f t="shared" si="70"/>
        <v>1985</v>
      </c>
      <c r="G2283" s="70" t="s">
        <v>159</v>
      </c>
      <c r="H2283" s="70" t="str">
        <f t="shared" si="71"/>
        <v>RBT</v>
      </c>
    </row>
    <row r="2284" spans="1:8" ht="15" x14ac:dyDescent="0.25">
      <c r="A2284" s="88" t="s">
        <v>212</v>
      </c>
      <c r="B2284" s="88">
        <v>1985</v>
      </c>
      <c r="C2284" s="89" t="s">
        <v>749</v>
      </c>
      <c r="D2284" s="88" t="s">
        <v>160</v>
      </c>
      <c r="F2284" s="70">
        <f t="shared" si="70"/>
        <v>1985</v>
      </c>
      <c r="G2284" s="70" t="s">
        <v>159</v>
      </c>
      <c r="H2284" s="70" t="str">
        <f t="shared" si="71"/>
        <v>RBT</v>
      </c>
    </row>
    <row r="2285" spans="1:8" ht="15" x14ac:dyDescent="0.25">
      <c r="A2285" s="88" t="s">
        <v>212</v>
      </c>
      <c r="B2285" s="88">
        <v>1985</v>
      </c>
      <c r="C2285" s="89" t="s">
        <v>748</v>
      </c>
      <c r="D2285" s="88" t="s">
        <v>160</v>
      </c>
      <c r="F2285" s="70">
        <f t="shared" si="70"/>
        <v>1985</v>
      </c>
      <c r="G2285" s="70" t="s">
        <v>159</v>
      </c>
      <c r="H2285" s="70" t="str">
        <f t="shared" si="71"/>
        <v>RBT</v>
      </c>
    </row>
    <row r="2286" spans="1:8" ht="15" x14ac:dyDescent="0.25">
      <c r="A2286" s="88" t="s">
        <v>212</v>
      </c>
      <c r="B2286" s="88">
        <v>1985</v>
      </c>
      <c r="C2286" s="89" t="s">
        <v>747</v>
      </c>
      <c r="D2286" s="88" t="s">
        <v>160</v>
      </c>
      <c r="F2286" s="70">
        <f t="shared" si="70"/>
        <v>1985</v>
      </c>
      <c r="G2286" s="70" t="s">
        <v>159</v>
      </c>
      <c r="H2286" s="70" t="str">
        <f t="shared" si="71"/>
        <v>RBT</v>
      </c>
    </row>
    <row r="2287" spans="1:8" ht="15" x14ac:dyDescent="0.25">
      <c r="A2287" s="88" t="s">
        <v>212</v>
      </c>
      <c r="B2287" s="88">
        <v>1985</v>
      </c>
      <c r="C2287" s="89" t="s">
        <v>746</v>
      </c>
      <c r="D2287" s="88" t="s">
        <v>160</v>
      </c>
      <c r="F2287" s="70">
        <f t="shared" si="70"/>
        <v>1985</v>
      </c>
      <c r="G2287" s="70" t="s">
        <v>159</v>
      </c>
      <c r="H2287" s="70" t="str">
        <f t="shared" si="71"/>
        <v>RBT</v>
      </c>
    </row>
    <row r="2288" spans="1:8" ht="15" x14ac:dyDescent="0.25">
      <c r="A2288" s="88" t="s">
        <v>212</v>
      </c>
      <c r="B2288" s="88">
        <v>1985</v>
      </c>
      <c r="C2288" s="89" t="s">
        <v>745</v>
      </c>
      <c r="D2288" s="88" t="s">
        <v>160</v>
      </c>
      <c r="F2288" s="70">
        <f t="shared" si="70"/>
        <v>1985</v>
      </c>
      <c r="G2288" s="70" t="s">
        <v>159</v>
      </c>
      <c r="H2288" s="70" t="str">
        <f t="shared" si="71"/>
        <v>RBT</v>
      </c>
    </row>
    <row r="2289" spans="1:8" ht="15" x14ac:dyDescent="0.25">
      <c r="A2289" s="88" t="s">
        <v>212</v>
      </c>
      <c r="B2289" s="88">
        <v>1985</v>
      </c>
      <c r="C2289" s="89" t="s">
        <v>744</v>
      </c>
      <c r="D2289" s="88" t="s">
        <v>160</v>
      </c>
      <c r="F2289" s="70">
        <f t="shared" si="70"/>
        <v>1985</v>
      </c>
      <c r="G2289" s="70" t="s">
        <v>159</v>
      </c>
      <c r="H2289" s="70" t="str">
        <f t="shared" si="71"/>
        <v>RBT</v>
      </c>
    </row>
    <row r="2290" spans="1:8" ht="15" x14ac:dyDescent="0.25">
      <c r="A2290" s="88" t="s">
        <v>212</v>
      </c>
      <c r="B2290" s="88">
        <v>1985</v>
      </c>
      <c r="C2290" s="89" t="s">
        <v>743</v>
      </c>
      <c r="D2290" s="88" t="s">
        <v>160</v>
      </c>
      <c r="F2290" s="70">
        <f t="shared" si="70"/>
        <v>1985</v>
      </c>
      <c r="G2290" s="70" t="s">
        <v>159</v>
      </c>
      <c r="H2290" s="70" t="str">
        <f t="shared" si="71"/>
        <v>RBT</v>
      </c>
    </row>
    <row r="2291" spans="1:8" ht="15" x14ac:dyDescent="0.25">
      <c r="A2291" s="88" t="s">
        <v>212</v>
      </c>
      <c r="B2291" s="88">
        <v>1986</v>
      </c>
      <c r="C2291" s="89" t="s">
        <v>742</v>
      </c>
      <c r="D2291" s="88" t="s">
        <v>160</v>
      </c>
      <c r="F2291" s="70">
        <f t="shared" si="70"/>
        <v>1986</v>
      </c>
      <c r="G2291" s="70" t="s">
        <v>159</v>
      </c>
      <c r="H2291" s="70" t="str">
        <f t="shared" si="71"/>
        <v>RBT</v>
      </c>
    </row>
    <row r="2292" spans="1:8" ht="15" x14ac:dyDescent="0.25">
      <c r="A2292" s="88" t="s">
        <v>212</v>
      </c>
      <c r="B2292" s="88">
        <v>1986</v>
      </c>
      <c r="C2292" s="89" t="s">
        <v>741</v>
      </c>
      <c r="D2292" s="88" t="s">
        <v>160</v>
      </c>
      <c r="F2292" s="70">
        <f t="shared" si="70"/>
        <v>1986</v>
      </c>
      <c r="G2292" s="70" t="s">
        <v>159</v>
      </c>
      <c r="H2292" s="70" t="str">
        <f t="shared" si="71"/>
        <v>RBT</v>
      </c>
    </row>
    <row r="2293" spans="1:8" ht="15" x14ac:dyDescent="0.25">
      <c r="A2293" s="88" t="s">
        <v>212</v>
      </c>
      <c r="B2293" s="88">
        <v>1986</v>
      </c>
      <c r="C2293" s="89" t="s">
        <v>740</v>
      </c>
      <c r="D2293" s="88" t="s">
        <v>160</v>
      </c>
      <c r="F2293" s="70">
        <f t="shared" si="70"/>
        <v>1986</v>
      </c>
      <c r="G2293" s="70" t="s">
        <v>159</v>
      </c>
      <c r="H2293" s="70" t="str">
        <f t="shared" si="71"/>
        <v>RBT</v>
      </c>
    </row>
    <row r="2294" spans="1:8" ht="15" x14ac:dyDescent="0.25">
      <c r="A2294" s="88" t="s">
        <v>212</v>
      </c>
      <c r="B2294" s="88">
        <v>1986</v>
      </c>
      <c r="C2294" s="89" t="s">
        <v>739</v>
      </c>
      <c r="D2294" s="88" t="s">
        <v>160</v>
      </c>
      <c r="F2294" s="70">
        <f t="shared" si="70"/>
        <v>1986</v>
      </c>
      <c r="G2294" s="70" t="s">
        <v>159</v>
      </c>
      <c r="H2294" s="70" t="str">
        <f t="shared" si="71"/>
        <v>RBT</v>
      </c>
    </row>
    <row r="2295" spans="1:8" ht="15" x14ac:dyDescent="0.25">
      <c r="A2295" s="88" t="s">
        <v>212</v>
      </c>
      <c r="B2295" s="88">
        <v>1986</v>
      </c>
      <c r="C2295" s="89" t="s">
        <v>738</v>
      </c>
      <c r="D2295" s="88" t="s">
        <v>160</v>
      </c>
      <c r="F2295" s="70">
        <f t="shared" si="70"/>
        <v>1986</v>
      </c>
      <c r="G2295" s="70" t="s">
        <v>159</v>
      </c>
      <c r="H2295" s="70" t="str">
        <f t="shared" si="71"/>
        <v>RBT</v>
      </c>
    </row>
    <row r="2296" spans="1:8" ht="15" x14ac:dyDescent="0.25">
      <c r="A2296" s="88" t="s">
        <v>212</v>
      </c>
      <c r="B2296" s="88">
        <v>1986</v>
      </c>
      <c r="C2296" s="89" t="s">
        <v>737</v>
      </c>
      <c r="D2296" s="88" t="s">
        <v>160</v>
      </c>
      <c r="F2296" s="70">
        <f t="shared" si="70"/>
        <v>1986</v>
      </c>
      <c r="G2296" s="70" t="s">
        <v>159</v>
      </c>
      <c r="H2296" s="70" t="str">
        <f t="shared" si="71"/>
        <v>RBT</v>
      </c>
    </row>
    <row r="2297" spans="1:8" ht="15" x14ac:dyDescent="0.25">
      <c r="A2297" s="88" t="s">
        <v>212</v>
      </c>
      <c r="B2297" s="88">
        <v>1986</v>
      </c>
      <c r="C2297" s="89" t="s">
        <v>736</v>
      </c>
      <c r="D2297" s="88" t="s">
        <v>160</v>
      </c>
      <c r="F2297" s="70">
        <f t="shared" si="70"/>
        <v>1986</v>
      </c>
      <c r="G2297" s="70" t="s">
        <v>159</v>
      </c>
      <c r="H2297" s="70" t="str">
        <f t="shared" si="71"/>
        <v>RBT</v>
      </c>
    </row>
    <row r="2298" spans="1:8" ht="15" x14ac:dyDescent="0.25">
      <c r="A2298" s="88" t="s">
        <v>212</v>
      </c>
      <c r="B2298" s="88">
        <v>1986</v>
      </c>
      <c r="C2298" s="89" t="s">
        <v>735</v>
      </c>
      <c r="D2298" s="88" t="s">
        <v>160</v>
      </c>
      <c r="F2298" s="70">
        <f t="shared" si="70"/>
        <v>1986</v>
      </c>
      <c r="G2298" s="70" t="s">
        <v>159</v>
      </c>
      <c r="H2298" s="70" t="str">
        <f t="shared" si="71"/>
        <v>RBT</v>
      </c>
    </row>
    <row r="2299" spans="1:8" ht="15" x14ac:dyDescent="0.25">
      <c r="A2299" s="88" t="s">
        <v>212</v>
      </c>
      <c r="B2299" s="88">
        <v>1986</v>
      </c>
      <c r="C2299" s="89" t="s">
        <v>734</v>
      </c>
      <c r="D2299" s="88" t="s">
        <v>160</v>
      </c>
      <c r="F2299" s="70">
        <f t="shared" si="70"/>
        <v>1986</v>
      </c>
      <c r="G2299" s="70" t="s">
        <v>159</v>
      </c>
      <c r="H2299" s="70" t="str">
        <f t="shared" si="71"/>
        <v>RBT</v>
      </c>
    </row>
    <row r="2300" spans="1:8" ht="15" x14ac:dyDescent="0.25">
      <c r="A2300" s="88" t="s">
        <v>212</v>
      </c>
      <c r="B2300" s="88">
        <v>1986</v>
      </c>
      <c r="C2300" s="89" t="s">
        <v>733</v>
      </c>
      <c r="D2300" s="88" t="s">
        <v>160</v>
      </c>
      <c r="F2300" s="70">
        <f t="shared" si="70"/>
        <v>1986</v>
      </c>
      <c r="G2300" s="70" t="s">
        <v>159</v>
      </c>
      <c r="H2300" s="70" t="str">
        <f t="shared" si="71"/>
        <v>RBT</v>
      </c>
    </row>
    <row r="2301" spans="1:8" ht="15" x14ac:dyDescent="0.25">
      <c r="A2301" s="88" t="s">
        <v>212</v>
      </c>
      <c r="B2301" s="88">
        <v>1986</v>
      </c>
      <c r="C2301" s="89" t="s">
        <v>732</v>
      </c>
      <c r="D2301" s="88" t="s">
        <v>160</v>
      </c>
      <c r="F2301" s="70">
        <f t="shared" si="70"/>
        <v>1986</v>
      </c>
      <c r="G2301" s="70" t="s">
        <v>159</v>
      </c>
      <c r="H2301" s="70" t="str">
        <f t="shared" si="71"/>
        <v>RBT</v>
      </c>
    </row>
    <row r="2302" spans="1:8" ht="15" x14ac:dyDescent="0.25">
      <c r="A2302" s="88" t="s">
        <v>212</v>
      </c>
      <c r="B2302" s="88">
        <v>1986</v>
      </c>
      <c r="C2302" s="89" t="s">
        <v>731</v>
      </c>
      <c r="D2302" s="88" t="s">
        <v>160</v>
      </c>
      <c r="F2302" s="70">
        <f t="shared" si="70"/>
        <v>1986</v>
      </c>
      <c r="G2302" s="70" t="s">
        <v>159</v>
      </c>
      <c r="H2302" s="70" t="str">
        <f t="shared" si="71"/>
        <v>RBT</v>
      </c>
    </row>
    <row r="2303" spans="1:8" ht="15" x14ac:dyDescent="0.25">
      <c r="A2303" s="88" t="s">
        <v>212</v>
      </c>
      <c r="B2303" s="88">
        <v>1986</v>
      </c>
      <c r="C2303" s="89" t="s">
        <v>730</v>
      </c>
      <c r="D2303" s="88" t="s">
        <v>160</v>
      </c>
      <c r="F2303" s="70">
        <f t="shared" si="70"/>
        <v>1986</v>
      </c>
      <c r="G2303" s="70" t="s">
        <v>159</v>
      </c>
      <c r="H2303" s="70" t="str">
        <f t="shared" si="71"/>
        <v>RBT</v>
      </c>
    </row>
    <row r="2304" spans="1:8" ht="15" x14ac:dyDescent="0.25">
      <c r="A2304" s="88" t="s">
        <v>212</v>
      </c>
      <c r="B2304" s="88">
        <v>1986</v>
      </c>
      <c r="C2304" s="89" t="s">
        <v>729</v>
      </c>
      <c r="D2304" s="88" t="s">
        <v>160</v>
      </c>
      <c r="F2304" s="70">
        <f t="shared" si="70"/>
        <v>1986</v>
      </c>
      <c r="G2304" s="70" t="s">
        <v>159</v>
      </c>
      <c r="H2304" s="70" t="str">
        <f t="shared" si="71"/>
        <v>RBT</v>
      </c>
    </row>
    <row r="2305" spans="1:8" ht="15" x14ac:dyDescent="0.25">
      <c r="A2305" s="88" t="s">
        <v>212</v>
      </c>
      <c r="B2305" s="88">
        <v>1986</v>
      </c>
      <c r="C2305" s="89" t="s">
        <v>728</v>
      </c>
      <c r="D2305" s="88" t="s">
        <v>160</v>
      </c>
      <c r="F2305" s="70">
        <f t="shared" si="70"/>
        <v>1986</v>
      </c>
      <c r="G2305" s="70" t="s">
        <v>159</v>
      </c>
      <c r="H2305" s="70" t="str">
        <f t="shared" si="71"/>
        <v>RBT</v>
      </c>
    </row>
    <row r="2306" spans="1:8" ht="15" x14ac:dyDescent="0.25">
      <c r="A2306" s="88" t="s">
        <v>212</v>
      </c>
      <c r="B2306" s="88">
        <v>1986</v>
      </c>
      <c r="C2306" s="89" t="s">
        <v>727</v>
      </c>
      <c r="D2306" s="88" t="s">
        <v>160</v>
      </c>
      <c r="F2306" s="70">
        <f t="shared" si="70"/>
        <v>1986</v>
      </c>
      <c r="G2306" s="70" t="s">
        <v>159</v>
      </c>
      <c r="H2306" s="70" t="str">
        <f t="shared" si="71"/>
        <v>RBT</v>
      </c>
    </row>
    <row r="2307" spans="1:8" ht="15" x14ac:dyDescent="0.25">
      <c r="A2307" s="88" t="s">
        <v>212</v>
      </c>
      <c r="B2307" s="88">
        <v>1986</v>
      </c>
      <c r="C2307" s="89" t="s">
        <v>726</v>
      </c>
      <c r="D2307" s="88" t="s">
        <v>160</v>
      </c>
      <c r="F2307" s="70">
        <f t="shared" si="70"/>
        <v>1986</v>
      </c>
      <c r="G2307" s="70" t="s">
        <v>159</v>
      </c>
      <c r="H2307" s="70" t="str">
        <f t="shared" si="71"/>
        <v>RBT</v>
      </c>
    </row>
    <row r="2308" spans="1:8" ht="15" x14ac:dyDescent="0.25">
      <c r="A2308" s="88" t="s">
        <v>212</v>
      </c>
      <c r="B2308" s="88">
        <v>1986</v>
      </c>
      <c r="C2308" s="89" t="s">
        <v>725</v>
      </c>
      <c r="D2308" s="88" t="s">
        <v>160</v>
      </c>
      <c r="F2308" s="70">
        <f t="shared" si="70"/>
        <v>1986</v>
      </c>
      <c r="G2308" s="70" t="s">
        <v>159</v>
      </c>
      <c r="H2308" s="70" t="str">
        <f t="shared" si="71"/>
        <v>RBT</v>
      </c>
    </row>
    <row r="2309" spans="1:8" ht="15" x14ac:dyDescent="0.25">
      <c r="A2309" s="88" t="s">
        <v>212</v>
      </c>
      <c r="B2309" s="88">
        <v>1987</v>
      </c>
      <c r="C2309" s="89" t="s">
        <v>724</v>
      </c>
      <c r="D2309" s="88" t="s">
        <v>160</v>
      </c>
      <c r="F2309" s="70">
        <f t="shared" si="70"/>
        <v>1987</v>
      </c>
      <c r="G2309" s="70" t="s">
        <v>159</v>
      </c>
      <c r="H2309" s="70" t="str">
        <f t="shared" si="71"/>
        <v>RBT</v>
      </c>
    </row>
    <row r="2310" spans="1:8" ht="15" x14ac:dyDescent="0.25">
      <c r="A2310" s="88" t="s">
        <v>212</v>
      </c>
      <c r="B2310" s="88">
        <v>1987</v>
      </c>
      <c r="C2310" s="89" t="s">
        <v>723</v>
      </c>
      <c r="D2310" s="88" t="s">
        <v>160</v>
      </c>
      <c r="F2310" s="70">
        <f t="shared" si="70"/>
        <v>1987</v>
      </c>
      <c r="G2310" s="70" t="s">
        <v>159</v>
      </c>
      <c r="H2310" s="70" t="str">
        <f t="shared" si="71"/>
        <v>RBT</v>
      </c>
    </row>
    <row r="2311" spans="1:8" ht="15" x14ac:dyDescent="0.25">
      <c r="A2311" s="88" t="s">
        <v>212</v>
      </c>
      <c r="B2311" s="88">
        <v>1987</v>
      </c>
      <c r="C2311" s="89" t="s">
        <v>722</v>
      </c>
      <c r="D2311" s="88" t="s">
        <v>160</v>
      </c>
      <c r="F2311" s="70">
        <f t="shared" si="70"/>
        <v>1987</v>
      </c>
      <c r="G2311" s="70" t="s">
        <v>159</v>
      </c>
      <c r="H2311" s="70" t="str">
        <f t="shared" si="71"/>
        <v>RBT</v>
      </c>
    </row>
    <row r="2312" spans="1:8" ht="15" x14ac:dyDescent="0.25">
      <c r="A2312" s="88" t="s">
        <v>212</v>
      </c>
      <c r="B2312" s="88">
        <v>1987</v>
      </c>
      <c r="C2312" s="89" t="s">
        <v>721</v>
      </c>
      <c r="D2312" s="88" t="s">
        <v>160</v>
      </c>
      <c r="F2312" s="70">
        <f t="shared" ref="F2312:F2375" si="72">+B2312</f>
        <v>1987</v>
      </c>
      <c r="G2312" s="70" t="s">
        <v>159</v>
      </c>
      <c r="H2312" s="70" t="str">
        <f t="shared" ref="H2312:H2375" si="73">A2312</f>
        <v>RBT</v>
      </c>
    </row>
    <row r="2313" spans="1:8" ht="15" x14ac:dyDescent="0.25">
      <c r="A2313" s="88" t="s">
        <v>212</v>
      </c>
      <c r="B2313" s="88">
        <v>1987</v>
      </c>
      <c r="C2313" s="89" t="s">
        <v>720</v>
      </c>
      <c r="D2313" s="88" t="s">
        <v>160</v>
      </c>
      <c r="F2313" s="70">
        <f t="shared" si="72"/>
        <v>1987</v>
      </c>
      <c r="G2313" s="70" t="s">
        <v>159</v>
      </c>
      <c r="H2313" s="70" t="str">
        <f t="shared" si="73"/>
        <v>RBT</v>
      </c>
    </row>
    <row r="2314" spans="1:8" ht="15" x14ac:dyDescent="0.25">
      <c r="A2314" s="88" t="s">
        <v>212</v>
      </c>
      <c r="B2314" s="88">
        <v>1987</v>
      </c>
      <c r="C2314" s="89" t="s">
        <v>719</v>
      </c>
      <c r="D2314" s="88" t="s">
        <v>160</v>
      </c>
      <c r="F2314" s="70">
        <f t="shared" si="72"/>
        <v>1987</v>
      </c>
      <c r="G2314" s="70" t="s">
        <v>159</v>
      </c>
      <c r="H2314" s="70" t="str">
        <f t="shared" si="73"/>
        <v>RBT</v>
      </c>
    </row>
    <row r="2315" spans="1:8" ht="15" x14ac:dyDescent="0.25">
      <c r="A2315" s="88" t="s">
        <v>212</v>
      </c>
      <c r="B2315" s="88">
        <v>1987</v>
      </c>
      <c r="C2315" s="89" t="s">
        <v>718</v>
      </c>
      <c r="D2315" s="88" t="s">
        <v>160</v>
      </c>
      <c r="F2315" s="70">
        <f t="shared" si="72"/>
        <v>1987</v>
      </c>
      <c r="G2315" s="70" t="s">
        <v>159</v>
      </c>
      <c r="H2315" s="70" t="str">
        <f t="shared" si="73"/>
        <v>RBT</v>
      </c>
    </row>
    <row r="2316" spans="1:8" ht="15" x14ac:dyDescent="0.25">
      <c r="A2316" s="88" t="s">
        <v>212</v>
      </c>
      <c r="B2316" s="88">
        <v>1987</v>
      </c>
      <c r="C2316" s="89" t="s">
        <v>717</v>
      </c>
      <c r="D2316" s="88" t="s">
        <v>160</v>
      </c>
      <c r="F2316" s="70">
        <f t="shared" si="72"/>
        <v>1987</v>
      </c>
      <c r="G2316" s="70" t="s">
        <v>159</v>
      </c>
      <c r="H2316" s="70" t="str">
        <f t="shared" si="73"/>
        <v>RBT</v>
      </c>
    </row>
    <row r="2317" spans="1:8" ht="15" x14ac:dyDescent="0.25">
      <c r="A2317" s="88" t="s">
        <v>212</v>
      </c>
      <c r="B2317" s="88">
        <v>1987</v>
      </c>
      <c r="C2317" s="89" t="s">
        <v>716</v>
      </c>
      <c r="D2317" s="88" t="s">
        <v>160</v>
      </c>
      <c r="F2317" s="70">
        <f t="shared" si="72"/>
        <v>1987</v>
      </c>
      <c r="G2317" s="70" t="s">
        <v>159</v>
      </c>
      <c r="H2317" s="70" t="str">
        <f t="shared" si="73"/>
        <v>RBT</v>
      </c>
    </row>
    <row r="2318" spans="1:8" ht="15" x14ac:dyDescent="0.25">
      <c r="A2318" s="88" t="s">
        <v>212</v>
      </c>
      <c r="B2318" s="88">
        <v>1987</v>
      </c>
      <c r="C2318" s="89" t="s">
        <v>715</v>
      </c>
      <c r="D2318" s="88" t="s">
        <v>160</v>
      </c>
      <c r="F2318" s="70">
        <f t="shared" si="72"/>
        <v>1987</v>
      </c>
      <c r="G2318" s="70" t="s">
        <v>159</v>
      </c>
      <c r="H2318" s="70" t="str">
        <f t="shared" si="73"/>
        <v>RBT</v>
      </c>
    </row>
    <row r="2319" spans="1:8" ht="15" x14ac:dyDescent="0.25">
      <c r="A2319" s="88" t="s">
        <v>212</v>
      </c>
      <c r="B2319" s="88">
        <v>1987</v>
      </c>
      <c r="C2319" s="89" t="s">
        <v>714</v>
      </c>
      <c r="D2319" s="88" t="s">
        <v>160</v>
      </c>
      <c r="F2319" s="70">
        <f t="shared" si="72"/>
        <v>1987</v>
      </c>
      <c r="G2319" s="70" t="s">
        <v>159</v>
      </c>
      <c r="H2319" s="70" t="str">
        <f t="shared" si="73"/>
        <v>RBT</v>
      </c>
    </row>
    <row r="2320" spans="1:8" ht="15" x14ac:dyDescent="0.25">
      <c r="A2320" s="88" t="s">
        <v>212</v>
      </c>
      <c r="B2320" s="88">
        <v>1987</v>
      </c>
      <c r="C2320" s="89" t="s">
        <v>713</v>
      </c>
      <c r="D2320" s="88" t="s">
        <v>160</v>
      </c>
      <c r="F2320" s="70">
        <f t="shared" si="72"/>
        <v>1987</v>
      </c>
      <c r="G2320" s="70" t="s">
        <v>159</v>
      </c>
      <c r="H2320" s="70" t="str">
        <f t="shared" si="73"/>
        <v>RBT</v>
      </c>
    </row>
    <row r="2321" spans="1:8" ht="15" x14ac:dyDescent="0.25">
      <c r="A2321" s="88" t="s">
        <v>212</v>
      </c>
      <c r="B2321" s="88">
        <v>1987</v>
      </c>
      <c r="C2321" s="89" t="s">
        <v>712</v>
      </c>
      <c r="D2321" s="88" t="s">
        <v>160</v>
      </c>
      <c r="F2321" s="70">
        <f t="shared" si="72"/>
        <v>1987</v>
      </c>
      <c r="G2321" s="70" t="s">
        <v>159</v>
      </c>
      <c r="H2321" s="70" t="str">
        <f t="shared" si="73"/>
        <v>RBT</v>
      </c>
    </row>
    <row r="2322" spans="1:8" ht="15" x14ac:dyDescent="0.25">
      <c r="A2322" s="88" t="s">
        <v>212</v>
      </c>
      <c r="B2322" s="88">
        <v>1987</v>
      </c>
      <c r="C2322" s="89" t="s">
        <v>711</v>
      </c>
      <c r="D2322" s="88" t="s">
        <v>160</v>
      </c>
      <c r="F2322" s="70">
        <f t="shared" si="72"/>
        <v>1987</v>
      </c>
      <c r="G2322" s="70" t="s">
        <v>159</v>
      </c>
      <c r="H2322" s="70" t="str">
        <f t="shared" si="73"/>
        <v>RBT</v>
      </c>
    </row>
    <row r="2323" spans="1:8" ht="15" x14ac:dyDescent="0.25">
      <c r="A2323" s="88" t="s">
        <v>212</v>
      </c>
      <c r="B2323" s="88">
        <v>1987</v>
      </c>
      <c r="C2323" s="89" t="s">
        <v>710</v>
      </c>
      <c r="D2323" s="88" t="s">
        <v>160</v>
      </c>
      <c r="F2323" s="70">
        <f t="shared" si="72"/>
        <v>1987</v>
      </c>
      <c r="G2323" s="70" t="s">
        <v>159</v>
      </c>
      <c r="H2323" s="70" t="str">
        <f t="shared" si="73"/>
        <v>RBT</v>
      </c>
    </row>
    <row r="2324" spans="1:8" ht="15" x14ac:dyDescent="0.25">
      <c r="A2324" s="88" t="s">
        <v>212</v>
      </c>
      <c r="B2324" s="88">
        <v>1987</v>
      </c>
      <c r="C2324" s="89" t="s">
        <v>709</v>
      </c>
      <c r="D2324" s="88" t="s">
        <v>160</v>
      </c>
      <c r="F2324" s="70">
        <f t="shared" si="72"/>
        <v>1987</v>
      </c>
      <c r="G2324" s="70" t="s">
        <v>159</v>
      </c>
      <c r="H2324" s="70" t="str">
        <f t="shared" si="73"/>
        <v>RBT</v>
      </c>
    </row>
    <row r="2325" spans="1:8" ht="15" x14ac:dyDescent="0.25">
      <c r="A2325" s="88" t="s">
        <v>212</v>
      </c>
      <c r="B2325" s="88">
        <v>1987</v>
      </c>
      <c r="C2325" s="89" t="s">
        <v>708</v>
      </c>
      <c r="D2325" s="88" t="s">
        <v>160</v>
      </c>
      <c r="F2325" s="70">
        <f t="shared" si="72"/>
        <v>1987</v>
      </c>
      <c r="G2325" s="70" t="s">
        <v>159</v>
      </c>
      <c r="H2325" s="70" t="str">
        <f t="shared" si="73"/>
        <v>RBT</v>
      </c>
    </row>
    <row r="2326" spans="1:8" ht="15" x14ac:dyDescent="0.25">
      <c r="A2326" s="88" t="s">
        <v>212</v>
      </c>
      <c r="B2326" s="88">
        <v>1987</v>
      </c>
      <c r="C2326" s="89" t="s">
        <v>707</v>
      </c>
      <c r="D2326" s="88" t="s">
        <v>160</v>
      </c>
      <c r="F2326" s="70">
        <f t="shared" si="72"/>
        <v>1987</v>
      </c>
      <c r="G2326" s="70" t="s">
        <v>159</v>
      </c>
      <c r="H2326" s="70" t="str">
        <f t="shared" si="73"/>
        <v>RBT</v>
      </c>
    </row>
    <row r="2327" spans="1:8" ht="15" x14ac:dyDescent="0.25">
      <c r="A2327" s="88" t="s">
        <v>212</v>
      </c>
      <c r="B2327" s="88">
        <v>1988</v>
      </c>
      <c r="C2327" s="89" t="s">
        <v>706</v>
      </c>
      <c r="D2327" s="88" t="s">
        <v>160</v>
      </c>
      <c r="F2327" s="70">
        <f t="shared" si="72"/>
        <v>1988</v>
      </c>
      <c r="G2327" s="70" t="s">
        <v>159</v>
      </c>
      <c r="H2327" s="70" t="str">
        <f t="shared" si="73"/>
        <v>RBT</v>
      </c>
    </row>
    <row r="2328" spans="1:8" ht="15" x14ac:dyDescent="0.25">
      <c r="A2328" s="88" t="s">
        <v>212</v>
      </c>
      <c r="B2328" s="88">
        <v>1988</v>
      </c>
      <c r="C2328" s="89" t="s">
        <v>705</v>
      </c>
      <c r="D2328" s="88" t="s">
        <v>160</v>
      </c>
      <c r="F2328" s="70">
        <f t="shared" si="72"/>
        <v>1988</v>
      </c>
      <c r="G2328" s="70" t="s">
        <v>159</v>
      </c>
      <c r="H2328" s="70" t="str">
        <f t="shared" si="73"/>
        <v>RBT</v>
      </c>
    </row>
    <row r="2329" spans="1:8" ht="15" x14ac:dyDescent="0.25">
      <c r="A2329" s="88" t="s">
        <v>212</v>
      </c>
      <c r="B2329" s="88">
        <v>1988</v>
      </c>
      <c r="C2329" s="89" t="s">
        <v>704</v>
      </c>
      <c r="D2329" s="88" t="s">
        <v>160</v>
      </c>
      <c r="F2329" s="70">
        <f t="shared" si="72"/>
        <v>1988</v>
      </c>
      <c r="G2329" s="70" t="s">
        <v>159</v>
      </c>
      <c r="H2329" s="70" t="str">
        <f t="shared" si="73"/>
        <v>RBT</v>
      </c>
    </row>
    <row r="2330" spans="1:8" ht="15" x14ac:dyDescent="0.25">
      <c r="A2330" s="88" t="s">
        <v>212</v>
      </c>
      <c r="B2330" s="88">
        <v>1988</v>
      </c>
      <c r="C2330" s="89" t="s">
        <v>703</v>
      </c>
      <c r="D2330" s="88" t="s">
        <v>160</v>
      </c>
      <c r="F2330" s="70">
        <f t="shared" si="72"/>
        <v>1988</v>
      </c>
      <c r="G2330" s="70" t="s">
        <v>159</v>
      </c>
      <c r="H2330" s="70" t="str">
        <f t="shared" si="73"/>
        <v>RBT</v>
      </c>
    </row>
    <row r="2331" spans="1:8" ht="15" x14ac:dyDescent="0.25">
      <c r="A2331" s="88" t="s">
        <v>212</v>
      </c>
      <c r="B2331" s="88">
        <v>1988</v>
      </c>
      <c r="C2331" s="89" t="s">
        <v>702</v>
      </c>
      <c r="D2331" s="88" t="s">
        <v>160</v>
      </c>
      <c r="F2331" s="70">
        <f t="shared" si="72"/>
        <v>1988</v>
      </c>
      <c r="G2331" s="70" t="s">
        <v>159</v>
      </c>
      <c r="H2331" s="70" t="str">
        <f t="shared" si="73"/>
        <v>RBT</v>
      </c>
    </row>
    <row r="2332" spans="1:8" ht="15" x14ac:dyDescent="0.25">
      <c r="A2332" s="88" t="s">
        <v>212</v>
      </c>
      <c r="B2332" s="88">
        <v>1988</v>
      </c>
      <c r="C2332" s="89" t="s">
        <v>701</v>
      </c>
      <c r="D2332" s="88" t="s">
        <v>160</v>
      </c>
      <c r="F2332" s="70">
        <f t="shared" si="72"/>
        <v>1988</v>
      </c>
      <c r="G2332" s="70" t="s">
        <v>159</v>
      </c>
      <c r="H2332" s="70" t="str">
        <f t="shared" si="73"/>
        <v>RBT</v>
      </c>
    </row>
    <row r="2333" spans="1:8" ht="15" x14ac:dyDescent="0.25">
      <c r="A2333" s="88" t="s">
        <v>212</v>
      </c>
      <c r="B2333" s="88">
        <v>1988</v>
      </c>
      <c r="C2333" s="89" t="s">
        <v>700</v>
      </c>
      <c r="D2333" s="88" t="s">
        <v>160</v>
      </c>
      <c r="F2333" s="70">
        <f t="shared" si="72"/>
        <v>1988</v>
      </c>
      <c r="G2333" s="70" t="s">
        <v>159</v>
      </c>
      <c r="H2333" s="70" t="str">
        <f t="shared" si="73"/>
        <v>RBT</v>
      </c>
    </row>
    <row r="2334" spans="1:8" ht="15" x14ac:dyDescent="0.25">
      <c r="A2334" s="88" t="s">
        <v>212</v>
      </c>
      <c r="B2334" s="88">
        <v>1988</v>
      </c>
      <c r="C2334" s="89" t="s">
        <v>699</v>
      </c>
      <c r="D2334" s="88" t="s">
        <v>160</v>
      </c>
      <c r="F2334" s="70">
        <f t="shared" si="72"/>
        <v>1988</v>
      </c>
      <c r="G2334" s="70" t="s">
        <v>159</v>
      </c>
      <c r="H2334" s="70" t="str">
        <f t="shared" si="73"/>
        <v>RBT</v>
      </c>
    </row>
    <row r="2335" spans="1:8" ht="15" x14ac:dyDescent="0.25">
      <c r="A2335" s="88" t="s">
        <v>212</v>
      </c>
      <c r="B2335" s="88">
        <v>1989</v>
      </c>
      <c r="C2335" s="89" t="s">
        <v>698</v>
      </c>
      <c r="D2335" s="88" t="s">
        <v>160</v>
      </c>
      <c r="F2335" s="70">
        <f t="shared" si="72"/>
        <v>1989</v>
      </c>
      <c r="G2335" s="70" t="s">
        <v>159</v>
      </c>
      <c r="H2335" s="70" t="str">
        <f t="shared" si="73"/>
        <v>RBT</v>
      </c>
    </row>
    <row r="2336" spans="1:8" ht="15" x14ac:dyDescent="0.25">
      <c r="A2336" s="88" t="s">
        <v>212</v>
      </c>
      <c r="B2336" s="88">
        <v>1989</v>
      </c>
      <c r="C2336" s="89" t="s">
        <v>697</v>
      </c>
      <c r="D2336" s="88" t="s">
        <v>160</v>
      </c>
      <c r="F2336" s="70">
        <f t="shared" si="72"/>
        <v>1989</v>
      </c>
      <c r="G2336" s="70" t="s">
        <v>159</v>
      </c>
      <c r="H2336" s="70" t="str">
        <f t="shared" si="73"/>
        <v>RBT</v>
      </c>
    </row>
    <row r="2337" spans="1:8" ht="15" x14ac:dyDescent="0.25">
      <c r="A2337" s="88" t="s">
        <v>212</v>
      </c>
      <c r="B2337" s="88">
        <v>1989</v>
      </c>
      <c r="C2337" s="89" t="s">
        <v>696</v>
      </c>
      <c r="D2337" s="88" t="s">
        <v>160</v>
      </c>
      <c r="F2337" s="70">
        <f t="shared" si="72"/>
        <v>1989</v>
      </c>
      <c r="G2337" s="70" t="s">
        <v>159</v>
      </c>
      <c r="H2337" s="70" t="str">
        <f t="shared" si="73"/>
        <v>RBT</v>
      </c>
    </row>
    <row r="2338" spans="1:8" ht="15" x14ac:dyDescent="0.25">
      <c r="A2338" s="88" t="s">
        <v>212</v>
      </c>
      <c r="B2338" s="88">
        <v>1989</v>
      </c>
      <c r="C2338" s="89" t="s">
        <v>695</v>
      </c>
      <c r="D2338" s="88" t="s">
        <v>160</v>
      </c>
      <c r="F2338" s="70">
        <f t="shared" si="72"/>
        <v>1989</v>
      </c>
      <c r="G2338" s="70" t="s">
        <v>159</v>
      </c>
      <c r="H2338" s="70" t="str">
        <f t="shared" si="73"/>
        <v>RBT</v>
      </c>
    </row>
    <row r="2339" spans="1:8" ht="15" x14ac:dyDescent="0.25">
      <c r="A2339" s="88" t="s">
        <v>212</v>
      </c>
      <c r="B2339" s="88">
        <v>1989</v>
      </c>
      <c r="C2339" s="89" t="s">
        <v>694</v>
      </c>
      <c r="D2339" s="88" t="s">
        <v>160</v>
      </c>
      <c r="F2339" s="70">
        <f t="shared" si="72"/>
        <v>1989</v>
      </c>
      <c r="G2339" s="70" t="s">
        <v>159</v>
      </c>
      <c r="H2339" s="70" t="str">
        <f t="shared" si="73"/>
        <v>RBT</v>
      </c>
    </row>
    <row r="2340" spans="1:8" ht="15" x14ac:dyDescent="0.25">
      <c r="A2340" s="88" t="s">
        <v>212</v>
      </c>
      <c r="B2340" s="88">
        <v>1989</v>
      </c>
      <c r="C2340" s="89" t="s">
        <v>693</v>
      </c>
      <c r="D2340" s="88" t="s">
        <v>160</v>
      </c>
      <c r="F2340" s="70">
        <f t="shared" si="72"/>
        <v>1989</v>
      </c>
      <c r="G2340" s="70" t="s">
        <v>159</v>
      </c>
      <c r="H2340" s="70" t="str">
        <f t="shared" si="73"/>
        <v>RBT</v>
      </c>
    </row>
    <row r="2341" spans="1:8" ht="15" x14ac:dyDescent="0.25">
      <c r="A2341" s="88" t="s">
        <v>212</v>
      </c>
      <c r="B2341" s="88">
        <v>1989</v>
      </c>
      <c r="C2341" s="89" t="s">
        <v>692</v>
      </c>
      <c r="D2341" s="88" t="s">
        <v>160</v>
      </c>
      <c r="F2341" s="70">
        <f t="shared" si="72"/>
        <v>1989</v>
      </c>
      <c r="G2341" s="70" t="s">
        <v>159</v>
      </c>
      <c r="H2341" s="70" t="str">
        <f t="shared" si="73"/>
        <v>RBT</v>
      </c>
    </row>
    <row r="2342" spans="1:8" ht="15" x14ac:dyDescent="0.25">
      <c r="A2342" s="88" t="s">
        <v>212</v>
      </c>
      <c r="B2342" s="88">
        <v>1989</v>
      </c>
      <c r="C2342" s="89" t="s">
        <v>691</v>
      </c>
      <c r="D2342" s="88" t="s">
        <v>160</v>
      </c>
      <c r="F2342" s="70">
        <f t="shared" si="72"/>
        <v>1989</v>
      </c>
      <c r="G2342" s="70" t="s">
        <v>159</v>
      </c>
      <c r="H2342" s="70" t="str">
        <f t="shared" si="73"/>
        <v>RBT</v>
      </c>
    </row>
    <row r="2343" spans="1:8" ht="15" x14ac:dyDescent="0.25">
      <c r="A2343" s="88" t="s">
        <v>212</v>
      </c>
      <c r="B2343" s="88">
        <v>1989</v>
      </c>
      <c r="C2343" s="89" t="s">
        <v>690</v>
      </c>
      <c r="D2343" s="88" t="s">
        <v>160</v>
      </c>
      <c r="F2343" s="70">
        <f t="shared" si="72"/>
        <v>1989</v>
      </c>
      <c r="G2343" s="70" t="s">
        <v>159</v>
      </c>
      <c r="H2343" s="70" t="str">
        <f t="shared" si="73"/>
        <v>RBT</v>
      </c>
    </row>
    <row r="2344" spans="1:8" ht="15" x14ac:dyDescent="0.25">
      <c r="A2344" s="88" t="s">
        <v>212</v>
      </c>
      <c r="B2344" s="88">
        <v>1989</v>
      </c>
      <c r="C2344" s="89" t="s">
        <v>689</v>
      </c>
      <c r="D2344" s="88" t="s">
        <v>160</v>
      </c>
      <c r="F2344" s="70">
        <f t="shared" si="72"/>
        <v>1989</v>
      </c>
      <c r="G2344" s="70" t="s">
        <v>159</v>
      </c>
      <c r="H2344" s="70" t="str">
        <f t="shared" si="73"/>
        <v>RBT</v>
      </c>
    </row>
    <row r="2345" spans="1:8" ht="15" x14ac:dyDescent="0.25">
      <c r="A2345" s="88" t="s">
        <v>212</v>
      </c>
      <c r="B2345" s="88">
        <v>1989</v>
      </c>
      <c r="C2345" s="89" t="s">
        <v>688</v>
      </c>
      <c r="D2345" s="88" t="s">
        <v>160</v>
      </c>
      <c r="F2345" s="70">
        <f t="shared" si="72"/>
        <v>1989</v>
      </c>
      <c r="G2345" s="70" t="s">
        <v>159</v>
      </c>
      <c r="H2345" s="70" t="str">
        <f t="shared" si="73"/>
        <v>RBT</v>
      </c>
    </row>
    <row r="2346" spans="1:8" ht="15" x14ac:dyDescent="0.25">
      <c r="A2346" s="88" t="s">
        <v>212</v>
      </c>
      <c r="B2346" s="88">
        <v>1990</v>
      </c>
      <c r="C2346" s="89" t="s">
        <v>687</v>
      </c>
      <c r="D2346" s="88" t="s">
        <v>160</v>
      </c>
      <c r="F2346" s="70">
        <f t="shared" si="72"/>
        <v>1990</v>
      </c>
      <c r="G2346" s="70" t="s">
        <v>159</v>
      </c>
      <c r="H2346" s="70" t="str">
        <f t="shared" si="73"/>
        <v>RBT</v>
      </c>
    </row>
    <row r="2347" spans="1:8" ht="15" x14ac:dyDescent="0.25">
      <c r="A2347" s="88" t="s">
        <v>212</v>
      </c>
      <c r="B2347" s="88">
        <v>1990</v>
      </c>
      <c r="C2347" s="89" t="s">
        <v>686</v>
      </c>
      <c r="D2347" s="88" t="s">
        <v>160</v>
      </c>
      <c r="F2347" s="70">
        <f t="shared" si="72"/>
        <v>1990</v>
      </c>
      <c r="G2347" s="70" t="s">
        <v>159</v>
      </c>
      <c r="H2347" s="70" t="str">
        <f t="shared" si="73"/>
        <v>RBT</v>
      </c>
    </row>
    <row r="2348" spans="1:8" ht="15" x14ac:dyDescent="0.25">
      <c r="A2348" s="88" t="s">
        <v>212</v>
      </c>
      <c r="B2348" s="88">
        <v>1990</v>
      </c>
      <c r="C2348" s="89" t="s">
        <v>685</v>
      </c>
      <c r="D2348" s="88" t="s">
        <v>160</v>
      </c>
      <c r="F2348" s="70">
        <f t="shared" si="72"/>
        <v>1990</v>
      </c>
      <c r="G2348" s="70" t="s">
        <v>159</v>
      </c>
      <c r="H2348" s="70" t="str">
        <f t="shared" si="73"/>
        <v>RBT</v>
      </c>
    </row>
    <row r="2349" spans="1:8" ht="15" x14ac:dyDescent="0.25">
      <c r="A2349" s="88" t="s">
        <v>212</v>
      </c>
      <c r="B2349" s="88">
        <v>1990</v>
      </c>
      <c r="C2349" s="89" t="s">
        <v>684</v>
      </c>
      <c r="D2349" s="88" t="s">
        <v>160</v>
      </c>
      <c r="F2349" s="70">
        <f t="shared" si="72"/>
        <v>1990</v>
      </c>
      <c r="G2349" s="70" t="s">
        <v>159</v>
      </c>
      <c r="H2349" s="70" t="str">
        <f t="shared" si="73"/>
        <v>RBT</v>
      </c>
    </row>
    <row r="2350" spans="1:8" ht="15" x14ac:dyDescent="0.25">
      <c r="A2350" s="88" t="s">
        <v>212</v>
      </c>
      <c r="B2350" s="88">
        <v>1990</v>
      </c>
      <c r="C2350" s="89" t="s">
        <v>683</v>
      </c>
      <c r="D2350" s="88" t="s">
        <v>160</v>
      </c>
      <c r="F2350" s="70">
        <f t="shared" si="72"/>
        <v>1990</v>
      </c>
      <c r="G2350" s="70" t="s">
        <v>159</v>
      </c>
      <c r="H2350" s="70" t="str">
        <f t="shared" si="73"/>
        <v>RBT</v>
      </c>
    </row>
    <row r="2351" spans="1:8" ht="15" x14ac:dyDescent="0.25">
      <c r="A2351" s="88" t="s">
        <v>212</v>
      </c>
      <c r="B2351" s="88">
        <v>1990</v>
      </c>
      <c r="C2351" s="89" t="s">
        <v>682</v>
      </c>
      <c r="D2351" s="88" t="s">
        <v>160</v>
      </c>
      <c r="F2351" s="70">
        <f t="shared" si="72"/>
        <v>1990</v>
      </c>
      <c r="G2351" s="70" t="s">
        <v>159</v>
      </c>
      <c r="H2351" s="70" t="str">
        <f t="shared" si="73"/>
        <v>RBT</v>
      </c>
    </row>
    <row r="2352" spans="1:8" ht="15" x14ac:dyDescent="0.25">
      <c r="A2352" s="88" t="s">
        <v>212</v>
      </c>
      <c r="B2352" s="88">
        <v>1990</v>
      </c>
      <c r="C2352" s="89" t="s">
        <v>681</v>
      </c>
      <c r="D2352" s="88" t="s">
        <v>160</v>
      </c>
      <c r="F2352" s="70">
        <f t="shared" si="72"/>
        <v>1990</v>
      </c>
      <c r="G2352" s="70" t="s">
        <v>159</v>
      </c>
      <c r="H2352" s="70" t="str">
        <f t="shared" si="73"/>
        <v>RBT</v>
      </c>
    </row>
    <row r="2353" spans="1:8" ht="15" x14ac:dyDescent="0.25">
      <c r="A2353" s="88" t="s">
        <v>212</v>
      </c>
      <c r="B2353" s="88">
        <v>1990</v>
      </c>
      <c r="C2353" s="89" t="s">
        <v>680</v>
      </c>
      <c r="D2353" s="88" t="s">
        <v>160</v>
      </c>
      <c r="F2353" s="70">
        <f t="shared" si="72"/>
        <v>1990</v>
      </c>
      <c r="G2353" s="70" t="s">
        <v>159</v>
      </c>
      <c r="H2353" s="70" t="str">
        <f t="shared" si="73"/>
        <v>RBT</v>
      </c>
    </row>
    <row r="2354" spans="1:8" ht="15" x14ac:dyDescent="0.25">
      <c r="A2354" s="88" t="s">
        <v>212</v>
      </c>
      <c r="B2354" s="88">
        <v>1990</v>
      </c>
      <c r="C2354" s="89" t="s">
        <v>679</v>
      </c>
      <c r="D2354" s="88" t="s">
        <v>160</v>
      </c>
      <c r="F2354" s="70">
        <f t="shared" si="72"/>
        <v>1990</v>
      </c>
      <c r="G2354" s="70" t="s">
        <v>159</v>
      </c>
      <c r="H2354" s="70" t="str">
        <f t="shared" si="73"/>
        <v>RBT</v>
      </c>
    </row>
    <row r="2355" spans="1:8" ht="15" x14ac:dyDescent="0.25">
      <c r="A2355" s="88" t="s">
        <v>212</v>
      </c>
      <c r="B2355" s="88">
        <v>1991</v>
      </c>
      <c r="C2355" s="89" t="s">
        <v>678</v>
      </c>
      <c r="D2355" s="88" t="s">
        <v>160</v>
      </c>
      <c r="F2355" s="70">
        <f t="shared" si="72"/>
        <v>1991</v>
      </c>
      <c r="G2355" s="70" t="s">
        <v>159</v>
      </c>
      <c r="H2355" s="70" t="str">
        <f t="shared" si="73"/>
        <v>RBT</v>
      </c>
    </row>
    <row r="2356" spans="1:8" ht="15" x14ac:dyDescent="0.25">
      <c r="A2356" s="88" t="s">
        <v>212</v>
      </c>
      <c r="B2356" s="88">
        <v>1991</v>
      </c>
      <c r="C2356" s="89" t="s">
        <v>677</v>
      </c>
      <c r="D2356" s="88" t="s">
        <v>160</v>
      </c>
      <c r="F2356" s="70">
        <f t="shared" si="72"/>
        <v>1991</v>
      </c>
      <c r="G2356" s="70" t="s">
        <v>159</v>
      </c>
      <c r="H2356" s="70" t="str">
        <f t="shared" si="73"/>
        <v>RBT</v>
      </c>
    </row>
    <row r="2357" spans="1:8" ht="15" x14ac:dyDescent="0.25">
      <c r="A2357" s="88" t="s">
        <v>212</v>
      </c>
      <c r="B2357" s="88">
        <v>1991</v>
      </c>
      <c r="C2357" s="89" t="s">
        <v>676</v>
      </c>
      <c r="D2357" s="88" t="s">
        <v>160</v>
      </c>
      <c r="F2357" s="70">
        <f t="shared" si="72"/>
        <v>1991</v>
      </c>
      <c r="G2357" s="70" t="s">
        <v>159</v>
      </c>
      <c r="H2357" s="70" t="str">
        <f t="shared" si="73"/>
        <v>RBT</v>
      </c>
    </row>
    <row r="2358" spans="1:8" ht="15" x14ac:dyDescent="0.25">
      <c r="A2358" s="88" t="s">
        <v>212</v>
      </c>
      <c r="B2358" s="88">
        <v>1991</v>
      </c>
      <c r="C2358" s="89" t="s">
        <v>675</v>
      </c>
      <c r="D2358" s="88" t="s">
        <v>160</v>
      </c>
      <c r="F2358" s="70">
        <f t="shared" si="72"/>
        <v>1991</v>
      </c>
      <c r="G2358" s="70" t="s">
        <v>159</v>
      </c>
      <c r="H2358" s="70" t="str">
        <f t="shared" si="73"/>
        <v>RBT</v>
      </c>
    </row>
    <row r="2359" spans="1:8" ht="15" x14ac:dyDescent="0.25">
      <c r="A2359" s="88" t="s">
        <v>212</v>
      </c>
      <c r="B2359" s="88">
        <v>1991</v>
      </c>
      <c r="C2359" s="89" t="s">
        <v>674</v>
      </c>
      <c r="D2359" s="88" t="s">
        <v>160</v>
      </c>
      <c r="F2359" s="70">
        <f t="shared" si="72"/>
        <v>1991</v>
      </c>
      <c r="G2359" s="70" t="s">
        <v>159</v>
      </c>
      <c r="H2359" s="70" t="str">
        <f t="shared" si="73"/>
        <v>RBT</v>
      </c>
    </row>
    <row r="2360" spans="1:8" ht="15" x14ac:dyDescent="0.25">
      <c r="A2360" s="88" t="s">
        <v>212</v>
      </c>
      <c r="B2360" s="88">
        <v>1991</v>
      </c>
      <c r="C2360" s="89" t="s">
        <v>673</v>
      </c>
      <c r="D2360" s="88" t="s">
        <v>160</v>
      </c>
      <c r="F2360" s="70">
        <f t="shared" si="72"/>
        <v>1991</v>
      </c>
      <c r="G2360" s="70" t="s">
        <v>159</v>
      </c>
      <c r="H2360" s="70" t="str">
        <f t="shared" si="73"/>
        <v>RBT</v>
      </c>
    </row>
    <row r="2361" spans="1:8" ht="15" x14ac:dyDescent="0.25">
      <c r="A2361" s="88" t="s">
        <v>212</v>
      </c>
      <c r="B2361" s="88">
        <v>1991</v>
      </c>
      <c r="C2361" s="89" t="s">
        <v>672</v>
      </c>
      <c r="D2361" s="88" t="s">
        <v>160</v>
      </c>
      <c r="F2361" s="70">
        <f t="shared" si="72"/>
        <v>1991</v>
      </c>
      <c r="G2361" s="70" t="s">
        <v>159</v>
      </c>
      <c r="H2361" s="70" t="str">
        <f t="shared" si="73"/>
        <v>RBT</v>
      </c>
    </row>
    <row r="2362" spans="1:8" ht="15" x14ac:dyDescent="0.25">
      <c r="A2362" s="88" t="s">
        <v>212</v>
      </c>
      <c r="B2362" s="88">
        <v>1991</v>
      </c>
      <c r="C2362" s="89" t="s">
        <v>671</v>
      </c>
      <c r="D2362" s="88" t="s">
        <v>160</v>
      </c>
      <c r="F2362" s="70">
        <f t="shared" si="72"/>
        <v>1991</v>
      </c>
      <c r="G2362" s="70" t="s">
        <v>159</v>
      </c>
      <c r="H2362" s="70" t="str">
        <f t="shared" si="73"/>
        <v>RBT</v>
      </c>
    </row>
    <row r="2363" spans="1:8" ht="15" x14ac:dyDescent="0.25">
      <c r="A2363" s="88" t="s">
        <v>212</v>
      </c>
      <c r="B2363" s="88">
        <v>1992</v>
      </c>
      <c r="C2363" s="89" t="s">
        <v>670</v>
      </c>
      <c r="D2363" s="88" t="s">
        <v>160</v>
      </c>
      <c r="F2363" s="70">
        <f t="shared" si="72"/>
        <v>1992</v>
      </c>
      <c r="G2363" s="70" t="s">
        <v>159</v>
      </c>
      <c r="H2363" s="70" t="str">
        <f t="shared" si="73"/>
        <v>RBT</v>
      </c>
    </row>
    <row r="2364" spans="1:8" ht="15" x14ac:dyDescent="0.25">
      <c r="A2364" s="88" t="s">
        <v>212</v>
      </c>
      <c r="B2364" s="88">
        <v>1992</v>
      </c>
      <c r="C2364" s="89" t="s">
        <v>669</v>
      </c>
      <c r="D2364" s="88" t="s">
        <v>160</v>
      </c>
      <c r="F2364" s="70">
        <f t="shared" si="72"/>
        <v>1992</v>
      </c>
      <c r="G2364" s="70" t="s">
        <v>159</v>
      </c>
      <c r="H2364" s="70" t="str">
        <f t="shared" si="73"/>
        <v>RBT</v>
      </c>
    </row>
    <row r="2365" spans="1:8" ht="15" x14ac:dyDescent="0.25">
      <c r="A2365" s="88" t="s">
        <v>212</v>
      </c>
      <c r="B2365" s="88">
        <v>1992</v>
      </c>
      <c r="C2365" s="89" t="s">
        <v>668</v>
      </c>
      <c r="D2365" s="88" t="s">
        <v>160</v>
      </c>
      <c r="F2365" s="70">
        <f t="shared" si="72"/>
        <v>1992</v>
      </c>
      <c r="G2365" s="70" t="s">
        <v>159</v>
      </c>
      <c r="H2365" s="70" t="str">
        <f t="shared" si="73"/>
        <v>RBT</v>
      </c>
    </row>
    <row r="2366" spans="1:8" ht="15" x14ac:dyDescent="0.25">
      <c r="A2366" s="88" t="s">
        <v>212</v>
      </c>
      <c r="B2366" s="88">
        <v>1992</v>
      </c>
      <c r="C2366" s="89" t="s">
        <v>667</v>
      </c>
      <c r="D2366" s="88" t="s">
        <v>160</v>
      </c>
      <c r="F2366" s="70">
        <f t="shared" si="72"/>
        <v>1992</v>
      </c>
      <c r="G2366" s="70" t="s">
        <v>159</v>
      </c>
      <c r="H2366" s="70" t="str">
        <f t="shared" si="73"/>
        <v>RBT</v>
      </c>
    </row>
    <row r="2367" spans="1:8" ht="15" x14ac:dyDescent="0.25">
      <c r="A2367" s="88" t="s">
        <v>212</v>
      </c>
      <c r="B2367" s="88">
        <v>1992</v>
      </c>
      <c r="C2367" s="89" t="s">
        <v>666</v>
      </c>
      <c r="D2367" s="88" t="s">
        <v>160</v>
      </c>
      <c r="F2367" s="70">
        <f t="shared" si="72"/>
        <v>1992</v>
      </c>
      <c r="G2367" s="70" t="s">
        <v>159</v>
      </c>
      <c r="H2367" s="70" t="str">
        <f t="shared" si="73"/>
        <v>RBT</v>
      </c>
    </row>
    <row r="2368" spans="1:8" ht="15" x14ac:dyDescent="0.25">
      <c r="A2368" s="88" t="s">
        <v>212</v>
      </c>
      <c r="B2368" s="88">
        <v>1992</v>
      </c>
      <c r="C2368" s="89" t="s">
        <v>665</v>
      </c>
      <c r="D2368" s="88" t="s">
        <v>160</v>
      </c>
      <c r="F2368" s="70">
        <f t="shared" si="72"/>
        <v>1992</v>
      </c>
      <c r="G2368" s="70" t="s">
        <v>159</v>
      </c>
      <c r="H2368" s="70" t="str">
        <f t="shared" si="73"/>
        <v>RBT</v>
      </c>
    </row>
    <row r="2369" spans="1:8" ht="15" x14ac:dyDescent="0.25">
      <c r="A2369" s="88" t="s">
        <v>212</v>
      </c>
      <c r="B2369" s="88">
        <v>1992</v>
      </c>
      <c r="C2369" s="89" t="s">
        <v>664</v>
      </c>
      <c r="D2369" s="88" t="s">
        <v>160</v>
      </c>
      <c r="F2369" s="70">
        <f t="shared" si="72"/>
        <v>1992</v>
      </c>
      <c r="G2369" s="70" t="s">
        <v>159</v>
      </c>
      <c r="H2369" s="70" t="str">
        <f t="shared" si="73"/>
        <v>RBT</v>
      </c>
    </row>
    <row r="2370" spans="1:8" ht="15" x14ac:dyDescent="0.25">
      <c r="A2370" s="88" t="s">
        <v>212</v>
      </c>
      <c r="B2370" s="88">
        <v>1992</v>
      </c>
      <c r="C2370" s="89" t="s">
        <v>663</v>
      </c>
      <c r="D2370" s="88" t="s">
        <v>160</v>
      </c>
      <c r="F2370" s="70">
        <f t="shared" si="72"/>
        <v>1992</v>
      </c>
      <c r="G2370" s="70" t="s">
        <v>159</v>
      </c>
      <c r="H2370" s="70" t="str">
        <f t="shared" si="73"/>
        <v>RBT</v>
      </c>
    </row>
    <row r="2371" spans="1:8" ht="15" x14ac:dyDescent="0.25">
      <c r="A2371" s="88" t="s">
        <v>212</v>
      </c>
      <c r="B2371" s="88">
        <v>1993</v>
      </c>
      <c r="C2371" s="89" t="s">
        <v>662</v>
      </c>
      <c r="D2371" s="88" t="s">
        <v>160</v>
      </c>
      <c r="F2371" s="70">
        <f t="shared" si="72"/>
        <v>1993</v>
      </c>
      <c r="G2371" s="70" t="s">
        <v>159</v>
      </c>
      <c r="H2371" s="70" t="str">
        <f t="shared" si="73"/>
        <v>RBT</v>
      </c>
    </row>
    <row r="2372" spans="1:8" ht="15" x14ac:dyDescent="0.25">
      <c r="A2372" s="88" t="s">
        <v>212</v>
      </c>
      <c r="B2372" s="88">
        <v>1993</v>
      </c>
      <c r="C2372" s="89" t="s">
        <v>661</v>
      </c>
      <c r="D2372" s="88" t="s">
        <v>160</v>
      </c>
      <c r="F2372" s="70">
        <f t="shared" si="72"/>
        <v>1993</v>
      </c>
      <c r="G2372" s="70" t="s">
        <v>159</v>
      </c>
      <c r="H2372" s="70" t="str">
        <f t="shared" si="73"/>
        <v>RBT</v>
      </c>
    </row>
    <row r="2373" spans="1:8" ht="15" x14ac:dyDescent="0.25">
      <c r="A2373" s="88" t="s">
        <v>212</v>
      </c>
      <c r="B2373" s="88">
        <v>1993</v>
      </c>
      <c r="C2373" s="89" t="s">
        <v>660</v>
      </c>
      <c r="D2373" s="88" t="s">
        <v>160</v>
      </c>
      <c r="F2373" s="70">
        <f t="shared" si="72"/>
        <v>1993</v>
      </c>
      <c r="G2373" s="70" t="s">
        <v>159</v>
      </c>
      <c r="H2373" s="70" t="str">
        <f t="shared" si="73"/>
        <v>RBT</v>
      </c>
    </row>
    <row r="2374" spans="1:8" ht="15" x14ac:dyDescent="0.25">
      <c r="A2374" s="88" t="s">
        <v>212</v>
      </c>
      <c r="B2374" s="88">
        <v>1993</v>
      </c>
      <c r="C2374" s="89" t="s">
        <v>659</v>
      </c>
      <c r="D2374" s="88" t="s">
        <v>160</v>
      </c>
      <c r="F2374" s="70">
        <f t="shared" si="72"/>
        <v>1993</v>
      </c>
      <c r="G2374" s="70" t="s">
        <v>159</v>
      </c>
      <c r="H2374" s="70" t="str">
        <f t="shared" si="73"/>
        <v>RBT</v>
      </c>
    </row>
    <row r="2375" spans="1:8" ht="15" x14ac:dyDescent="0.25">
      <c r="A2375" s="88" t="s">
        <v>212</v>
      </c>
      <c r="B2375" s="88">
        <v>1993</v>
      </c>
      <c r="C2375" s="89" t="s">
        <v>658</v>
      </c>
      <c r="D2375" s="88" t="s">
        <v>160</v>
      </c>
      <c r="F2375" s="70">
        <f t="shared" si="72"/>
        <v>1993</v>
      </c>
      <c r="G2375" s="70" t="s">
        <v>159</v>
      </c>
      <c r="H2375" s="70" t="str">
        <f t="shared" si="73"/>
        <v>RBT</v>
      </c>
    </row>
    <row r="2376" spans="1:8" ht="15" x14ac:dyDescent="0.25">
      <c r="A2376" s="88" t="s">
        <v>212</v>
      </c>
      <c r="B2376" s="88">
        <v>1993</v>
      </c>
      <c r="C2376" s="89" t="s">
        <v>657</v>
      </c>
      <c r="D2376" s="88" t="s">
        <v>160</v>
      </c>
      <c r="F2376" s="70">
        <f t="shared" ref="F2376:F2439" si="74">+B2376</f>
        <v>1993</v>
      </c>
      <c r="G2376" s="70" t="s">
        <v>159</v>
      </c>
      <c r="H2376" s="70" t="str">
        <f t="shared" ref="H2376:H2439" si="75">A2376</f>
        <v>RBT</v>
      </c>
    </row>
    <row r="2377" spans="1:8" ht="15" x14ac:dyDescent="0.25">
      <c r="A2377" s="88" t="s">
        <v>212</v>
      </c>
      <c r="B2377" s="88">
        <v>1993</v>
      </c>
      <c r="C2377" s="89" t="s">
        <v>656</v>
      </c>
      <c r="D2377" s="88" t="s">
        <v>160</v>
      </c>
      <c r="F2377" s="70">
        <f t="shared" si="74"/>
        <v>1993</v>
      </c>
      <c r="G2377" s="70" t="s">
        <v>159</v>
      </c>
      <c r="H2377" s="70" t="str">
        <f t="shared" si="75"/>
        <v>RBT</v>
      </c>
    </row>
    <row r="2378" spans="1:8" ht="15" x14ac:dyDescent="0.25">
      <c r="A2378" s="88" t="s">
        <v>212</v>
      </c>
      <c r="B2378" s="88">
        <v>1993</v>
      </c>
      <c r="C2378" s="89" t="s">
        <v>655</v>
      </c>
      <c r="D2378" s="88" t="s">
        <v>160</v>
      </c>
      <c r="F2378" s="70">
        <f t="shared" si="74"/>
        <v>1993</v>
      </c>
      <c r="G2378" s="70" t="s">
        <v>159</v>
      </c>
      <c r="H2378" s="70" t="str">
        <f t="shared" si="75"/>
        <v>RBT</v>
      </c>
    </row>
    <row r="2379" spans="1:8" ht="15" x14ac:dyDescent="0.25">
      <c r="A2379" s="88" t="s">
        <v>212</v>
      </c>
      <c r="B2379" s="88">
        <v>1994</v>
      </c>
      <c r="C2379" s="89" t="s">
        <v>654</v>
      </c>
      <c r="D2379" s="88" t="s">
        <v>160</v>
      </c>
      <c r="F2379" s="70">
        <f t="shared" si="74"/>
        <v>1994</v>
      </c>
      <c r="G2379" s="70" t="s">
        <v>159</v>
      </c>
      <c r="H2379" s="70" t="str">
        <f t="shared" si="75"/>
        <v>RBT</v>
      </c>
    </row>
    <row r="2380" spans="1:8" ht="15" x14ac:dyDescent="0.25">
      <c r="A2380" s="88" t="s">
        <v>212</v>
      </c>
      <c r="B2380" s="88">
        <v>1994</v>
      </c>
      <c r="C2380" s="89" t="s">
        <v>653</v>
      </c>
      <c r="D2380" s="88" t="s">
        <v>160</v>
      </c>
      <c r="F2380" s="70">
        <f t="shared" si="74"/>
        <v>1994</v>
      </c>
      <c r="G2380" s="70" t="s">
        <v>159</v>
      </c>
      <c r="H2380" s="70" t="str">
        <f t="shared" si="75"/>
        <v>RBT</v>
      </c>
    </row>
    <row r="2381" spans="1:8" ht="15" x14ac:dyDescent="0.25">
      <c r="A2381" s="88" t="s">
        <v>212</v>
      </c>
      <c r="B2381" s="88">
        <v>1994</v>
      </c>
      <c r="C2381" s="89" t="s">
        <v>652</v>
      </c>
      <c r="D2381" s="88" t="s">
        <v>160</v>
      </c>
      <c r="F2381" s="70">
        <f t="shared" si="74"/>
        <v>1994</v>
      </c>
      <c r="G2381" s="70" t="s">
        <v>159</v>
      </c>
      <c r="H2381" s="70" t="str">
        <f t="shared" si="75"/>
        <v>RBT</v>
      </c>
    </row>
    <row r="2382" spans="1:8" ht="15" x14ac:dyDescent="0.25">
      <c r="A2382" s="88" t="s">
        <v>212</v>
      </c>
      <c r="B2382" s="88">
        <v>1994</v>
      </c>
      <c r="C2382" s="89" t="s">
        <v>651</v>
      </c>
      <c r="D2382" s="88" t="s">
        <v>160</v>
      </c>
      <c r="F2382" s="70">
        <f t="shared" si="74"/>
        <v>1994</v>
      </c>
      <c r="G2382" s="70" t="s">
        <v>159</v>
      </c>
      <c r="H2382" s="70" t="str">
        <f t="shared" si="75"/>
        <v>RBT</v>
      </c>
    </row>
    <row r="2383" spans="1:8" ht="15" x14ac:dyDescent="0.25">
      <c r="A2383" s="88" t="s">
        <v>212</v>
      </c>
      <c r="B2383" s="88">
        <v>1994</v>
      </c>
      <c r="C2383" s="89" t="s">
        <v>650</v>
      </c>
      <c r="D2383" s="88" t="s">
        <v>160</v>
      </c>
      <c r="F2383" s="70">
        <f t="shared" si="74"/>
        <v>1994</v>
      </c>
      <c r="G2383" s="70" t="s">
        <v>159</v>
      </c>
      <c r="H2383" s="70" t="str">
        <f t="shared" si="75"/>
        <v>RBT</v>
      </c>
    </row>
    <row r="2384" spans="1:8" ht="15" x14ac:dyDescent="0.25">
      <c r="A2384" s="88" t="s">
        <v>212</v>
      </c>
      <c r="B2384" s="88">
        <v>1994</v>
      </c>
      <c r="C2384" s="89" t="s">
        <v>649</v>
      </c>
      <c r="D2384" s="88" t="s">
        <v>160</v>
      </c>
      <c r="F2384" s="70">
        <f t="shared" si="74"/>
        <v>1994</v>
      </c>
      <c r="G2384" s="70" t="s">
        <v>159</v>
      </c>
      <c r="H2384" s="70" t="str">
        <f t="shared" si="75"/>
        <v>RBT</v>
      </c>
    </row>
    <row r="2385" spans="1:8" ht="15" x14ac:dyDescent="0.25">
      <c r="A2385" s="88" t="s">
        <v>212</v>
      </c>
      <c r="B2385" s="88">
        <v>1994</v>
      </c>
      <c r="C2385" s="89" t="s">
        <v>648</v>
      </c>
      <c r="D2385" s="88" t="s">
        <v>160</v>
      </c>
      <c r="F2385" s="70">
        <f t="shared" si="74"/>
        <v>1994</v>
      </c>
      <c r="G2385" s="70" t="s">
        <v>159</v>
      </c>
      <c r="H2385" s="70" t="str">
        <f t="shared" si="75"/>
        <v>RBT</v>
      </c>
    </row>
    <row r="2386" spans="1:8" ht="15" x14ac:dyDescent="0.25">
      <c r="A2386" s="88" t="s">
        <v>212</v>
      </c>
      <c r="B2386" s="88">
        <v>1994</v>
      </c>
      <c r="C2386" s="89" t="s">
        <v>647</v>
      </c>
      <c r="D2386" s="88" t="s">
        <v>160</v>
      </c>
      <c r="F2386" s="70">
        <f t="shared" si="74"/>
        <v>1994</v>
      </c>
      <c r="G2386" s="70" t="s">
        <v>159</v>
      </c>
      <c r="H2386" s="70" t="str">
        <f t="shared" si="75"/>
        <v>RBT</v>
      </c>
    </row>
    <row r="2387" spans="1:8" ht="15" x14ac:dyDescent="0.25">
      <c r="A2387" s="88" t="s">
        <v>212</v>
      </c>
      <c r="B2387" s="88">
        <v>1994</v>
      </c>
      <c r="C2387" s="89" t="s">
        <v>646</v>
      </c>
      <c r="D2387" s="88" t="s">
        <v>160</v>
      </c>
      <c r="F2387" s="70">
        <f t="shared" si="74"/>
        <v>1994</v>
      </c>
      <c r="G2387" s="70" t="s">
        <v>159</v>
      </c>
      <c r="H2387" s="70" t="str">
        <f t="shared" si="75"/>
        <v>RBT</v>
      </c>
    </row>
    <row r="2388" spans="1:8" ht="15" x14ac:dyDescent="0.25">
      <c r="A2388" s="88" t="s">
        <v>212</v>
      </c>
      <c r="B2388" s="88">
        <v>1994</v>
      </c>
      <c r="C2388" s="89" t="s">
        <v>645</v>
      </c>
      <c r="D2388" s="88" t="s">
        <v>160</v>
      </c>
      <c r="F2388" s="70">
        <f t="shared" si="74"/>
        <v>1994</v>
      </c>
      <c r="G2388" s="70" t="s">
        <v>159</v>
      </c>
      <c r="H2388" s="70" t="str">
        <f t="shared" si="75"/>
        <v>RBT</v>
      </c>
    </row>
    <row r="2389" spans="1:8" ht="15" x14ac:dyDescent="0.25">
      <c r="A2389" s="88" t="s">
        <v>212</v>
      </c>
      <c r="B2389" s="88">
        <v>1994</v>
      </c>
      <c r="C2389" s="89" t="s">
        <v>644</v>
      </c>
      <c r="D2389" s="88" t="s">
        <v>160</v>
      </c>
      <c r="F2389" s="70">
        <f t="shared" si="74"/>
        <v>1994</v>
      </c>
      <c r="G2389" s="70" t="s">
        <v>159</v>
      </c>
      <c r="H2389" s="70" t="str">
        <f t="shared" si="75"/>
        <v>RBT</v>
      </c>
    </row>
    <row r="2390" spans="1:8" ht="15" x14ac:dyDescent="0.25">
      <c r="A2390" s="88" t="s">
        <v>212</v>
      </c>
      <c r="B2390" s="88">
        <v>1994</v>
      </c>
      <c r="C2390" s="89" t="s">
        <v>643</v>
      </c>
      <c r="D2390" s="88" t="s">
        <v>160</v>
      </c>
      <c r="F2390" s="70">
        <f t="shared" si="74"/>
        <v>1994</v>
      </c>
      <c r="G2390" s="70" t="s">
        <v>159</v>
      </c>
      <c r="H2390" s="70" t="str">
        <f t="shared" si="75"/>
        <v>RBT</v>
      </c>
    </row>
    <row r="2391" spans="1:8" ht="15" x14ac:dyDescent="0.25">
      <c r="A2391" s="88" t="s">
        <v>212</v>
      </c>
      <c r="B2391" s="88">
        <v>1995</v>
      </c>
      <c r="C2391" s="89" t="s">
        <v>642</v>
      </c>
      <c r="D2391" s="88" t="s">
        <v>160</v>
      </c>
      <c r="F2391" s="70">
        <f t="shared" si="74"/>
        <v>1995</v>
      </c>
      <c r="G2391" s="70" t="s">
        <v>159</v>
      </c>
      <c r="H2391" s="70" t="str">
        <f t="shared" si="75"/>
        <v>RBT</v>
      </c>
    </row>
    <row r="2392" spans="1:8" ht="15" x14ac:dyDescent="0.25">
      <c r="A2392" s="88" t="s">
        <v>212</v>
      </c>
      <c r="B2392" s="88">
        <v>1995</v>
      </c>
      <c r="C2392" s="89" t="s">
        <v>641</v>
      </c>
      <c r="D2392" s="88" t="s">
        <v>160</v>
      </c>
      <c r="F2392" s="70">
        <f t="shared" si="74"/>
        <v>1995</v>
      </c>
      <c r="G2392" s="70" t="s">
        <v>159</v>
      </c>
      <c r="H2392" s="70" t="str">
        <f t="shared" si="75"/>
        <v>RBT</v>
      </c>
    </row>
    <row r="2393" spans="1:8" ht="15" x14ac:dyDescent="0.25">
      <c r="A2393" s="88" t="s">
        <v>212</v>
      </c>
      <c r="B2393" s="88">
        <v>1995</v>
      </c>
      <c r="C2393" s="89" t="s">
        <v>640</v>
      </c>
      <c r="D2393" s="88" t="s">
        <v>160</v>
      </c>
      <c r="F2393" s="70">
        <f t="shared" si="74"/>
        <v>1995</v>
      </c>
      <c r="G2393" s="70" t="s">
        <v>159</v>
      </c>
      <c r="H2393" s="70" t="str">
        <f t="shared" si="75"/>
        <v>RBT</v>
      </c>
    </row>
    <row r="2394" spans="1:8" ht="15" x14ac:dyDescent="0.25">
      <c r="A2394" s="88" t="s">
        <v>212</v>
      </c>
      <c r="B2394" s="88">
        <v>1995</v>
      </c>
      <c r="C2394" s="89" t="s">
        <v>639</v>
      </c>
      <c r="D2394" s="88" t="s">
        <v>160</v>
      </c>
      <c r="F2394" s="70">
        <f t="shared" si="74"/>
        <v>1995</v>
      </c>
      <c r="G2394" s="70" t="s">
        <v>159</v>
      </c>
      <c r="H2394" s="70" t="str">
        <f t="shared" si="75"/>
        <v>RBT</v>
      </c>
    </row>
    <row r="2395" spans="1:8" ht="15" x14ac:dyDescent="0.25">
      <c r="A2395" s="88" t="s">
        <v>212</v>
      </c>
      <c r="B2395" s="88">
        <v>1995</v>
      </c>
      <c r="C2395" s="89" t="s">
        <v>638</v>
      </c>
      <c r="D2395" s="88" t="s">
        <v>160</v>
      </c>
      <c r="F2395" s="70">
        <f t="shared" si="74"/>
        <v>1995</v>
      </c>
      <c r="G2395" s="70" t="s">
        <v>159</v>
      </c>
      <c r="H2395" s="70" t="str">
        <f t="shared" si="75"/>
        <v>RBT</v>
      </c>
    </row>
    <row r="2396" spans="1:8" ht="15" x14ac:dyDescent="0.25">
      <c r="A2396" s="88" t="s">
        <v>212</v>
      </c>
      <c r="B2396" s="88">
        <v>1995</v>
      </c>
      <c r="C2396" s="89" t="s">
        <v>637</v>
      </c>
      <c r="D2396" s="88" t="s">
        <v>160</v>
      </c>
      <c r="F2396" s="70">
        <f t="shared" si="74"/>
        <v>1995</v>
      </c>
      <c r="G2396" s="70" t="s">
        <v>159</v>
      </c>
      <c r="H2396" s="70" t="str">
        <f t="shared" si="75"/>
        <v>RBT</v>
      </c>
    </row>
    <row r="2397" spans="1:8" ht="15" x14ac:dyDescent="0.25">
      <c r="A2397" s="88" t="s">
        <v>212</v>
      </c>
      <c r="B2397" s="88">
        <v>1995</v>
      </c>
      <c r="C2397" s="89" t="s">
        <v>636</v>
      </c>
      <c r="D2397" s="88" t="s">
        <v>160</v>
      </c>
      <c r="F2397" s="70">
        <f t="shared" si="74"/>
        <v>1995</v>
      </c>
      <c r="G2397" s="70" t="s">
        <v>159</v>
      </c>
      <c r="H2397" s="70" t="str">
        <f t="shared" si="75"/>
        <v>RBT</v>
      </c>
    </row>
    <row r="2398" spans="1:8" ht="15" x14ac:dyDescent="0.25">
      <c r="A2398" s="88" t="s">
        <v>212</v>
      </c>
      <c r="B2398" s="88">
        <v>1995</v>
      </c>
      <c r="C2398" s="89" t="s">
        <v>635</v>
      </c>
      <c r="D2398" s="88" t="s">
        <v>160</v>
      </c>
      <c r="F2398" s="70">
        <f t="shared" si="74"/>
        <v>1995</v>
      </c>
      <c r="G2398" s="70" t="s">
        <v>159</v>
      </c>
      <c r="H2398" s="70" t="str">
        <f t="shared" si="75"/>
        <v>RBT</v>
      </c>
    </row>
    <row r="2399" spans="1:8" ht="15" x14ac:dyDescent="0.25">
      <c r="A2399" s="88" t="s">
        <v>212</v>
      </c>
      <c r="B2399" s="88">
        <v>1995</v>
      </c>
      <c r="C2399" s="89" t="s">
        <v>634</v>
      </c>
      <c r="D2399" s="88" t="s">
        <v>160</v>
      </c>
      <c r="F2399" s="70">
        <f t="shared" si="74"/>
        <v>1995</v>
      </c>
      <c r="G2399" s="70" t="s">
        <v>159</v>
      </c>
      <c r="H2399" s="70" t="str">
        <f t="shared" si="75"/>
        <v>RBT</v>
      </c>
    </row>
    <row r="2400" spans="1:8" ht="15" x14ac:dyDescent="0.25">
      <c r="A2400" s="88" t="s">
        <v>212</v>
      </c>
      <c r="B2400" s="88">
        <v>1995</v>
      </c>
      <c r="C2400" s="89" t="s">
        <v>633</v>
      </c>
      <c r="D2400" s="88" t="s">
        <v>160</v>
      </c>
      <c r="F2400" s="70">
        <f t="shared" si="74"/>
        <v>1995</v>
      </c>
      <c r="G2400" s="70" t="s">
        <v>159</v>
      </c>
      <c r="H2400" s="70" t="str">
        <f t="shared" si="75"/>
        <v>RBT</v>
      </c>
    </row>
    <row r="2401" spans="1:8" ht="15" x14ac:dyDescent="0.25">
      <c r="A2401" s="88" t="s">
        <v>212</v>
      </c>
      <c r="B2401" s="88">
        <v>1995</v>
      </c>
      <c r="C2401" s="89" t="s">
        <v>632</v>
      </c>
      <c r="D2401" s="88" t="s">
        <v>160</v>
      </c>
      <c r="F2401" s="70">
        <f t="shared" si="74"/>
        <v>1995</v>
      </c>
      <c r="G2401" s="70" t="s">
        <v>159</v>
      </c>
      <c r="H2401" s="70" t="str">
        <f t="shared" si="75"/>
        <v>RBT</v>
      </c>
    </row>
    <row r="2402" spans="1:8" ht="15" x14ac:dyDescent="0.25">
      <c r="A2402" s="88" t="s">
        <v>212</v>
      </c>
      <c r="B2402" s="88">
        <v>1995</v>
      </c>
      <c r="C2402" s="89" t="s">
        <v>631</v>
      </c>
      <c r="D2402" s="88" t="s">
        <v>160</v>
      </c>
      <c r="F2402" s="70">
        <f t="shared" si="74"/>
        <v>1995</v>
      </c>
      <c r="G2402" s="70" t="s">
        <v>159</v>
      </c>
      <c r="H2402" s="70" t="str">
        <f t="shared" si="75"/>
        <v>RBT</v>
      </c>
    </row>
    <row r="2403" spans="1:8" ht="15" x14ac:dyDescent="0.25">
      <c r="A2403" s="88" t="s">
        <v>212</v>
      </c>
      <c r="B2403" s="88">
        <v>1995</v>
      </c>
      <c r="C2403" s="89" t="s">
        <v>630</v>
      </c>
      <c r="D2403" s="88" t="s">
        <v>160</v>
      </c>
      <c r="F2403" s="70">
        <f t="shared" si="74"/>
        <v>1995</v>
      </c>
      <c r="G2403" s="70" t="s">
        <v>159</v>
      </c>
      <c r="H2403" s="70" t="str">
        <f t="shared" si="75"/>
        <v>RBT</v>
      </c>
    </row>
    <row r="2404" spans="1:8" ht="15" x14ac:dyDescent="0.25">
      <c r="A2404" s="88" t="s">
        <v>212</v>
      </c>
      <c r="B2404" s="88">
        <v>1996</v>
      </c>
      <c r="C2404" s="89" t="s">
        <v>629</v>
      </c>
      <c r="D2404" s="88" t="s">
        <v>160</v>
      </c>
      <c r="F2404" s="70">
        <f t="shared" si="74"/>
        <v>1996</v>
      </c>
      <c r="G2404" s="70" t="s">
        <v>159</v>
      </c>
      <c r="H2404" s="70" t="str">
        <f t="shared" si="75"/>
        <v>RBT</v>
      </c>
    </row>
    <row r="2405" spans="1:8" ht="15" x14ac:dyDescent="0.25">
      <c r="A2405" s="88" t="s">
        <v>212</v>
      </c>
      <c r="B2405" s="88">
        <v>1996</v>
      </c>
      <c r="C2405" s="89" t="s">
        <v>628</v>
      </c>
      <c r="D2405" s="88" t="s">
        <v>160</v>
      </c>
      <c r="F2405" s="70">
        <f t="shared" si="74"/>
        <v>1996</v>
      </c>
      <c r="G2405" s="70" t="s">
        <v>159</v>
      </c>
      <c r="H2405" s="70" t="str">
        <f t="shared" si="75"/>
        <v>RBT</v>
      </c>
    </row>
    <row r="2406" spans="1:8" ht="15" x14ac:dyDescent="0.25">
      <c r="A2406" s="88" t="s">
        <v>212</v>
      </c>
      <c r="B2406" s="88">
        <v>1996</v>
      </c>
      <c r="C2406" s="89" t="s">
        <v>627</v>
      </c>
      <c r="D2406" s="88" t="s">
        <v>160</v>
      </c>
      <c r="F2406" s="70">
        <f t="shared" si="74"/>
        <v>1996</v>
      </c>
      <c r="G2406" s="70" t="s">
        <v>159</v>
      </c>
      <c r="H2406" s="70" t="str">
        <f t="shared" si="75"/>
        <v>RBT</v>
      </c>
    </row>
    <row r="2407" spans="1:8" ht="15" x14ac:dyDescent="0.25">
      <c r="A2407" s="88" t="s">
        <v>212</v>
      </c>
      <c r="B2407" s="88">
        <v>1996</v>
      </c>
      <c r="C2407" s="89" t="s">
        <v>626</v>
      </c>
      <c r="D2407" s="88" t="s">
        <v>160</v>
      </c>
      <c r="F2407" s="70">
        <f t="shared" si="74"/>
        <v>1996</v>
      </c>
      <c r="G2407" s="70" t="s">
        <v>159</v>
      </c>
      <c r="H2407" s="70" t="str">
        <f t="shared" si="75"/>
        <v>RBT</v>
      </c>
    </row>
    <row r="2408" spans="1:8" ht="15" x14ac:dyDescent="0.25">
      <c r="A2408" s="88" t="s">
        <v>212</v>
      </c>
      <c r="B2408" s="88">
        <v>1996</v>
      </c>
      <c r="C2408" s="89" t="s">
        <v>625</v>
      </c>
      <c r="D2408" s="88" t="s">
        <v>160</v>
      </c>
      <c r="F2408" s="70">
        <f t="shared" si="74"/>
        <v>1996</v>
      </c>
      <c r="G2408" s="70" t="s">
        <v>159</v>
      </c>
      <c r="H2408" s="70" t="str">
        <f t="shared" si="75"/>
        <v>RBT</v>
      </c>
    </row>
    <row r="2409" spans="1:8" ht="15" x14ac:dyDescent="0.25">
      <c r="A2409" s="88" t="s">
        <v>212</v>
      </c>
      <c r="B2409" s="88">
        <v>1996</v>
      </c>
      <c r="C2409" s="89" t="s">
        <v>624</v>
      </c>
      <c r="D2409" s="88" t="s">
        <v>160</v>
      </c>
      <c r="F2409" s="70">
        <f t="shared" si="74"/>
        <v>1996</v>
      </c>
      <c r="G2409" s="70" t="s">
        <v>159</v>
      </c>
      <c r="H2409" s="70" t="str">
        <f t="shared" si="75"/>
        <v>RBT</v>
      </c>
    </row>
    <row r="2410" spans="1:8" ht="15" x14ac:dyDescent="0.25">
      <c r="A2410" s="88" t="s">
        <v>212</v>
      </c>
      <c r="B2410" s="88">
        <v>1996</v>
      </c>
      <c r="C2410" s="89" t="s">
        <v>623</v>
      </c>
      <c r="D2410" s="88" t="s">
        <v>160</v>
      </c>
      <c r="F2410" s="70">
        <f t="shared" si="74"/>
        <v>1996</v>
      </c>
      <c r="G2410" s="70" t="s">
        <v>159</v>
      </c>
      <c r="H2410" s="70" t="str">
        <f t="shared" si="75"/>
        <v>RBT</v>
      </c>
    </row>
    <row r="2411" spans="1:8" ht="15" x14ac:dyDescent="0.25">
      <c r="A2411" s="88" t="s">
        <v>212</v>
      </c>
      <c r="B2411" s="88">
        <v>1996</v>
      </c>
      <c r="C2411" s="89" t="s">
        <v>622</v>
      </c>
      <c r="D2411" s="88" t="s">
        <v>160</v>
      </c>
      <c r="F2411" s="70">
        <f t="shared" si="74"/>
        <v>1996</v>
      </c>
      <c r="G2411" s="70" t="s">
        <v>159</v>
      </c>
      <c r="H2411" s="70" t="str">
        <f t="shared" si="75"/>
        <v>RBT</v>
      </c>
    </row>
    <row r="2412" spans="1:8" ht="15" x14ac:dyDescent="0.25">
      <c r="A2412" s="88" t="s">
        <v>212</v>
      </c>
      <c r="B2412" s="88">
        <v>1996</v>
      </c>
      <c r="C2412" s="89" t="s">
        <v>621</v>
      </c>
      <c r="D2412" s="88" t="s">
        <v>160</v>
      </c>
      <c r="F2412" s="70">
        <f t="shared" si="74"/>
        <v>1996</v>
      </c>
      <c r="G2412" s="70" t="s">
        <v>159</v>
      </c>
      <c r="H2412" s="70" t="str">
        <f t="shared" si="75"/>
        <v>RBT</v>
      </c>
    </row>
    <row r="2413" spans="1:8" ht="15" x14ac:dyDescent="0.25">
      <c r="A2413" s="88" t="s">
        <v>212</v>
      </c>
      <c r="B2413" s="88">
        <v>1996</v>
      </c>
      <c r="C2413" s="89" t="s">
        <v>620</v>
      </c>
      <c r="D2413" s="88" t="s">
        <v>160</v>
      </c>
      <c r="F2413" s="70">
        <f t="shared" si="74"/>
        <v>1996</v>
      </c>
      <c r="G2413" s="70" t="s">
        <v>159</v>
      </c>
      <c r="H2413" s="70" t="str">
        <f t="shared" si="75"/>
        <v>RBT</v>
      </c>
    </row>
    <row r="2414" spans="1:8" ht="15" x14ac:dyDescent="0.25">
      <c r="A2414" s="88" t="s">
        <v>212</v>
      </c>
      <c r="B2414" s="88">
        <v>1996</v>
      </c>
      <c r="C2414" s="89" t="s">
        <v>619</v>
      </c>
      <c r="D2414" s="88" t="s">
        <v>160</v>
      </c>
      <c r="F2414" s="70">
        <f t="shared" si="74"/>
        <v>1996</v>
      </c>
      <c r="G2414" s="70" t="s">
        <v>159</v>
      </c>
      <c r="H2414" s="70" t="str">
        <f t="shared" si="75"/>
        <v>RBT</v>
      </c>
    </row>
    <row r="2415" spans="1:8" ht="15" x14ac:dyDescent="0.25">
      <c r="A2415" s="88" t="s">
        <v>212</v>
      </c>
      <c r="B2415" s="88">
        <v>1996</v>
      </c>
      <c r="C2415" s="89" t="s">
        <v>618</v>
      </c>
      <c r="D2415" s="88" t="s">
        <v>160</v>
      </c>
      <c r="F2415" s="70">
        <f t="shared" si="74"/>
        <v>1996</v>
      </c>
      <c r="G2415" s="70" t="s">
        <v>159</v>
      </c>
      <c r="H2415" s="70" t="str">
        <f t="shared" si="75"/>
        <v>RBT</v>
      </c>
    </row>
    <row r="2416" spans="1:8" ht="15" x14ac:dyDescent="0.25">
      <c r="A2416" s="88" t="s">
        <v>212</v>
      </c>
      <c r="B2416" s="88">
        <v>1996</v>
      </c>
      <c r="C2416" s="89" t="s">
        <v>617</v>
      </c>
      <c r="D2416" s="88" t="s">
        <v>160</v>
      </c>
      <c r="F2416" s="70">
        <f t="shared" si="74"/>
        <v>1996</v>
      </c>
      <c r="G2416" s="70" t="s">
        <v>159</v>
      </c>
      <c r="H2416" s="70" t="str">
        <f t="shared" si="75"/>
        <v>RBT</v>
      </c>
    </row>
    <row r="2417" spans="1:8" ht="15" x14ac:dyDescent="0.25">
      <c r="A2417" s="88" t="s">
        <v>212</v>
      </c>
      <c r="B2417" s="88">
        <v>1997</v>
      </c>
      <c r="C2417" s="89" t="s">
        <v>616</v>
      </c>
      <c r="D2417" s="88" t="s">
        <v>160</v>
      </c>
      <c r="F2417" s="70">
        <f t="shared" si="74"/>
        <v>1997</v>
      </c>
      <c r="G2417" s="70" t="s">
        <v>159</v>
      </c>
      <c r="H2417" s="70" t="str">
        <f t="shared" si="75"/>
        <v>RBT</v>
      </c>
    </row>
    <row r="2418" spans="1:8" ht="15" x14ac:dyDescent="0.25">
      <c r="A2418" s="88" t="s">
        <v>212</v>
      </c>
      <c r="B2418" s="88">
        <v>1997</v>
      </c>
      <c r="C2418" s="89" t="s">
        <v>615</v>
      </c>
      <c r="D2418" s="88" t="s">
        <v>160</v>
      </c>
      <c r="F2418" s="70">
        <f t="shared" si="74"/>
        <v>1997</v>
      </c>
      <c r="G2418" s="70" t="s">
        <v>159</v>
      </c>
      <c r="H2418" s="70" t="str">
        <f t="shared" si="75"/>
        <v>RBT</v>
      </c>
    </row>
    <row r="2419" spans="1:8" ht="15" x14ac:dyDescent="0.25">
      <c r="A2419" s="88" t="s">
        <v>212</v>
      </c>
      <c r="B2419" s="88">
        <v>1997</v>
      </c>
      <c r="C2419" s="89" t="s">
        <v>614</v>
      </c>
      <c r="D2419" s="88" t="s">
        <v>160</v>
      </c>
      <c r="F2419" s="70">
        <f t="shared" si="74"/>
        <v>1997</v>
      </c>
      <c r="G2419" s="70" t="s">
        <v>159</v>
      </c>
      <c r="H2419" s="70" t="str">
        <f t="shared" si="75"/>
        <v>RBT</v>
      </c>
    </row>
    <row r="2420" spans="1:8" ht="15" x14ac:dyDescent="0.25">
      <c r="A2420" s="88" t="s">
        <v>212</v>
      </c>
      <c r="B2420" s="88">
        <v>1997</v>
      </c>
      <c r="C2420" s="89" t="s">
        <v>613</v>
      </c>
      <c r="D2420" s="88" t="s">
        <v>160</v>
      </c>
      <c r="F2420" s="70">
        <f t="shared" si="74"/>
        <v>1997</v>
      </c>
      <c r="G2420" s="70" t="s">
        <v>159</v>
      </c>
      <c r="H2420" s="70" t="str">
        <f t="shared" si="75"/>
        <v>RBT</v>
      </c>
    </row>
    <row r="2421" spans="1:8" ht="15" x14ac:dyDescent="0.25">
      <c r="A2421" s="88" t="s">
        <v>212</v>
      </c>
      <c r="B2421" s="88">
        <v>1997</v>
      </c>
      <c r="C2421" s="89" t="s">
        <v>612</v>
      </c>
      <c r="D2421" s="88" t="s">
        <v>160</v>
      </c>
      <c r="F2421" s="70">
        <f t="shared" si="74"/>
        <v>1997</v>
      </c>
      <c r="G2421" s="70" t="s">
        <v>159</v>
      </c>
      <c r="H2421" s="70" t="str">
        <f t="shared" si="75"/>
        <v>RBT</v>
      </c>
    </row>
    <row r="2422" spans="1:8" ht="15" x14ac:dyDescent="0.25">
      <c r="A2422" s="88" t="s">
        <v>212</v>
      </c>
      <c r="B2422" s="88">
        <v>1997</v>
      </c>
      <c r="C2422" s="89" t="s">
        <v>611</v>
      </c>
      <c r="D2422" s="88" t="s">
        <v>160</v>
      </c>
      <c r="F2422" s="70">
        <f t="shared" si="74"/>
        <v>1997</v>
      </c>
      <c r="G2422" s="70" t="s">
        <v>159</v>
      </c>
      <c r="H2422" s="70" t="str">
        <f t="shared" si="75"/>
        <v>RBT</v>
      </c>
    </row>
    <row r="2423" spans="1:8" ht="15" x14ac:dyDescent="0.25">
      <c r="A2423" s="88" t="s">
        <v>212</v>
      </c>
      <c r="B2423" s="88">
        <v>1997</v>
      </c>
      <c r="C2423" s="89" t="s">
        <v>610</v>
      </c>
      <c r="D2423" s="88" t="s">
        <v>160</v>
      </c>
      <c r="F2423" s="70">
        <f t="shared" si="74"/>
        <v>1997</v>
      </c>
      <c r="G2423" s="70" t="s">
        <v>159</v>
      </c>
      <c r="H2423" s="70" t="str">
        <f t="shared" si="75"/>
        <v>RBT</v>
      </c>
    </row>
    <row r="2424" spans="1:8" ht="15" x14ac:dyDescent="0.25">
      <c r="A2424" s="88" t="s">
        <v>212</v>
      </c>
      <c r="B2424" s="88">
        <v>1997</v>
      </c>
      <c r="C2424" s="89" t="s">
        <v>609</v>
      </c>
      <c r="D2424" s="88" t="s">
        <v>160</v>
      </c>
      <c r="F2424" s="70">
        <f t="shared" si="74"/>
        <v>1997</v>
      </c>
      <c r="G2424" s="70" t="s">
        <v>159</v>
      </c>
      <c r="H2424" s="70" t="str">
        <f t="shared" si="75"/>
        <v>RBT</v>
      </c>
    </row>
    <row r="2425" spans="1:8" ht="15" x14ac:dyDescent="0.25">
      <c r="A2425" s="88" t="s">
        <v>212</v>
      </c>
      <c r="B2425" s="88">
        <v>1998</v>
      </c>
      <c r="C2425" s="89" t="s">
        <v>608</v>
      </c>
      <c r="D2425" s="88" t="s">
        <v>160</v>
      </c>
      <c r="F2425" s="70">
        <f t="shared" si="74"/>
        <v>1998</v>
      </c>
      <c r="G2425" s="70" t="s">
        <v>159</v>
      </c>
      <c r="H2425" s="70" t="str">
        <f t="shared" si="75"/>
        <v>RBT</v>
      </c>
    </row>
    <row r="2426" spans="1:8" ht="15" x14ac:dyDescent="0.25">
      <c r="A2426" s="88" t="s">
        <v>212</v>
      </c>
      <c r="B2426" s="88">
        <v>1998</v>
      </c>
      <c r="C2426" s="89" t="s">
        <v>607</v>
      </c>
      <c r="D2426" s="88" t="s">
        <v>160</v>
      </c>
      <c r="F2426" s="70">
        <f t="shared" si="74"/>
        <v>1998</v>
      </c>
      <c r="G2426" s="70" t="s">
        <v>159</v>
      </c>
      <c r="H2426" s="70" t="str">
        <f t="shared" si="75"/>
        <v>RBT</v>
      </c>
    </row>
    <row r="2427" spans="1:8" ht="15" x14ac:dyDescent="0.25">
      <c r="A2427" s="88" t="s">
        <v>212</v>
      </c>
      <c r="B2427" s="88">
        <v>1998</v>
      </c>
      <c r="C2427" s="89" t="s">
        <v>606</v>
      </c>
      <c r="D2427" s="88" t="s">
        <v>160</v>
      </c>
      <c r="F2427" s="70">
        <f t="shared" si="74"/>
        <v>1998</v>
      </c>
      <c r="G2427" s="70" t="s">
        <v>159</v>
      </c>
      <c r="H2427" s="70" t="str">
        <f t="shared" si="75"/>
        <v>RBT</v>
      </c>
    </row>
    <row r="2428" spans="1:8" ht="15" x14ac:dyDescent="0.25">
      <c r="A2428" s="88" t="s">
        <v>212</v>
      </c>
      <c r="B2428" s="88">
        <v>1998</v>
      </c>
      <c r="C2428" s="89" t="s">
        <v>605</v>
      </c>
      <c r="D2428" s="88" t="s">
        <v>160</v>
      </c>
      <c r="F2428" s="70">
        <f t="shared" si="74"/>
        <v>1998</v>
      </c>
      <c r="G2428" s="70" t="s">
        <v>159</v>
      </c>
      <c r="H2428" s="70" t="str">
        <f t="shared" si="75"/>
        <v>RBT</v>
      </c>
    </row>
    <row r="2429" spans="1:8" ht="15" x14ac:dyDescent="0.25">
      <c r="A2429" s="88" t="s">
        <v>212</v>
      </c>
      <c r="B2429" s="88">
        <v>1998</v>
      </c>
      <c r="C2429" s="89" t="s">
        <v>604</v>
      </c>
      <c r="D2429" s="88" t="s">
        <v>160</v>
      </c>
      <c r="F2429" s="70">
        <f t="shared" si="74"/>
        <v>1998</v>
      </c>
      <c r="G2429" s="70" t="s">
        <v>159</v>
      </c>
      <c r="H2429" s="70" t="str">
        <f t="shared" si="75"/>
        <v>RBT</v>
      </c>
    </row>
    <row r="2430" spans="1:8" ht="15" x14ac:dyDescent="0.25">
      <c r="A2430" s="88" t="s">
        <v>212</v>
      </c>
      <c r="B2430" s="88">
        <v>1998</v>
      </c>
      <c r="C2430" s="89" t="s">
        <v>603</v>
      </c>
      <c r="D2430" s="88" t="s">
        <v>160</v>
      </c>
      <c r="F2430" s="70">
        <f t="shared" si="74"/>
        <v>1998</v>
      </c>
      <c r="G2430" s="70" t="s">
        <v>159</v>
      </c>
      <c r="H2430" s="70" t="str">
        <f t="shared" si="75"/>
        <v>RBT</v>
      </c>
    </row>
    <row r="2431" spans="1:8" ht="15" x14ac:dyDescent="0.25">
      <c r="A2431" s="88" t="s">
        <v>212</v>
      </c>
      <c r="B2431" s="88">
        <v>1999</v>
      </c>
      <c r="C2431" s="89" t="s">
        <v>602</v>
      </c>
      <c r="D2431" s="88" t="s">
        <v>160</v>
      </c>
      <c r="F2431" s="70">
        <f t="shared" si="74"/>
        <v>1999</v>
      </c>
      <c r="G2431" s="70" t="s">
        <v>159</v>
      </c>
      <c r="H2431" s="70" t="str">
        <f t="shared" si="75"/>
        <v>RBT</v>
      </c>
    </row>
    <row r="2432" spans="1:8" ht="15" x14ac:dyDescent="0.25">
      <c r="A2432" s="88" t="s">
        <v>212</v>
      </c>
      <c r="B2432" s="88">
        <v>1999</v>
      </c>
      <c r="C2432" s="89" t="s">
        <v>601</v>
      </c>
      <c r="D2432" s="88" t="s">
        <v>160</v>
      </c>
      <c r="F2432" s="70">
        <f t="shared" si="74"/>
        <v>1999</v>
      </c>
      <c r="G2432" s="70" t="s">
        <v>159</v>
      </c>
      <c r="H2432" s="70" t="str">
        <f t="shared" si="75"/>
        <v>RBT</v>
      </c>
    </row>
    <row r="2433" spans="1:8" ht="15" x14ac:dyDescent="0.25">
      <c r="A2433" s="88" t="s">
        <v>212</v>
      </c>
      <c r="B2433" s="88">
        <v>1999</v>
      </c>
      <c r="C2433" s="89" t="s">
        <v>600</v>
      </c>
      <c r="D2433" s="88" t="s">
        <v>160</v>
      </c>
      <c r="F2433" s="70">
        <f t="shared" si="74"/>
        <v>1999</v>
      </c>
      <c r="G2433" s="70" t="s">
        <v>159</v>
      </c>
      <c r="H2433" s="70" t="str">
        <f t="shared" si="75"/>
        <v>RBT</v>
      </c>
    </row>
    <row r="2434" spans="1:8" ht="15" x14ac:dyDescent="0.25">
      <c r="A2434" s="88" t="s">
        <v>212</v>
      </c>
      <c r="B2434" s="88">
        <v>1999</v>
      </c>
      <c r="C2434" s="89" t="s">
        <v>599</v>
      </c>
      <c r="D2434" s="88" t="s">
        <v>160</v>
      </c>
      <c r="F2434" s="70">
        <f t="shared" si="74"/>
        <v>1999</v>
      </c>
      <c r="G2434" s="70" t="s">
        <v>159</v>
      </c>
      <c r="H2434" s="70" t="str">
        <f t="shared" si="75"/>
        <v>RBT</v>
      </c>
    </row>
    <row r="2435" spans="1:8" ht="15" x14ac:dyDescent="0.25">
      <c r="A2435" s="88" t="s">
        <v>212</v>
      </c>
      <c r="B2435" s="88">
        <v>1999</v>
      </c>
      <c r="C2435" s="89" t="s">
        <v>598</v>
      </c>
      <c r="D2435" s="88" t="s">
        <v>160</v>
      </c>
      <c r="F2435" s="70">
        <f t="shared" si="74"/>
        <v>1999</v>
      </c>
      <c r="G2435" s="70" t="s">
        <v>159</v>
      </c>
      <c r="H2435" s="70" t="str">
        <f t="shared" si="75"/>
        <v>RBT</v>
      </c>
    </row>
    <row r="2436" spans="1:8" ht="15" x14ac:dyDescent="0.25">
      <c r="A2436" s="88" t="s">
        <v>212</v>
      </c>
      <c r="B2436" s="88">
        <v>1999</v>
      </c>
      <c r="C2436" s="89" t="s">
        <v>597</v>
      </c>
      <c r="D2436" s="88" t="s">
        <v>160</v>
      </c>
      <c r="F2436" s="70">
        <f t="shared" si="74"/>
        <v>1999</v>
      </c>
      <c r="G2436" s="70" t="s">
        <v>159</v>
      </c>
      <c r="H2436" s="70" t="str">
        <f t="shared" si="75"/>
        <v>RBT</v>
      </c>
    </row>
    <row r="2437" spans="1:8" ht="15" x14ac:dyDescent="0.25">
      <c r="A2437" s="88" t="s">
        <v>212</v>
      </c>
      <c r="B2437" s="88">
        <v>1999</v>
      </c>
      <c r="C2437" s="89" t="s">
        <v>596</v>
      </c>
      <c r="D2437" s="88" t="s">
        <v>160</v>
      </c>
      <c r="F2437" s="70">
        <f t="shared" si="74"/>
        <v>1999</v>
      </c>
      <c r="G2437" s="70" t="s">
        <v>159</v>
      </c>
      <c r="H2437" s="70" t="str">
        <f t="shared" si="75"/>
        <v>RBT</v>
      </c>
    </row>
    <row r="2438" spans="1:8" ht="15" x14ac:dyDescent="0.25">
      <c r="A2438" s="88" t="s">
        <v>212</v>
      </c>
      <c r="B2438" s="88">
        <v>2000</v>
      </c>
      <c r="C2438" s="89" t="s">
        <v>595</v>
      </c>
      <c r="D2438" s="88" t="s">
        <v>160</v>
      </c>
      <c r="F2438" s="70">
        <f t="shared" si="74"/>
        <v>2000</v>
      </c>
      <c r="G2438" s="70" t="s">
        <v>159</v>
      </c>
      <c r="H2438" s="70" t="str">
        <f t="shared" si="75"/>
        <v>RBT</v>
      </c>
    </row>
    <row r="2439" spans="1:8" ht="15" x14ac:dyDescent="0.25">
      <c r="A2439" s="88" t="s">
        <v>212</v>
      </c>
      <c r="B2439" s="88">
        <v>2000</v>
      </c>
      <c r="C2439" s="89" t="s">
        <v>594</v>
      </c>
      <c r="D2439" s="88" t="s">
        <v>160</v>
      </c>
      <c r="F2439" s="70">
        <f t="shared" si="74"/>
        <v>2000</v>
      </c>
      <c r="G2439" s="70" t="s">
        <v>159</v>
      </c>
      <c r="H2439" s="70" t="str">
        <f t="shared" si="75"/>
        <v>RBT</v>
      </c>
    </row>
    <row r="2440" spans="1:8" ht="15" x14ac:dyDescent="0.25">
      <c r="A2440" s="88" t="s">
        <v>212</v>
      </c>
      <c r="B2440" s="88">
        <v>2000</v>
      </c>
      <c r="C2440" s="89" t="s">
        <v>593</v>
      </c>
      <c r="D2440" s="88" t="s">
        <v>160</v>
      </c>
      <c r="F2440" s="70">
        <f t="shared" ref="F2440:F2503" si="76">+B2440</f>
        <v>2000</v>
      </c>
      <c r="G2440" s="70" t="s">
        <v>159</v>
      </c>
      <c r="H2440" s="70" t="str">
        <f t="shared" ref="H2440:H2503" si="77">A2440</f>
        <v>RBT</v>
      </c>
    </row>
    <row r="2441" spans="1:8" ht="15" x14ac:dyDescent="0.25">
      <c r="A2441" s="88" t="s">
        <v>212</v>
      </c>
      <c r="B2441" s="88">
        <v>2000</v>
      </c>
      <c r="C2441" s="89" t="s">
        <v>592</v>
      </c>
      <c r="D2441" s="88" t="s">
        <v>160</v>
      </c>
      <c r="F2441" s="70">
        <f t="shared" si="76"/>
        <v>2000</v>
      </c>
      <c r="G2441" s="70" t="s">
        <v>159</v>
      </c>
      <c r="H2441" s="70" t="str">
        <f t="shared" si="77"/>
        <v>RBT</v>
      </c>
    </row>
    <row r="2442" spans="1:8" ht="15" x14ac:dyDescent="0.25">
      <c r="A2442" s="88" t="s">
        <v>212</v>
      </c>
      <c r="B2442" s="88">
        <v>2000</v>
      </c>
      <c r="C2442" s="89" t="s">
        <v>591</v>
      </c>
      <c r="D2442" s="88" t="s">
        <v>160</v>
      </c>
      <c r="F2442" s="70">
        <f t="shared" si="76"/>
        <v>2000</v>
      </c>
      <c r="G2442" s="70" t="s">
        <v>159</v>
      </c>
      <c r="H2442" s="70" t="str">
        <f t="shared" si="77"/>
        <v>RBT</v>
      </c>
    </row>
    <row r="2443" spans="1:8" ht="15" x14ac:dyDescent="0.25">
      <c r="A2443" s="88" t="s">
        <v>212</v>
      </c>
      <c r="B2443" s="88">
        <v>2000</v>
      </c>
      <c r="C2443" s="89" t="s">
        <v>590</v>
      </c>
      <c r="D2443" s="88" t="s">
        <v>160</v>
      </c>
      <c r="F2443" s="70">
        <f t="shared" si="76"/>
        <v>2000</v>
      </c>
      <c r="G2443" s="70" t="s">
        <v>159</v>
      </c>
      <c r="H2443" s="70" t="str">
        <f t="shared" si="77"/>
        <v>RBT</v>
      </c>
    </row>
    <row r="2444" spans="1:8" ht="15" x14ac:dyDescent="0.25">
      <c r="A2444" s="88" t="s">
        <v>212</v>
      </c>
      <c r="B2444" s="88">
        <v>2000</v>
      </c>
      <c r="C2444" s="89" t="s">
        <v>589</v>
      </c>
      <c r="D2444" s="88" t="s">
        <v>160</v>
      </c>
      <c r="F2444" s="70">
        <f t="shared" si="76"/>
        <v>2000</v>
      </c>
      <c r="G2444" s="70" t="s">
        <v>159</v>
      </c>
      <c r="H2444" s="70" t="str">
        <f t="shared" si="77"/>
        <v>RBT</v>
      </c>
    </row>
    <row r="2445" spans="1:8" ht="15" x14ac:dyDescent="0.25">
      <c r="A2445" s="88" t="s">
        <v>212</v>
      </c>
      <c r="B2445" s="88">
        <v>2000</v>
      </c>
      <c r="C2445" s="89" t="s">
        <v>588</v>
      </c>
      <c r="D2445" s="88" t="s">
        <v>160</v>
      </c>
      <c r="F2445" s="70">
        <f t="shared" si="76"/>
        <v>2000</v>
      </c>
      <c r="G2445" s="70" t="s">
        <v>159</v>
      </c>
      <c r="H2445" s="70" t="str">
        <f t="shared" si="77"/>
        <v>RBT</v>
      </c>
    </row>
    <row r="2446" spans="1:8" ht="15" x14ac:dyDescent="0.25">
      <c r="A2446" s="88" t="s">
        <v>212</v>
      </c>
      <c r="B2446" s="88">
        <v>2001</v>
      </c>
      <c r="C2446" s="89" t="s">
        <v>587</v>
      </c>
      <c r="D2446" s="88" t="s">
        <v>160</v>
      </c>
      <c r="F2446" s="70">
        <f t="shared" si="76"/>
        <v>2001</v>
      </c>
      <c r="G2446" s="70" t="s">
        <v>159</v>
      </c>
      <c r="H2446" s="70" t="str">
        <f t="shared" si="77"/>
        <v>RBT</v>
      </c>
    </row>
    <row r="2447" spans="1:8" ht="15" x14ac:dyDescent="0.25">
      <c r="A2447" s="88" t="s">
        <v>212</v>
      </c>
      <c r="B2447" s="88">
        <v>2001</v>
      </c>
      <c r="C2447" s="89" t="s">
        <v>586</v>
      </c>
      <c r="D2447" s="88" t="s">
        <v>160</v>
      </c>
      <c r="F2447" s="70">
        <f t="shared" si="76"/>
        <v>2001</v>
      </c>
      <c r="G2447" s="70" t="s">
        <v>159</v>
      </c>
      <c r="H2447" s="70" t="str">
        <f t="shared" si="77"/>
        <v>RBT</v>
      </c>
    </row>
    <row r="2448" spans="1:8" ht="15" x14ac:dyDescent="0.25">
      <c r="A2448" s="88" t="s">
        <v>212</v>
      </c>
      <c r="B2448" s="88">
        <v>2001</v>
      </c>
      <c r="C2448" s="89" t="s">
        <v>585</v>
      </c>
      <c r="D2448" s="88" t="s">
        <v>160</v>
      </c>
      <c r="F2448" s="70">
        <f t="shared" si="76"/>
        <v>2001</v>
      </c>
      <c r="G2448" s="70" t="s">
        <v>159</v>
      </c>
      <c r="H2448" s="70" t="str">
        <f t="shared" si="77"/>
        <v>RBT</v>
      </c>
    </row>
    <row r="2449" spans="1:8" ht="15" x14ac:dyDescent="0.25">
      <c r="A2449" s="88" t="s">
        <v>212</v>
      </c>
      <c r="B2449" s="88">
        <v>2001</v>
      </c>
      <c r="C2449" s="89" t="s">
        <v>584</v>
      </c>
      <c r="D2449" s="88" t="s">
        <v>160</v>
      </c>
      <c r="F2449" s="70">
        <f t="shared" si="76"/>
        <v>2001</v>
      </c>
      <c r="G2449" s="70" t="s">
        <v>159</v>
      </c>
      <c r="H2449" s="70" t="str">
        <f t="shared" si="77"/>
        <v>RBT</v>
      </c>
    </row>
    <row r="2450" spans="1:8" ht="15" x14ac:dyDescent="0.25">
      <c r="A2450" s="88" t="s">
        <v>212</v>
      </c>
      <c r="B2450" s="88">
        <v>2001</v>
      </c>
      <c r="C2450" s="89" t="s">
        <v>583</v>
      </c>
      <c r="D2450" s="88" t="s">
        <v>160</v>
      </c>
      <c r="F2450" s="70">
        <f t="shared" si="76"/>
        <v>2001</v>
      </c>
      <c r="G2450" s="70" t="s">
        <v>159</v>
      </c>
      <c r="H2450" s="70" t="str">
        <f t="shared" si="77"/>
        <v>RBT</v>
      </c>
    </row>
    <row r="2451" spans="1:8" ht="15" x14ac:dyDescent="0.25">
      <c r="A2451" s="88" t="s">
        <v>212</v>
      </c>
      <c r="B2451" s="88">
        <v>2001</v>
      </c>
      <c r="C2451" s="89" t="s">
        <v>582</v>
      </c>
      <c r="D2451" s="88" t="s">
        <v>160</v>
      </c>
      <c r="F2451" s="70">
        <f t="shared" si="76"/>
        <v>2001</v>
      </c>
      <c r="G2451" s="70" t="s">
        <v>159</v>
      </c>
      <c r="H2451" s="70" t="str">
        <f t="shared" si="77"/>
        <v>RBT</v>
      </c>
    </row>
    <row r="2452" spans="1:8" ht="15" x14ac:dyDescent="0.25">
      <c r="A2452" s="88" t="s">
        <v>212</v>
      </c>
      <c r="B2452" s="88">
        <v>2001</v>
      </c>
      <c r="C2452" s="89" t="s">
        <v>581</v>
      </c>
      <c r="D2452" s="88" t="s">
        <v>160</v>
      </c>
      <c r="F2452" s="70">
        <f t="shared" si="76"/>
        <v>2001</v>
      </c>
      <c r="G2452" s="70" t="s">
        <v>159</v>
      </c>
      <c r="H2452" s="70" t="str">
        <f t="shared" si="77"/>
        <v>RBT</v>
      </c>
    </row>
    <row r="2453" spans="1:8" ht="15" x14ac:dyDescent="0.25">
      <c r="A2453" s="88" t="s">
        <v>212</v>
      </c>
      <c r="B2453" s="88">
        <v>2001</v>
      </c>
      <c r="C2453" s="89" t="s">
        <v>580</v>
      </c>
      <c r="D2453" s="88" t="s">
        <v>160</v>
      </c>
      <c r="F2453" s="70">
        <f t="shared" si="76"/>
        <v>2001</v>
      </c>
      <c r="G2453" s="70" t="s">
        <v>159</v>
      </c>
      <c r="H2453" s="70" t="str">
        <f t="shared" si="77"/>
        <v>RBT</v>
      </c>
    </row>
    <row r="2454" spans="1:8" ht="15" x14ac:dyDescent="0.25">
      <c r="A2454" s="88" t="s">
        <v>212</v>
      </c>
      <c r="B2454" s="88">
        <v>2002</v>
      </c>
      <c r="C2454" s="89" t="s">
        <v>579</v>
      </c>
      <c r="D2454" s="88" t="s">
        <v>160</v>
      </c>
      <c r="F2454" s="70">
        <f t="shared" si="76"/>
        <v>2002</v>
      </c>
      <c r="G2454" s="70" t="s">
        <v>159</v>
      </c>
      <c r="H2454" s="70" t="str">
        <f t="shared" si="77"/>
        <v>RBT</v>
      </c>
    </row>
    <row r="2455" spans="1:8" ht="15" x14ac:dyDescent="0.25">
      <c r="A2455" s="88" t="s">
        <v>212</v>
      </c>
      <c r="B2455" s="88">
        <v>2002</v>
      </c>
      <c r="C2455" s="89" t="s">
        <v>578</v>
      </c>
      <c r="D2455" s="88" t="s">
        <v>160</v>
      </c>
      <c r="F2455" s="70">
        <f t="shared" si="76"/>
        <v>2002</v>
      </c>
      <c r="G2455" s="70" t="s">
        <v>159</v>
      </c>
      <c r="H2455" s="70" t="str">
        <f t="shared" si="77"/>
        <v>RBT</v>
      </c>
    </row>
    <row r="2456" spans="1:8" ht="15" x14ac:dyDescent="0.25">
      <c r="A2456" s="88" t="s">
        <v>212</v>
      </c>
      <c r="B2456" s="88">
        <v>2002</v>
      </c>
      <c r="C2456" s="89" t="s">
        <v>577</v>
      </c>
      <c r="D2456" s="88" t="s">
        <v>160</v>
      </c>
      <c r="F2456" s="70">
        <f t="shared" si="76"/>
        <v>2002</v>
      </c>
      <c r="G2456" s="70" t="s">
        <v>159</v>
      </c>
      <c r="H2456" s="70" t="str">
        <f t="shared" si="77"/>
        <v>RBT</v>
      </c>
    </row>
    <row r="2457" spans="1:8" ht="15" x14ac:dyDescent="0.25">
      <c r="A2457" s="88" t="s">
        <v>212</v>
      </c>
      <c r="B2457" s="88">
        <v>2002</v>
      </c>
      <c r="C2457" s="89" t="s">
        <v>576</v>
      </c>
      <c r="D2457" s="88" t="s">
        <v>160</v>
      </c>
      <c r="F2457" s="70">
        <f t="shared" si="76"/>
        <v>2002</v>
      </c>
      <c r="G2457" s="70" t="s">
        <v>159</v>
      </c>
      <c r="H2457" s="70" t="str">
        <f t="shared" si="77"/>
        <v>RBT</v>
      </c>
    </row>
    <row r="2458" spans="1:8" ht="15" x14ac:dyDescent="0.25">
      <c r="A2458" s="88" t="s">
        <v>212</v>
      </c>
      <c r="B2458" s="88">
        <v>2002</v>
      </c>
      <c r="C2458" s="89" t="s">
        <v>575</v>
      </c>
      <c r="D2458" s="88" t="s">
        <v>160</v>
      </c>
      <c r="F2458" s="70">
        <f t="shared" si="76"/>
        <v>2002</v>
      </c>
      <c r="G2458" s="70" t="s">
        <v>159</v>
      </c>
      <c r="H2458" s="70" t="str">
        <f t="shared" si="77"/>
        <v>RBT</v>
      </c>
    </row>
    <row r="2459" spans="1:8" ht="15" x14ac:dyDescent="0.25">
      <c r="A2459" s="88" t="s">
        <v>212</v>
      </c>
      <c r="B2459" s="88">
        <v>2002</v>
      </c>
      <c r="C2459" s="89" t="s">
        <v>574</v>
      </c>
      <c r="D2459" s="88" t="s">
        <v>160</v>
      </c>
      <c r="F2459" s="70">
        <f t="shared" si="76"/>
        <v>2002</v>
      </c>
      <c r="G2459" s="70" t="s">
        <v>159</v>
      </c>
      <c r="H2459" s="70" t="str">
        <f t="shared" si="77"/>
        <v>RBT</v>
      </c>
    </row>
    <row r="2460" spans="1:8" ht="15" x14ac:dyDescent="0.25">
      <c r="A2460" s="88" t="s">
        <v>212</v>
      </c>
      <c r="B2460" s="88">
        <v>2002</v>
      </c>
      <c r="C2460" s="89" t="s">
        <v>573</v>
      </c>
      <c r="D2460" s="88" t="s">
        <v>160</v>
      </c>
      <c r="F2460" s="70">
        <f t="shared" si="76"/>
        <v>2002</v>
      </c>
      <c r="G2460" s="70" t="s">
        <v>159</v>
      </c>
      <c r="H2460" s="70" t="str">
        <f t="shared" si="77"/>
        <v>RBT</v>
      </c>
    </row>
    <row r="2461" spans="1:8" ht="15" x14ac:dyDescent="0.25">
      <c r="A2461" s="88" t="s">
        <v>212</v>
      </c>
      <c r="B2461" s="88">
        <v>2002</v>
      </c>
      <c r="C2461" s="89" t="s">
        <v>572</v>
      </c>
      <c r="D2461" s="88" t="s">
        <v>160</v>
      </c>
      <c r="F2461" s="70">
        <f t="shared" si="76"/>
        <v>2002</v>
      </c>
      <c r="G2461" s="70" t="s">
        <v>159</v>
      </c>
      <c r="H2461" s="70" t="str">
        <f t="shared" si="77"/>
        <v>RBT</v>
      </c>
    </row>
    <row r="2462" spans="1:8" ht="15" x14ac:dyDescent="0.25">
      <c r="A2462" s="88" t="s">
        <v>212</v>
      </c>
      <c r="B2462" s="88">
        <v>2003</v>
      </c>
      <c r="C2462" s="89" t="s">
        <v>571</v>
      </c>
      <c r="D2462" s="88" t="s">
        <v>160</v>
      </c>
      <c r="F2462" s="70">
        <f t="shared" si="76"/>
        <v>2003</v>
      </c>
      <c r="G2462" s="70" t="s">
        <v>159</v>
      </c>
      <c r="H2462" s="70" t="str">
        <f t="shared" si="77"/>
        <v>RBT</v>
      </c>
    </row>
    <row r="2463" spans="1:8" ht="15" x14ac:dyDescent="0.25">
      <c r="A2463" s="88" t="s">
        <v>212</v>
      </c>
      <c r="B2463" s="88">
        <v>2003</v>
      </c>
      <c r="C2463" s="89" t="s">
        <v>570</v>
      </c>
      <c r="D2463" s="88" t="s">
        <v>160</v>
      </c>
      <c r="F2463" s="70">
        <f t="shared" si="76"/>
        <v>2003</v>
      </c>
      <c r="G2463" s="70" t="s">
        <v>159</v>
      </c>
      <c r="H2463" s="70" t="str">
        <f t="shared" si="77"/>
        <v>RBT</v>
      </c>
    </row>
    <row r="2464" spans="1:8" ht="15" x14ac:dyDescent="0.25">
      <c r="A2464" s="88" t="s">
        <v>212</v>
      </c>
      <c r="B2464" s="88">
        <v>2003</v>
      </c>
      <c r="C2464" s="89" t="s">
        <v>569</v>
      </c>
      <c r="D2464" s="88" t="s">
        <v>160</v>
      </c>
      <c r="F2464" s="70">
        <f t="shared" si="76"/>
        <v>2003</v>
      </c>
      <c r="G2464" s="70" t="s">
        <v>159</v>
      </c>
      <c r="H2464" s="70" t="str">
        <f t="shared" si="77"/>
        <v>RBT</v>
      </c>
    </row>
    <row r="2465" spans="1:8" ht="15" x14ac:dyDescent="0.25">
      <c r="A2465" s="88" t="s">
        <v>212</v>
      </c>
      <c r="B2465" s="88">
        <v>2003</v>
      </c>
      <c r="C2465" s="89" t="s">
        <v>568</v>
      </c>
      <c r="D2465" s="88" t="s">
        <v>160</v>
      </c>
      <c r="F2465" s="70">
        <f t="shared" si="76"/>
        <v>2003</v>
      </c>
      <c r="G2465" s="70" t="s">
        <v>159</v>
      </c>
      <c r="H2465" s="70" t="str">
        <f t="shared" si="77"/>
        <v>RBT</v>
      </c>
    </row>
    <row r="2466" spans="1:8" ht="15" x14ac:dyDescent="0.25">
      <c r="A2466" s="88" t="s">
        <v>212</v>
      </c>
      <c r="B2466" s="88">
        <v>2003</v>
      </c>
      <c r="C2466" s="89" t="s">
        <v>567</v>
      </c>
      <c r="D2466" s="88" t="s">
        <v>160</v>
      </c>
      <c r="F2466" s="70">
        <f t="shared" si="76"/>
        <v>2003</v>
      </c>
      <c r="G2466" s="70" t="s">
        <v>159</v>
      </c>
      <c r="H2466" s="70" t="str">
        <f t="shared" si="77"/>
        <v>RBT</v>
      </c>
    </row>
    <row r="2467" spans="1:8" ht="15" x14ac:dyDescent="0.25">
      <c r="A2467" s="88" t="s">
        <v>212</v>
      </c>
      <c r="B2467" s="88">
        <v>2003</v>
      </c>
      <c r="C2467" s="89" t="s">
        <v>566</v>
      </c>
      <c r="D2467" s="88" t="s">
        <v>160</v>
      </c>
      <c r="F2467" s="70">
        <f t="shared" si="76"/>
        <v>2003</v>
      </c>
      <c r="G2467" s="70" t="s">
        <v>159</v>
      </c>
      <c r="H2467" s="70" t="str">
        <f t="shared" si="77"/>
        <v>RBT</v>
      </c>
    </row>
    <row r="2468" spans="1:8" ht="15" x14ac:dyDescent="0.25">
      <c r="A2468" s="88" t="s">
        <v>212</v>
      </c>
      <c r="B2468" s="88">
        <v>2003</v>
      </c>
      <c r="C2468" s="89" t="s">
        <v>565</v>
      </c>
      <c r="D2468" s="88" t="s">
        <v>160</v>
      </c>
      <c r="F2468" s="70">
        <f t="shared" si="76"/>
        <v>2003</v>
      </c>
      <c r="G2468" s="70" t="s">
        <v>159</v>
      </c>
      <c r="H2468" s="70" t="str">
        <f t="shared" si="77"/>
        <v>RBT</v>
      </c>
    </row>
    <row r="2469" spans="1:8" ht="15" x14ac:dyDescent="0.25">
      <c r="A2469" s="88" t="s">
        <v>212</v>
      </c>
      <c r="B2469" s="88">
        <v>2003</v>
      </c>
      <c r="C2469" s="89" t="s">
        <v>564</v>
      </c>
      <c r="D2469" s="88" t="s">
        <v>160</v>
      </c>
      <c r="F2469" s="70">
        <f t="shared" si="76"/>
        <v>2003</v>
      </c>
      <c r="G2469" s="70" t="s">
        <v>159</v>
      </c>
      <c r="H2469" s="70" t="str">
        <f t="shared" si="77"/>
        <v>RBT</v>
      </c>
    </row>
    <row r="2470" spans="1:8" ht="15" x14ac:dyDescent="0.25">
      <c r="A2470" s="88" t="s">
        <v>212</v>
      </c>
      <c r="B2470" s="88">
        <v>2004</v>
      </c>
      <c r="C2470" s="89" t="s">
        <v>563</v>
      </c>
      <c r="D2470" s="88" t="s">
        <v>160</v>
      </c>
      <c r="F2470" s="70">
        <f t="shared" si="76"/>
        <v>2004</v>
      </c>
      <c r="G2470" s="70" t="s">
        <v>159</v>
      </c>
      <c r="H2470" s="70" t="str">
        <f t="shared" si="77"/>
        <v>RBT</v>
      </c>
    </row>
    <row r="2471" spans="1:8" ht="15" x14ac:dyDescent="0.25">
      <c r="A2471" s="88" t="s">
        <v>212</v>
      </c>
      <c r="B2471" s="88">
        <v>2004</v>
      </c>
      <c r="C2471" s="89" t="s">
        <v>562</v>
      </c>
      <c r="D2471" s="88" t="s">
        <v>160</v>
      </c>
      <c r="F2471" s="70">
        <f t="shared" si="76"/>
        <v>2004</v>
      </c>
      <c r="G2471" s="70" t="s">
        <v>159</v>
      </c>
      <c r="H2471" s="70" t="str">
        <f t="shared" si="77"/>
        <v>RBT</v>
      </c>
    </row>
    <row r="2472" spans="1:8" ht="15" x14ac:dyDescent="0.25">
      <c r="A2472" s="88" t="s">
        <v>212</v>
      </c>
      <c r="B2472" s="88">
        <v>2004</v>
      </c>
      <c r="C2472" s="89" t="s">
        <v>561</v>
      </c>
      <c r="D2472" s="88" t="s">
        <v>160</v>
      </c>
      <c r="F2472" s="70">
        <f t="shared" si="76"/>
        <v>2004</v>
      </c>
      <c r="G2472" s="70" t="s">
        <v>159</v>
      </c>
      <c r="H2472" s="70" t="str">
        <f t="shared" si="77"/>
        <v>RBT</v>
      </c>
    </row>
    <row r="2473" spans="1:8" ht="15" x14ac:dyDescent="0.25">
      <c r="A2473" s="88" t="s">
        <v>212</v>
      </c>
      <c r="B2473" s="88">
        <v>2004</v>
      </c>
      <c r="C2473" s="89" t="s">
        <v>560</v>
      </c>
      <c r="D2473" s="88" t="s">
        <v>160</v>
      </c>
      <c r="F2473" s="70">
        <f t="shared" si="76"/>
        <v>2004</v>
      </c>
      <c r="G2473" s="70" t="s">
        <v>159</v>
      </c>
      <c r="H2473" s="70" t="str">
        <f t="shared" si="77"/>
        <v>RBT</v>
      </c>
    </row>
    <row r="2474" spans="1:8" ht="15" x14ac:dyDescent="0.25">
      <c r="A2474" s="88" t="s">
        <v>212</v>
      </c>
      <c r="B2474" s="88">
        <v>2004</v>
      </c>
      <c r="C2474" s="89" t="s">
        <v>559</v>
      </c>
      <c r="D2474" s="88" t="s">
        <v>160</v>
      </c>
      <c r="F2474" s="70">
        <f t="shared" si="76"/>
        <v>2004</v>
      </c>
      <c r="G2474" s="70" t="s">
        <v>159</v>
      </c>
      <c r="H2474" s="70" t="str">
        <f t="shared" si="77"/>
        <v>RBT</v>
      </c>
    </row>
    <row r="2475" spans="1:8" ht="15" x14ac:dyDescent="0.25">
      <c r="A2475" s="88" t="s">
        <v>212</v>
      </c>
      <c r="B2475" s="88">
        <v>2004</v>
      </c>
      <c r="C2475" s="89" t="s">
        <v>558</v>
      </c>
      <c r="D2475" s="88" t="s">
        <v>160</v>
      </c>
      <c r="F2475" s="70">
        <f t="shared" si="76"/>
        <v>2004</v>
      </c>
      <c r="G2475" s="70" t="s">
        <v>159</v>
      </c>
      <c r="H2475" s="70" t="str">
        <f t="shared" si="77"/>
        <v>RBT</v>
      </c>
    </row>
    <row r="2476" spans="1:8" ht="15" x14ac:dyDescent="0.25">
      <c r="A2476" s="88" t="s">
        <v>212</v>
      </c>
      <c r="B2476" s="88">
        <v>2004</v>
      </c>
      <c r="C2476" s="89" t="s">
        <v>557</v>
      </c>
      <c r="D2476" s="88" t="s">
        <v>160</v>
      </c>
      <c r="F2476" s="70">
        <f t="shared" si="76"/>
        <v>2004</v>
      </c>
      <c r="G2476" s="70" t="s">
        <v>159</v>
      </c>
      <c r="H2476" s="70" t="str">
        <f t="shared" si="77"/>
        <v>RBT</v>
      </c>
    </row>
    <row r="2477" spans="1:8" ht="15" x14ac:dyDescent="0.25">
      <c r="A2477" s="88" t="s">
        <v>212</v>
      </c>
      <c r="B2477" s="88">
        <v>2004</v>
      </c>
      <c r="C2477" s="89" t="s">
        <v>556</v>
      </c>
      <c r="D2477" s="88" t="s">
        <v>160</v>
      </c>
      <c r="F2477" s="70">
        <f t="shared" si="76"/>
        <v>2004</v>
      </c>
      <c r="G2477" s="70" t="s">
        <v>159</v>
      </c>
      <c r="H2477" s="70" t="str">
        <f t="shared" si="77"/>
        <v>RBT</v>
      </c>
    </row>
    <row r="2478" spans="1:8" ht="15" x14ac:dyDescent="0.25">
      <c r="A2478" s="88" t="s">
        <v>212</v>
      </c>
      <c r="B2478" s="88">
        <v>2005</v>
      </c>
      <c r="C2478" s="89" t="s">
        <v>555</v>
      </c>
      <c r="D2478" s="88" t="s">
        <v>160</v>
      </c>
      <c r="F2478" s="70">
        <f t="shared" si="76"/>
        <v>2005</v>
      </c>
      <c r="G2478" s="70" t="s">
        <v>159</v>
      </c>
      <c r="H2478" s="70" t="str">
        <f t="shared" si="77"/>
        <v>RBT</v>
      </c>
    </row>
    <row r="2479" spans="1:8" ht="15" x14ac:dyDescent="0.25">
      <c r="A2479" s="88" t="s">
        <v>212</v>
      </c>
      <c r="B2479" s="88">
        <v>2005</v>
      </c>
      <c r="C2479" s="89" t="s">
        <v>554</v>
      </c>
      <c r="D2479" s="88" t="s">
        <v>160</v>
      </c>
      <c r="F2479" s="70">
        <f t="shared" si="76"/>
        <v>2005</v>
      </c>
      <c r="G2479" s="70" t="s">
        <v>159</v>
      </c>
      <c r="H2479" s="70" t="str">
        <f t="shared" si="77"/>
        <v>RBT</v>
      </c>
    </row>
    <row r="2480" spans="1:8" ht="15" x14ac:dyDescent="0.25">
      <c r="A2480" s="88" t="s">
        <v>212</v>
      </c>
      <c r="B2480" s="88">
        <v>2005</v>
      </c>
      <c r="C2480" s="89" t="s">
        <v>553</v>
      </c>
      <c r="D2480" s="88" t="s">
        <v>160</v>
      </c>
      <c r="F2480" s="70">
        <f t="shared" si="76"/>
        <v>2005</v>
      </c>
      <c r="G2480" s="70" t="s">
        <v>159</v>
      </c>
      <c r="H2480" s="70" t="str">
        <f t="shared" si="77"/>
        <v>RBT</v>
      </c>
    </row>
    <row r="2481" spans="1:8" ht="15" x14ac:dyDescent="0.25">
      <c r="A2481" s="88" t="s">
        <v>212</v>
      </c>
      <c r="B2481" s="88">
        <v>2005</v>
      </c>
      <c r="C2481" s="89" t="s">
        <v>552</v>
      </c>
      <c r="D2481" s="88" t="s">
        <v>160</v>
      </c>
      <c r="F2481" s="70">
        <f t="shared" si="76"/>
        <v>2005</v>
      </c>
      <c r="G2481" s="70" t="s">
        <v>159</v>
      </c>
      <c r="H2481" s="70" t="str">
        <f t="shared" si="77"/>
        <v>RBT</v>
      </c>
    </row>
    <row r="2482" spans="1:8" ht="15" x14ac:dyDescent="0.25">
      <c r="A2482" s="88" t="s">
        <v>212</v>
      </c>
      <c r="B2482" s="88">
        <v>2005</v>
      </c>
      <c r="C2482" s="89" t="s">
        <v>551</v>
      </c>
      <c r="D2482" s="88" t="s">
        <v>160</v>
      </c>
      <c r="F2482" s="70">
        <f t="shared" si="76"/>
        <v>2005</v>
      </c>
      <c r="G2482" s="70" t="s">
        <v>159</v>
      </c>
      <c r="H2482" s="70" t="str">
        <f t="shared" si="77"/>
        <v>RBT</v>
      </c>
    </row>
    <row r="2483" spans="1:8" ht="15" x14ac:dyDescent="0.25">
      <c r="A2483" s="88" t="s">
        <v>212</v>
      </c>
      <c r="B2483" s="88">
        <v>2005</v>
      </c>
      <c r="C2483" s="89" t="s">
        <v>550</v>
      </c>
      <c r="D2483" s="88" t="s">
        <v>160</v>
      </c>
      <c r="F2483" s="70">
        <f t="shared" si="76"/>
        <v>2005</v>
      </c>
      <c r="G2483" s="70" t="s">
        <v>159</v>
      </c>
      <c r="H2483" s="70" t="str">
        <f t="shared" si="77"/>
        <v>RBT</v>
      </c>
    </row>
    <row r="2484" spans="1:8" ht="15" x14ac:dyDescent="0.25">
      <c r="A2484" s="88" t="s">
        <v>212</v>
      </c>
      <c r="B2484" s="88">
        <v>2005</v>
      </c>
      <c r="C2484" s="89" t="s">
        <v>549</v>
      </c>
      <c r="D2484" s="88" t="s">
        <v>160</v>
      </c>
      <c r="F2484" s="70">
        <f t="shared" si="76"/>
        <v>2005</v>
      </c>
      <c r="G2484" s="70" t="s">
        <v>159</v>
      </c>
      <c r="H2484" s="70" t="str">
        <f t="shared" si="77"/>
        <v>RBT</v>
      </c>
    </row>
    <row r="2485" spans="1:8" ht="15" x14ac:dyDescent="0.25">
      <c r="A2485" s="88" t="s">
        <v>212</v>
      </c>
      <c r="B2485" s="88">
        <v>2005</v>
      </c>
      <c r="C2485" s="89" t="s">
        <v>548</v>
      </c>
      <c r="D2485" s="88" t="s">
        <v>160</v>
      </c>
      <c r="F2485" s="70">
        <f t="shared" si="76"/>
        <v>2005</v>
      </c>
      <c r="G2485" s="70" t="s">
        <v>159</v>
      </c>
      <c r="H2485" s="70" t="str">
        <f t="shared" si="77"/>
        <v>RBT</v>
      </c>
    </row>
    <row r="2486" spans="1:8" ht="15" x14ac:dyDescent="0.25">
      <c r="A2486" s="88" t="s">
        <v>212</v>
      </c>
      <c r="B2486" s="88">
        <v>2006</v>
      </c>
      <c r="C2486" s="89" t="s">
        <v>547</v>
      </c>
      <c r="D2486" s="88" t="s">
        <v>160</v>
      </c>
      <c r="F2486" s="70">
        <f t="shared" si="76"/>
        <v>2006</v>
      </c>
      <c r="G2486" s="70" t="s">
        <v>159</v>
      </c>
      <c r="H2486" s="70" t="str">
        <f t="shared" si="77"/>
        <v>RBT</v>
      </c>
    </row>
    <row r="2487" spans="1:8" ht="15" x14ac:dyDescent="0.25">
      <c r="A2487" s="88" t="s">
        <v>212</v>
      </c>
      <c r="B2487" s="88">
        <v>2006</v>
      </c>
      <c r="C2487" s="89" t="s">
        <v>546</v>
      </c>
      <c r="D2487" s="88" t="s">
        <v>160</v>
      </c>
      <c r="F2487" s="70">
        <f t="shared" si="76"/>
        <v>2006</v>
      </c>
      <c r="G2487" s="70" t="s">
        <v>159</v>
      </c>
      <c r="H2487" s="70" t="str">
        <f t="shared" si="77"/>
        <v>RBT</v>
      </c>
    </row>
    <row r="2488" spans="1:8" ht="15" x14ac:dyDescent="0.25">
      <c r="A2488" s="88" t="s">
        <v>212</v>
      </c>
      <c r="B2488" s="88">
        <v>2006</v>
      </c>
      <c r="C2488" s="89" t="s">
        <v>545</v>
      </c>
      <c r="D2488" s="88" t="s">
        <v>160</v>
      </c>
      <c r="F2488" s="70">
        <f t="shared" si="76"/>
        <v>2006</v>
      </c>
      <c r="G2488" s="70" t="s">
        <v>159</v>
      </c>
      <c r="H2488" s="70" t="str">
        <f t="shared" si="77"/>
        <v>RBT</v>
      </c>
    </row>
    <row r="2489" spans="1:8" ht="15" x14ac:dyDescent="0.25">
      <c r="A2489" s="88" t="s">
        <v>212</v>
      </c>
      <c r="B2489" s="88">
        <v>2006</v>
      </c>
      <c r="C2489" s="89" t="s">
        <v>544</v>
      </c>
      <c r="D2489" s="88" t="s">
        <v>160</v>
      </c>
      <c r="F2489" s="70">
        <f t="shared" si="76"/>
        <v>2006</v>
      </c>
      <c r="G2489" s="70" t="s">
        <v>159</v>
      </c>
      <c r="H2489" s="70" t="str">
        <f t="shared" si="77"/>
        <v>RBT</v>
      </c>
    </row>
    <row r="2490" spans="1:8" ht="15" x14ac:dyDescent="0.25">
      <c r="A2490" s="88" t="s">
        <v>212</v>
      </c>
      <c r="B2490" s="88">
        <v>2006</v>
      </c>
      <c r="C2490" s="89" t="s">
        <v>543</v>
      </c>
      <c r="D2490" s="88" t="s">
        <v>160</v>
      </c>
      <c r="F2490" s="70">
        <f t="shared" si="76"/>
        <v>2006</v>
      </c>
      <c r="G2490" s="70" t="s">
        <v>159</v>
      </c>
      <c r="H2490" s="70" t="str">
        <f t="shared" si="77"/>
        <v>RBT</v>
      </c>
    </row>
    <row r="2491" spans="1:8" ht="15" x14ac:dyDescent="0.25">
      <c r="A2491" s="88" t="s">
        <v>212</v>
      </c>
      <c r="B2491" s="88">
        <v>2006</v>
      </c>
      <c r="C2491" s="89" t="s">
        <v>542</v>
      </c>
      <c r="D2491" s="88" t="s">
        <v>160</v>
      </c>
      <c r="F2491" s="70">
        <f t="shared" si="76"/>
        <v>2006</v>
      </c>
      <c r="G2491" s="70" t="s">
        <v>159</v>
      </c>
      <c r="H2491" s="70" t="str">
        <f t="shared" si="77"/>
        <v>RBT</v>
      </c>
    </row>
    <row r="2492" spans="1:8" ht="15" x14ac:dyDescent="0.25">
      <c r="A2492" s="88" t="s">
        <v>212</v>
      </c>
      <c r="B2492" s="88">
        <v>2006</v>
      </c>
      <c r="C2492" s="89" t="s">
        <v>541</v>
      </c>
      <c r="D2492" s="88" t="s">
        <v>160</v>
      </c>
      <c r="F2492" s="70">
        <f t="shared" si="76"/>
        <v>2006</v>
      </c>
      <c r="G2492" s="70" t="s">
        <v>159</v>
      </c>
      <c r="H2492" s="70" t="str">
        <f t="shared" si="77"/>
        <v>RBT</v>
      </c>
    </row>
    <row r="2493" spans="1:8" ht="15" x14ac:dyDescent="0.25">
      <c r="A2493" s="88" t="s">
        <v>212</v>
      </c>
      <c r="B2493" s="88">
        <v>2006</v>
      </c>
      <c r="C2493" s="89" t="s">
        <v>540</v>
      </c>
      <c r="D2493" s="88" t="s">
        <v>160</v>
      </c>
      <c r="F2493" s="70">
        <f t="shared" si="76"/>
        <v>2006</v>
      </c>
      <c r="G2493" s="70" t="s">
        <v>159</v>
      </c>
      <c r="H2493" s="70" t="str">
        <f t="shared" si="77"/>
        <v>RBT</v>
      </c>
    </row>
    <row r="2494" spans="1:8" ht="15" x14ac:dyDescent="0.25">
      <c r="A2494" s="88" t="s">
        <v>212</v>
      </c>
      <c r="B2494" s="88">
        <v>2007</v>
      </c>
      <c r="C2494" s="89" t="s">
        <v>539</v>
      </c>
      <c r="D2494" s="88" t="s">
        <v>160</v>
      </c>
      <c r="F2494" s="70">
        <f t="shared" si="76"/>
        <v>2007</v>
      </c>
      <c r="G2494" s="70" t="s">
        <v>159</v>
      </c>
      <c r="H2494" s="70" t="str">
        <f t="shared" si="77"/>
        <v>RBT</v>
      </c>
    </row>
    <row r="2495" spans="1:8" ht="15" x14ac:dyDescent="0.25">
      <c r="A2495" s="88" t="s">
        <v>212</v>
      </c>
      <c r="B2495" s="88">
        <v>2007</v>
      </c>
      <c r="C2495" s="89" t="s">
        <v>538</v>
      </c>
      <c r="D2495" s="88" t="s">
        <v>160</v>
      </c>
      <c r="F2495" s="70">
        <f t="shared" si="76"/>
        <v>2007</v>
      </c>
      <c r="G2495" s="70" t="s">
        <v>159</v>
      </c>
      <c r="H2495" s="70" t="str">
        <f t="shared" si="77"/>
        <v>RBT</v>
      </c>
    </row>
    <row r="2496" spans="1:8" ht="15" x14ac:dyDescent="0.25">
      <c r="A2496" s="88" t="s">
        <v>212</v>
      </c>
      <c r="B2496" s="88">
        <v>2007</v>
      </c>
      <c r="C2496" s="89" t="s">
        <v>537</v>
      </c>
      <c r="D2496" s="88" t="s">
        <v>160</v>
      </c>
      <c r="F2496" s="70">
        <f t="shared" si="76"/>
        <v>2007</v>
      </c>
      <c r="G2496" s="70" t="s">
        <v>159</v>
      </c>
      <c r="H2496" s="70" t="str">
        <f t="shared" si="77"/>
        <v>RBT</v>
      </c>
    </row>
    <row r="2497" spans="1:8" ht="15" x14ac:dyDescent="0.25">
      <c r="A2497" s="88" t="s">
        <v>212</v>
      </c>
      <c r="B2497" s="88">
        <v>2007</v>
      </c>
      <c r="C2497" s="89" t="s">
        <v>536</v>
      </c>
      <c r="D2497" s="88" t="s">
        <v>160</v>
      </c>
      <c r="F2497" s="70">
        <f t="shared" si="76"/>
        <v>2007</v>
      </c>
      <c r="G2497" s="70" t="s">
        <v>159</v>
      </c>
      <c r="H2497" s="70" t="str">
        <f t="shared" si="77"/>
        <v>RBT</v>
      </c>
    </row>
    <row r="2498" spans="1:8" ht="15" x14ac:dyDescent="0.25">
      <c r="A2498" s="88" t="s">
        <v>212</v>
      </c>
      <c r="B2498" s="88">
        <v>2007</v>
      </c>
      <c r="C2498" s="89" t="s">
        <v>535</v>
      </c>
      <c r="D2498" s="88" t="s">
        <v>160</v>
      </c>
      <c r="F2498" s="70">
        <f t="shared" si="76"/>
        <v>2007</v>
      </c>
      <c r="G2498" s="70" t="s">
        <v>159</v>
      </c>
      <c r="H2498" s="70" t="str">
        <f t="shared" si="77"/>
        <v>RBT</v>
      </c>
    </row>
    <row r="2499" spans="1:8" ht="15" x14ac:dyDescent="0.25">
      <c r="A2499" s="88" t="s">
        <v>212</v>
      </c>
      <c r="B2499" s="88">
        <v>2007</v>
      </c>
      <c r="C2499" s="89" t="s">
        <v>534</v>
      </c>
      <c r="D2499" s="88" t="s">
        <v>160</v>
      </c>
      <c r="F2499" s="70">
        <f t="shared" si="76"/>
        <v>2007</v>
      </c>
      <c r="G2499" s="70" t="s">
        <v>159</v>
      </c>
      <c r="H2499" s="70" t="str">
        <f t="shared" si="77"/>
        <v>RBT</v>
      </c>
    </row>
    <row r="2500" spans="1:8" ht="15" x14ac:dyDescent="0.25">
      <c r="A2500" s="88" t="s">
        <v>212</v>
      </c>
      <c r="B2500" s="88">
        <v>2007</v>
      </c>
      <c r="C2500" s="89" t="s">
        <v>533</v>
      </c>
      <c r="D2500" s="88" t="s">
        <v>160</v>
      </c>
      <c r="F2500" s="70">
        <f t="shared" si="76"/>
        <v>2007</v>
      </c>
      <c r="G2500" s="70" t="s">
        <v>159</v>
      </c>
      <c r="H2500" s="70" t="str">
        <f t="shared" si="77"/>
        <v>RBT</v>
      </c>
    </row>
    <row r="2501" spans="1:8" ht="15" x14ac:dyDescent="0.25">
      <c r="A2501" s="88" t="s">
        <v>212</v>
      </c>
      <c r="B2501" s="88">
        <v>2007</v>
      </c>
      <c r="C2501" s="89" t="s">
        <v>532</v>
      </c>
      <c r="D2501" s="88" t="s">
        <v>160</v>
      </c>
      <c r="F2501" s="70">
        <f t="shared" si="76"/>
        <v>2007</v>
      </c>
      <c r="G2501" s="70" t="s">
        <v>159</v>
      </c>
      <c r="H2501" s="70" t="str">
        <f t="shared" si="77"/>
        <v>RBT</v>
      </c>
    </row>
    <row r="2502" spans="1:8" ht="15" x14ac:dyDescent="0.25">
      <c r="A2502" s="88" t="s">
        <v>212</v>
      </c>
      <c r="B2502" s="88">
        <v>2007</v>
      </c>
      <c r="C2502" s="89" t="s">
        <v>531</v>
      </c>
      <c r="D2502" s="88" t="s">
        <v>160</v>
      </c>
      <c r="F2502" s="70">
        <f t="shared" si="76"/>
        <v>2007</v>
      </c>
      <c r="G2502" s="70" t="s">
        <v>159</v>
      </c>
      <c r="H2502" s="70" t="str">
        <f t="shared" si="77"/>
        <v>RBT</v>
      </c>
    </row>
    <row r="2503" spans="1:8" ht="15" x14ac:dyDescent="0.25">
      <c r="A2503" s="88" t="s">
        <v>212</v>
      </c>
      <c r="B2503" s="88">
        <v>2008</v>
      </c>
      <c r="C2503" s="89" t="s">
        <v>530</v>
      </c>
      <c r="D2503" s="88" t="s">
        <v>160</v>
      </c>
      <c r="F2503" s="70">
        <f t="shared" si="76"/>
        <v>2008</v>
      </c>
      <c r="G2503" s="70" t="s">
        <v>159</v>
      </c>
      <c r="H2503" s="70" t="str">
        <f t="shared" si="77"/>
        <v>RBT</v>
      </c>
    </row>
    <row r="2504" spans="1:8" ht="15" x14ac:dyDescent="0.25">
      <c r="A2504" s="88" t="s">
        <v>212</v>
      </c>
      <c r="B2504" s="88">
        <v>2008</v>
      </c>
      <c r="C2504" s="89" t="s">
        <v>529</v>
      </c>
      <c r="D2504" s="88" t="s">
        <v>160</v>
      </c>
      <c r="F2504" s="70">
        <f t="shared" ref="F2504:F2567" si="78">+B2504</f>
        <v>2008</v>
      </c>
      <c r="G2504" s="70" t="s">
        <v>159</v>
      </c>
      <c r="H2504" s="70" t="str">
        <f t="shared" ref="H2504:H2567" si="79">A2504</f>
        <v>RBT</v>
      </c>
    </row>
    <row r="2505" spans="1:8" ht="15" x14ac:dyDescent="0.25">
      <c r="A2505" s="88" t="s">
        <v>212</v>
      </c>
      <c r="B2505" s="88">
        <v>2008</v>
      </c>
      <c r="C2505" s="89" t="s">
        <v>528</v>
      </c>
      <c r="D2505" s="88" t="s">
        <v>160</v>
      </c>
      <c r="F2505" s="70">
        <f t="shared" si="78"/>
        <v>2008</v>
      </c>
      <c r="G2505" s="70" t="s">
        <v>159</v>
      </c>
      <c r="H2505" s="70" t="str">
        <f t="shared" si="79"/>
        <v>RBT</v>
      </c>
    </row>
    <row r="2506" spans="1:8" ht="15" x14ac:dyDescent="0.25">
      <c r="A2506" s="88" t="s">
        <v>212</v>
      </c>
      <c r="B2506" s="88">
        <v>2008</v>
      </c>
      <c r="C2506" s="89" t="s">
        <v>527</v>
      </c>
      <c r="D2506" s="88" t="s">
        <v>160</v>
      </c>
      <c r="F2506" s="70">
        <f t="shared" si="78"/>
        <v>2008</v>
      </c>
      <c r="G2506" s="70" t="s">
        <v>159</v>
      </c>
      <c r="H2506" s="70" t="str">
        <f t="shared" si="79"/>
        <v>RBT</v>
      </c>
    </row>
    <row r="2507" spans="1:8" ht="15" x14ac:dyDescent="0.25">
      <c r="A2507" s="88" t="s">
        <v>212</v>
      </c>
      <c r="B2507" s="88">
        <v>2008</v>
      </c>
      <c r="C2507" s="89" t="s">
        <v>526</v>
      </c>
      <c r="D2507" s="88" t="s">
        <v>160</v>
      </c>
      <c r="F2507" s="70">
        <f t="shared" si="78"/>
        <v>2008</v>
      </c>
      <c r="G2507" s="70" t="s">
        <v>159</v>
      </c>
      <c r="H2507" s="70" t="str">
        <f t="shared" si="79"/>
        <v>RBT</v>
      </c>
    </row>
    <row r="2508" spans="1:8" ht="15" x14ac:dyDescent="0.25">
      <c r="A2508" s="88" t="s">
        <v>212</v>
      </c>
      <c r="B2508" s="88">
        <v>2008</v>
      </c>
      <c r="C2508" s="89" t="s">
        <v>525</v>
      </c>
      <c r="D2508" s="88" t="s">
        <v>160</v>
      </c>
      <c r="F2508" s="70">
        <f t="shared" si="78"/>
        <v>2008</v>
      </c>
      <c r="G2508" s="70" t="s">
        <v>159</v>
      </c>
      <c r="H2508" s="70" t="str">
        <f t="shared" si="79"/>
        <v>RBT</v>
      </c>
    </row>
    <row r="2509" spans="1:8" ht="15" x14ac:dyDescent="0.25">
      <c r="A2509" s="88" t="s">
        <v>212</v>
      </c>
      <c r="B2509" s="88">
        <v>2008</v>
      </c>
      <c r="C2509" s="89" t="s">
        <v>524</v>
      </c>
      <c r="D2509" s="88" t="s">
        <v>160</v>
      </c>
      <c r="F2509" s="70">
        <f t="shared" si="78"/>
        <v>2008</v>
      </c>
      <c r="G2509" s="70" t="s">
        <v>159</v>
      </c>
      <c r="H2509" s="70" t="str">
        <f t="shared" si="79"/>
        <v>RBT</v>
      </c>
    </row>
    <row r="2510" spans="1:8" ht="15" x14ac:dyDescent="0.25">
      <c r="A2510" s="88" t="s">
        <v>212</v>
      </c>
      <c r="B2510" s="88">
        <v>2008</v>
      </c>
      <c r="C2510" s="89" t="s">
        <v>523</v>
      </c>
      <c r="D2510" s="88" t="s">
        <v>160</v>
      </c>
      <c r="F2510" s="70">
        <f t="shared" si="78"/>
        <v>2008</v>
      </c>
      <c r="G2510" s="70" t="s">
        <v>159</v>
      </c>
      <c r="H2510" s="70" t="str">
        <f t="shared" si="79"/>
        <v>RBT</v>
      </c>
    </row>
    <row r="2511" spans="1:8" ht="15" x14ac:dyDescent="0.25">
      <c r="A2511" s="88" t="s">
        <v>212</v>
      </c>
      <c r="B2511" s="88">
        <v>2008</v>
      </c>
      <c r="C2511" s="89" t="s">
        <v>522</v>
      </c>
      <c r="D2511" s="88" t="s">
        <v>160</v>
      </c>
      <c r="F2511" s="70">
        <f t="shared" si="78"/>
        <v>2008</v>
      </c>
      <c r="G2511" s="70" t="s">
        <v>159</v>
      </c>
      <c r="H2511" s="70" t="str">
        <f t="shared" si="79"/>
        <v>RBT</v>
      </c>
    </row>
    <row r="2512" spans="1:8" ht="15" x14ac:dyDescent="0.25">
      <c r="A2512" s="88" t="s">
        <v>212</v>
      </c>
      <c r="B2512" s="88">
        <v>2008</v>
      </c>
      <c r="C2512" s="89" t="s">
        <v>521</v>
      </c>
      <c r="D2512" s="88" t="s">
        <v>160</v>
      </c>
      <c r="F2512" s="70">
        <f t="shared" si="78"/>
        <v>2008</v>
      </c>
      <c r="G2512" s="70" t="s">
        <v>159</v>
      </c>
      <c r="H2512" s="70" t="str">
        <f t="shared" si="79"/>
        <v>RBT</v>
      </c>
    </row>
    <row r="2513" spans="1:8" ht="15" x14ac:dyDescent="0.25">
      <c r="A2513" s="88" t="s">
        <v>212</v>
      </c>
      <c r="B2513" s="88">
        <v>2008</v>
      </c>
      <c r="C2513" s="89" t="s">
        <v>520</v>
      </c>
      <c r="D2513" s="88" t="s">
        <v>160</v>
      </c>
      <c r="F2513" s="70">
        <f t="shared" si="78"/>
        <v>2008</v>
      </c>
      <c r="G2513" s="70" t="s">
        <v>159</v>
      </c>
      <c r="H2513" s="70" t="str">
        <f t="shared" si="79"/>
        <v>RBT</v>
      </c>
    </row>
    <row r="2514" spans="1:8" ht="15" x14ac:dyDescent="0.25">
      <c r="A2514" s="88" t="s">
        <v>212</v>
      </c>
      <c r="B2514" s="88">
        <v>2008</v>
      </c>
      <c r="C2514" s="89" t="s">
        <v>519</v>
      </c>
      <c r="D2514" s="88" t="s">
        <v>160</v>
      </c>
      <c r="F2514" s="70">
        <f t="shared" si="78"/>
        <v>2008</v>
      </c>
      <c r="G2514" s="70" t="s">
        <v>159</v>
      </c>
      <c r="H2514" s="70" t="str">
        <f t="shared" si="79"/>
        <v>RBT</v>
      </c>
    </row>
    <row r="2515" spans="1:8" ht="15" x14ac:dyDescent="0.25">
      <c r="A2515" s="88" t="s">
        <v>212</v>
      </c>
      <c r="B2515" s="88">
        <v>2008</v>
      </c>
      <c r="C2515" s="89" t="s">
        <v>518</v>
      </c>
      <c r="D2515" s="88" t="s">
        <v>160</v>
      </c>
      <c r="F2515" s="70">
        <f t="shared" si="78"/>
        <v>2008</v>
      </c>
      <c r="G2515" s="70" t="s">
        <v>159</v>
      </c>
      <c r="H2515" s="70" t="str">
        <f t="shared" si="79"/>
        <v>RBT</v>
      </c>
    </row>
    <row r="2516" spans="1:8" ht="15" x14ac:dyDescent="0.25">
      <c r="A2516" s="88" t="s">
        <v>212</v>
      </c>
      <c r="B2516" s="88">
        <v>2008</v>
      </c>
      <c r="C2516" s="89" t="s">
        <v>517</v>
      </c>
      <c r="D2516" s="88" t="s">
        <v>160</v>
      </c>
      <c r="F2516" s="70">
        <f t="shared" si="78"/>
        <v>2008</v>
      </c>
      <c r="G2516" s="70" t="s">
        <v>159</v>
      </c>
      <c r="H2516" s="70" t="str">
        <f t="shared" si="79"/>
        <v>RBT</v>
      </c>
    </row>
    <row r="2517" spans="1:8" ht="15" x14ac:dyDescent="0.25">
      <c r="A2517" s="88" t="s">
        <v>212</v>
      </c>
      <c r="B2517" s="88">
        <v>2008</v>
      </c>
      <c r="C2517" s="89" t="s">
        <v>516</v>
      </c>
      <c r="D2517" s="88" t="s">
        <v>160</v>
      </c>
      <c r="F2517" s="70">
        <f t="shared" si="78"/>
        <v>2008</v>
      </c>
      <c r="G2517" s="70" t="s">
        <v>159</v>
      </c>
      <c r="H2517" s="70" t="str">
        <f t="shared" si="79"/>
        <v>RBT</v>
      </c>
    </row>
    <row r="2518" spans="1:8" ht="15" x14ac:dyDescent="0.25">
      <c r="A2518" s="88" t="s">
        <v>212</v>
      </c>
      <c r="B2518" s="88">
        <v>2008</v>
      </c>
      <c r="C2518" s="89" t="s">
        <v>515</v>
      </c>
      <c r="D2518" s="88" t="s">
        <v>160</v>
      </c>
      <c r="F2518" s="70">
        <f t="shared" si="78"/>
        <v>2008</v>
      </c>
      <c r="G2518" s="70" t="s">
        <v>159</v>
      </c>
      <c r="H2518" s="70" t="str">
        <f t="shared" si="79"/>
        <v>RBT</v>
      </c>
    </row>
    <row r="2519" spans="1:8" ht="15" x14ac:dyDescent="0.25">
      <c r="A2519" s="88" t="s">
        <v>212</v>
      </c>
      <c r="B2519" s="88">
        <v>2008</v>
      </c>
      <c r="C2519" s="89" t="s">
        <v>514</v>
      </c>
      <c r="D2519" s="88" t="s">
        <v>160</v>
      </c>
      <c r="F2519" s="70">
        <f t="shared" si="78"/>
        <v>2008</v>
      </c>
      <c r="G2519" s="70" t="s">
        <v>159</v>
      </c>
      <c r="H2519" s="70" t="str">
        <f t="shared" si="79"/>
        <v>RBT</v>
      </c>
    </row>
    <row r="2520" spans="1:8" ht="15" x14ac:dyDescent="0.25">
      <c r="A2520" s="88" t="s">
        <v>212</v>
      </c>
      <c r="B2520" s="88">
        <v>2008</v>
      </c>
      <c r="C2520" s="89" t="s">
        <v>513</v>
      </c>
      <c r="D2520" s="88" t="s">
        <v>160</v>
      </c>
      <c r="F2520" s="70">
        <f t="shared" si="78"/>
        <v>2008</v>
      </c>
      <c r="G2520" s="70" t="s">
        <v>159</v>
      </c>
      <c r="H2520" s="70" t="str">
        <f t="shared" si="79"/>
        <v>RBT</v>
      </c>
    </row>
    <row r="2521" spans="1:8" ht="15" x14ac:dyDescent="0.25">
      <c r="A2521" s="88" t="s">
        <v>212</v>
      </c>
      <c r="B2521" s="88">
        <v>2009</v>
      </c>
      <c r="C2521" s="89" t="s">
        <v>512</v>
      </c>
      <c r="D2521" s="88" t="s">
        <v>160</v>
      </c>
      <c r="F2521" s="70">
        <f t="shared" si="78"/>
        <v>2009</v>
      </c>
      <c r="G2521" s="70" t="s">
        <v>159</v>
      </c>
      <c r="H2521" s="70" t="str">
        <f t="shared" si="79"/>
        <v>RBT</v>
      </c>
    </row>
    <row r="2522" spans="1:8" ht="15" x14ac:dyDescent="0.25">
      <c r="A2522" s="88" t="s">
        <v>212</v>
      </c>
      <c r="B2522" s="88">
        <v>2009</v>
      </c>
      <c r="C2522" s="89" t="s">
        <v>511</v>
      </c>
      <c r="D2522" s="88" t="s">
        <v>160</v>
      </c>
      <c r="F2522" s="70">
        <f t="shared" si="78"/>
        <v>2009</v>
      </c>
      <c r="G2522" s="70" t="s">
        <v>159</v>
      </c>
      <c r="H2522" s="70" t="str">
        <f t="shared" si="79"/>
        <v>RBT</v>
      </c>
    </row>
    <row r="2523" spans="1:8" ht="15" x14ac:dyDescent="0.25">
      <c r="A2523" s="88" t="s">
        <v>212</v>
      </c>
      <c r="B2523" s="88">
        <v>2009</v>
      </c>
      <c r="C2523" s="89" t="s">
        <v>510</v>
      </c>
      <c r="D2523" s="88" t="s">
        <v>160</v>
      </c>
      <c r="F2523" s="70">
        <f t="shared" si="78"/>
        <v>2009</v>
      </c>
      <c r="G2523" s="70" t="s">
        <v>159</v>
      </c>
      <c r="H2523" s="70" t="str">
        <f t="shared" si="79"/>
        <v>RBT</v>
      </c>
    </row>
    <row r="2524" spans="1:8" ht="15" x14ac:dyDescent="0.25">
      <c r="A2524" s="88" t="s">
        <v>212</v>
      </c>
      <c r="B2524" s="88">
        <v>2009</v>
      </c>
      <c r="C2524" s="89" t="s">
        <v>509</v>
      </c>
      <c r="D2524" s="88" t="s">
        <v>160</v>
      </c>
      <c r="F2524" s="70">
        <f t="shared" si="78"/>
        <v>2009</v>
      </c>
      <c r="G2524" s="70" t="s">
        <v>159</v>
      </c>
      <c r="H2524" s="70" t="str">
        <f t="shared" si="79"/>
        <v>RBT</v>
      </c>
    </row>
    <row r="2525" spans="1:8" ht="15" x14ac:dyDescent="0.25">
      <c r="A2525" s="88" t="s">
        <v>212</v>
      </c>
      <c r="B2525" s="88">
        <v>2009</v>
      </c>
      <c r="C2525" s="89" t="s">
        <v>508</v>
      </c>
      <c r="D2525" s="88" t="s">
        <v>160</v>
      </c>
      <c r="F2525" s="70">
        <f t="shared" si="78"/>
        <v>2009</v>
      </c>
      <c r="G2525" s="70" t="s">
        <v>159</v>
      </c>
      <c r="H2525" s="70" t="str">
        <f t="shared" si="79"/>
        <v>RBT</v>
      </c>
    </row>
    <row r="2526" spans="1:8" ht="15" x14ac:dyDescent="0.25">
      <c r="A2526" s="88" t="s">
        <v>212</v>
      </c>
      <c r="B2526" s="88">
        <v>2009</v>
      </c>
      <c r="C2526" s="89" t="s">
        <v>507</v>
      </c>
      <c r="D2526" s="88" t="s">
        <v>160</v>
      </c>
      <c r="F2526" s="70">
        <f t="shared" si="78"/>
        <v>2009</v>
      </c>
      <c r="G2526" s="70" t="s">
        <v>159</v>
      </c>
      <c r="H2526" s="70" t="str">
        <f t="shared" si="79"/>
        <v>RBT</v>
      </c>
    </row>
    <row r="2527" spans="1:8" ht="15" x14ac:dyDescent="0.25">
      <c r="A2527" s="88" t="s">
        <v>212</v>
      </c>
      <c r="B2527" s="88">
        <v>2009</v>
      </c>
      <c r="C2527" s="89" t="s">
        <v>506</v>
      </c>
      <c r="D2527" s="88" t="s">
        <v>160</v>
      </c>
      <c r="F2527" s="70">
        <f t="shared" si="78"/>
        <v>2009</v>
      </c>
      <c r="G2527" s="70" t="s">
        <v>159</v>
      </c>
      <c r="H2527" s="70" t="str">
        <f t="shared" si="79"/>
        <v>RBT</v>
      </c>
    </row>
    <row r="2528" spans="1:8" ht="15" x14ac:dyDescent="0.25">
      <c r="A2528" s="88" t="s">
        <v>212</v>
      </c>
      <c r="B2528" s="88">
        <v>2009</v>
      </c>
      <c r="C2528" s="89" t="s">
        <v>505</v>
      </c>
      <c r="D2528" s="88" t="s">
        <v>160</v>
      </c>
      <c r="F2528" s="70">
        <f t="shared" si="78"/>
        <v>2009</v>
      </c>
      <c r="G2528" s="70" t="s">
        <v>159</v>
      </c>
      <c r="H2528" s="70" t="str">
        <f t="shared" si="79"/>
        <v>RBT</v>
      </c>
    </row>
    <row r="2529" spans="1:8" ht="15" x14ac:dyDescent="0.25">
      <c r="A2529" s="88" t="s">
        <v>212</v>
      </c>
      <c r="B2529" s="88">
        <v>2009</v>
      </c>
      <c r="C2529" s="89" t="s">
        <v>504</v>
      </c>
      <c r="D2529" s="88" t="s">
        <v>160</v>
      </c>
      <c r="F2529" s="70">
        <f t="shared" si="78"/>
        <v>2009</v>
      </c>
      <c r="G2529" s="70" t="s">
        <v>159</v>
      </c>
      <c r="H2529" s="70" t="str">
        <f t="shared" si="79"/>
        <v>RBT</v>
      </c>
    </row>
    <row r="2530" spans="1:8" ht="15" x14ac:dyDescent="0.25">
      <c r="A2530" s="88" t="s">
        <v>212</v>
      </c>
      <c r="B2530" s="88">
        <v>2009</v>
      </c>
      <c r="C2530" s="89" t="s">
        <v>503</v>
      </c>
      <c r="D2530" s="88" t="s">
        <v>160</v>
      </c>
      <c r="F2530" s="70">
        <f t="shared" si="78"/>
        <v>2009</v>
      </c>
      <c r="G2530" s="70" t="s">
        <v>159</v>
      </c>
      <c r="H2530" s="70" t="str">
        <f t="shared" si="79"/>
        <v>RBT</v>
      </c>
    </row>
    <row r="2531" spans="1:8" ht="15" x14ac:dyDescent="0.25">
      <c r="A2531" s="88" t="s">
        <v>212</v>
      </c>
      <c r="B2531" s="88">
        <v>2009</v>
      </c>
      <c r="C2531" s="89" t="s">
        <v>502</v>
      </c>
      <c r="D2531" s="88" t="s">
        <v>160</v>
      </c>
      <c r="F2531" s="70">
        <f t="shared" si="78"/>
        <v>2009</v>
      </c>
      <c r="G2531" s="70" t="s">
        <v>159</v>
      </c>
      <c r="H2531" s="70" t="str">
        <f t="shared" si="79"/>
        <v>RBT</v>
      </c>
    </row>
    <row r="2532" spans="1:8" ht="15" x14ac:dyDescent="0.25">
      <c r="A2532" s="88" t="s">
        <v>212</v>
      </c>
      <c r="B2532" s="88">
        <v>2009</v>
      </c>
      <c r="C2532" s="89" t="s">
        <v>501</v>
      </c>
      <c r="D2532" s="88" t="s">
        <v>160</v>
      </c>
      <c r="F2532" s="70">
        <f t="shared" si="78"/>
        <v>2009</v>
      </c>
      <c r="G2532" s="70" t="s">
        <v>159</v>
      </c>
      <c r="H2532" s="70" t="str">
        <f t="shared" si="79"/>
        <v>RBT</v>
      </c>
    </row>
    <row r="2533" spans="1:8" ht="15" x14ac:dyDescent="0.25">
      <c r="A2533" s="88" t="s">
        <v>212</v>
      </c>
      <c r="B2533" s="88">
        <v>2009</v>
      </c>
      <c r="C2533" s="89" t="s">
        <v>500</v>
      </c>
      <c r="D2533" s="88" t="s">
        <v>160</v>
      </c>
      <c r="F2533" s="70">
        <f t="shared" si="78"/>
        <v>2009</v>
      </c>
      <c r="G2533" s="70" t="s">
        <v>159</v>
      </c>
      <c r="H2533" s="70" t="str">
        <f t="shared" si="79"/>
        <v>RBT</v>
      </c>
    </row>
    <row r="2534" spans="1:8" ht="15" x14ac:dyDescent="0.25">
      <c r="A2534" s="88" t="s">
        <v>212</v>
      </c>
      <c r="B2534" s="88">
        <v>2009</v>
      </c>
      <c r="C2534" s="89" t="s">
        <v>499</v>
      </c>
      <c r="D2534" s="88" t="s">
        <v>160</v>
      </c>
      <c r="F2534" s="70">
        <f t="shared" si="78"/>
        <v>2009</v>
      </c>
      <c r="G2534" s="70" t="s">
        <v>159</v>
      </c>
      <c r="H2534" s="70" t="str">
        <f t="shared" si="79"/>
        <v>RBT</v>
      </c>
    </row>
    <row r="2535" spans="1:8" ht="15" x14ac:dyDescent="0.25">
      <c r="A2535" s="88" t="s">
        <v>212</v>
      </c>
      <c r="B2535" s="88">
        <v>2009</v>
      </c>
      <c r="C2535" s="89" t="s">
        <v>498</v>
      </c>
      <c r="D2535" s="88" t="s">
        <v>160</v>
      </c>
      <c r="F2535" s="70">
        <f t="shared" si="78"/>
        <v>2009</v>
      </c>
      <c r="G2535" s="70" t="s">
        <v>159</v>
      </c>
      <c r="H2535" s="70" t="str">
        <f t="shared" si="79"/>
        <v>RBT</v>
      </c>
    </row>
    <row r="2536" spans="1:8" ht="15" x14ac:dyDescent="0.25">
      <c r="A2536" s="88" t="s">
        <v>212</v>
      </c>
      <c r="B2536" s="88">
        <v>2009</v>
      </c>
      <c r="C2536" s="89" t="s">
        <v>497</v>
      </c>
      <c r="D2536" s="88" t="s">
        <v>160</v>
      </c>
      <c r="F2536" s="70">
        <f t="shared" si="78"/>
        <v>2009</v>
      </c>
      <c r="G2536" s="70" t="s">
        <v>159</v>
      </c>
      <c r="H2536" s="70" t="str">
        <f t="shared" si="79"/>
        <v>RBT</v>
      </c>
    </row>
    <row r="2537" spans="1:8" ht="15" x14ac:dyDescent="0.25">
      <c r="A2537" s="88" t="s">
        <v>212</v>
      </c>
      <c r="B2537" s="88">
        <v>2009</v>
      </c>
      <c r="C2537" s="89" t="s">
        <v>496</v>
      </c>
      <c r="D2537" s="88" t="s">
        <v>160</v>
      </c>
      <c r="F2537" s="70">
        <f t="shared" si="78"/>
        <v>2009</v>
      </c>
      <c r="G2537" s="70" t="s">
        <v>159</v>
      </c>
      <c r="H2537" s="70" t="str">
        <f t="shared" si="79"/>
        <v>RBT</v>
      </c>
    </row>
    <row r="2538" spans="1:8" ht="15" x14ac:dyDescent="0.25">
      <c r="A2538" s="88" t="s">
        <v>212</v>
      </c>
      <c r="B2538" s="88">
        <v>2010</v>
      </c>
      <c r="C2538" s="89" t="s">
        <v>495</v>
      </c>
      <c r="D2538" s="88" t="s">
        <v>160</v>
      </c>
      <c r="F2538" s="70">
        <f t="shared" si="78"/>
        <v>2010</v>
      </c>
      <c r="G2538" s="70" t="s">
        <v>159</v>
      </c>
      <c r="H2538" s="70" t="str">
        <f t="shared" si="79"/>
        <v>RBT</v>
      </c>
    </row>
    <row r="2539" spans="1:8" ht="15" x14ac:dyDescent="0.25">
      <c r="A2539" s="88" t="s">
        <v>212</v>
      </c>
      <c r="B2539" s="88">
        <v>2010</v>
      </c>
      <c r="C2539" s="89" t="s">
        <v>494</v>
      </c>
      <c r="D2539" s="88" t="s">
        <v>160</v>
      </c>
      <c r="F2539" s="70">
        <f t="shared" si="78"/>
        <v>2010</v>
      </c>
      <c r="G2539" s="70" t="s">
        <v>159</v>
      </c>
      <c r="H2539" s="70" t="str">
        <f t="shared" si="79"/>
        <v>RBT</v>
      </c>
    </row>
    <row r="2540" spans="1:8" ht="15" x14ac:dyDescent="0.25">
      <c r="A2540" s="88" t="s">
        <v>212</v>
      </c>
      <c r="B2540" s="88">
        <v>2010</v>
      </c>
      <c r="C2540" s="89" t="s">
        <v>493</v>
      </c>
      <c r="D2540" s="88" t="s">
        <v>160</v>
      </c>
      <c r="F2540" s="70">
        <f t="shared" si="78"/>
        <v>2010</v>
      </c>
      <c r="G2540" s="70" t="s">
        <v>159</v>
      </c>
      <c r="H2540" s="70" t="str">
        <f t="shared" si="79"/>
        <v>RBT</v>
      </c>
    </row>
    <row r="2541" spans="1:8" ht="15" x14ac:dyDescent="0.25">
      <c r="A2541" s="88" t="s">
        <v>212</v>
      </c>
      <c r="B2541" s="88">
        <v>2010</v>
      </c>
      <c r="C2541" s="89" t="s">
        <v>492</v>
      </c>
      <c r="D2541" s="88" t="s">
        <v>160</v>
      </c>
      <c r="F2541" s="70">
        <f t="shared" si="78"/>
        <v>2010</v>
      </c>
      <c r="G2541" s="70" t="s">
        <v>159</v>
      </c>
      <c r="H2541" s="70" t="str">
        <f t="shared" si="79"/>
        <v>RBT</v>
      </c>
    </row>
    <row r="2542" spans="1:8" ht="15" x14ac:dyDescent="0.25">
      <c r="A2542" s="88" t="s">
        <v>212</v>
      </c>
      <c r="B2542" s="88">
        <v>2010</v>
      </c>
      <c r="C2542" s="89" t="s">
        <v>491</v>
      </c>
      <c r="D2542" s="88" t="s">
        <v>160</v>
      </c>
      <c r="F2542" s="70">
        <f t="shared" si="78"/>
        <v>2010</v>
      </c>
      <c r="G2542" s="70" t="s">
        <v>159</v>
      </c>
      <c r="H2542" s="70" t="str">
        <f t="shared" si="79"/>
        <v>RBT</v>
      </c>
    </row>
    <row r="2543" spans="1:8" ht="15" x14ac:dyDescent="0.25">
      <c r="A2543" s="88" t="s">
        <v>212</v>
      </c>
      <c r="B2543" s="88">
        <v>2010</v>
      </c>
      <c r="C2543" s="89" t="s">
        <v>490</v>
      </c>
      <c r="D2543" s="88" t="s">
        <v>160</v>
      </c>
      <c r="F2543" s="70">
        <f t="shared" si="78"/>
        <v>2010</v>
      </c>
      <c r="G2543" s="70" t="s">
        <v>159</v>
      </c>
      <c r="H2543" s="70" t="str">
        <f t="shared" si="79"/>
        <v>RBT</v>
      </c>
    </row>
    <row r="2544" spans="1:8" ht="15" x14ac:dyDescent="0.25">
      <c r="A2544" s="88" t="s">
        <v>212</v>
      </c>
      <c r="B2544" s="88">
        <v>2010</v>
      </c>
      <c r="C2544" s="89" t="s">
        <v>489</v>
      </c>
      <c r="D2544" s="88" t="s">
        <v>160</v>
      </c>
      <c r="F2544" s="70">
        <f t="shared" si="78"/>
        <v>2010</v>
      </c>
      <c r="G2544" s="70" t="s">
        <v>159</v>
      </c>
      <c r="H2544" s="70" t="str">
        <f t="shared" si="79"/>
        <v>RBT</v>
      </c>
    </row>
    <row r="2545" spans="1:8" ht="15" x14ac:dyDescent="0.25">
      <c r="A2545" s="88" t="s">
        <v>212</v>
      </c>
      <c r="B2545" s="88">
        <v>2010</v>
      </c>
      <c r="C2545" s="89" t="s">
        <v>488</v>
      </c>
      <c r="D2545" s="88" t="s">
        <v>160</v>
      </c>
      <c r="F2545" s="70">
        <f t="shared" si="78"/>
        <v>2010</v>
      </c>
      <c r="G2545" s="70" t="s">
        <v>159</v>
      </c>
      <c r="H2545" s="70" t="str">
        <f t="shared" si="79"/>
        <v>RBT</v>
      </c>
    </row>
    <row r="2546" spans="1:8" ht="15" x14ac:dyDescent="0.25">
      <c r="A2546" s="88" t="s">
        <v>212</v>
      </c>
      <c r="B2546" s="88">
        <v>2010</v>
      </c>
      <c r="C2546" s="89" t="s">
        <v>487</v>
      </c>
      <c r="D2546" s="88" t="s">
        <v>160</v>
      </c>
      <c r="F2546" s="70">
        <f t="shared" si="78"/>
        <v>2010</v>
      </c>
      <c r="G2546" s="70" t="s">
        <v>159</v>
      </c>
      <c r="H2546" s="70" t="str">
        <f t="shared" si="79"/>
        <v>RBT</v>
      </c>
    </row>
    <row r="2547" spans="1:8" ht="15" x14ac:dyDescent="0.25">
      <c r="A2547" s="88" t="s">
        <v>212</v>
      </c>
      <c r="B2547" s="88">
        <v>2010</v>
      </c>
      <c r="C2547" s="89" t="s">
        <v>486</v>
      </c>
      <c r="D2547" s="88" t="s">
        <v>160</v>
      </c>
      <c r="F2547" s="70">
        <f t="shared" si="78"/>
        <v>2010</v>
      </c>
      <c r="G2547" s="70" t="s">
        <v>159</v>
      </c>
      <c r="H2547" s="70" t="str">
        <f t="shared" si="79"/>
        <v>RBT</v>
      </c>
    </row>
    <row r="2548" spans="1:8" ht="15" x14ac:dyDescent="0.25">
      <c r="A2548" s="88" t="s">
        <v>212</v>
      </c>
      <c r="B2548" s="88">
        <v>2011</v>
      </c>
      <c r="C2548" s="89" t="s">
        <v>485</v>
      </c>
      <c r="D2548" s="88" t="s">
        <v>160</v>
      </c>
      <c r="F2548" s="70">
        <f t="shared" si="78"/>
        <v>2011</v>
      </c>
      <c r="G2548" s="70" t="s">
        <v>159</v>
      </c>
      <c r="H2548" s="70" t="str">
        <f t="shared" si="79"/>
        <v>RBT</v>
      </c>
    </row>
    <row r="2549" spans="1:8" ht="15" x14ac:dyDescent="0.25">
      <c r="A2549" s="88" t="s">
        <v>212</v>
      </c>
      <c r="B2549" s="88">
        <v>2011</v>
      </c>
      <c r="C2549" s="89" t="s">
        <v>484</v>
      </c>
      <c r="D2549" s="88" t="s">
        <v>160</v>
      </c>
      <c r="F2549" s="70">
        <f t="shared" si="78"/>
        <v>2011</v>
      </c>
      <c r="G2549" s="70" t="s">
        <v>159</v>
      </c>
      <c r="H2549" s="70" t="str">
        <f t="shared" si="79"/>
        <v>RBT</v>
      </c>
    </row>
    <row r="2550" spans="1:8" ht="15" x14ac:dyDescent="0.25">
      <c r="A2550" s="88" t="s">
        <v>212</v>
      </c>
      <c r="B2550" s="88">
        <v>2011</v>
      </c>
      <c r="C2550" s="89" t="s">
        <v>483</v>
      </c>
      <c r="D2550" s="88" t="s">
        <v>160</v>
      </c>
      <c r="F2550" s="70">
        <f t="shared" si="78"/>
        <v>2011</v>
      </c>
      <c r="G2550" s="70" t="s">
        <v>159</v>
      </c>
      <c r="H2550" s="70" t="str">
        <f t="shared" si="79"/>
        <v>RBT</v>
      </c>
    </row>
    <row r="2551" spans="1:8" ht="15" x14ac:dyDescent="0.25">
      <c r="A2551" s="88" t="s">
        <v>212</v>
      </c>
      <c r="B2551" s="88">
        <v>2011</v>
      </c>
      <c r="C2551" s="89" t="s">
        <v>482</v>
      </c>
      <c r="D2551" s="88" t="s">
        <v>160</v>
      </c>
      <c r="F2551" s="70">
        <f t="shared" si="78"/>
        <v>2011</v>
      </c>
      <c r="G2551" s="70" t="s">
        <v>159</v>
      </c>
      <c r="H2551" s="70" t="str">
        <f t="shared" si="79"/>
        <v>RBT</v>
      </c>
    </row>
    <row r="2552" spans="1:8" ht="15" x14ac:dyDescent="0.25">
      <c r="A2552" s="88" t="s">
        <v>212</v>
      </c>
      <c r="B2552" s="88">
        <v>2011</v>
      </c>
      <c r="C2552" s="89" t="s">
        <v>481</v>
      </c>
      <c r="D2552" s="88" t="s">
        <v>160</v>
      </c>
      <c r="F2552" s="70">
        <f t="shared" si="78"/>
        <v>2011</v>
      </c>
      <c r="G2552" s="70" t="s">
        <v>159</v>
      </c>
      <c r="H2552" s="70" t="str">
        <f t="shared" si="79"/>
        <v>RBT</v>
      </c>
    </row>
    <row r="2553" spans="1:8" ht="15" x14ac:dyDescent="0.25">
      <c r="A2553" s="88" t="s">
        <v>212</v>
      </c>
      <c r="B2553" s="88">
        <v>2011</v>
      </c>
      <c r="C2553" s="89" t="s">
        <v>480</v>
      </c>
      <c r="D2553" s="88" t="s">
        <v>160</v>
      </c>
      <c r="F2553" s="70">
        <f t="shared" si="78"/>
        <v>2011</v>
      </c>
      <c r="G2553" s="70" t="s">
        <v>159</v>
      </c>
      <c r="H2553" s="70" t="str">
        <f t="shared" si="79"/>
        <v>RBT</v>
      </c>
    </row>
    <row r="2554" spans="1:8" ht="15" x14ac:dyDescent="0.25">
      <c r="A2554" s="88" t="s">
        <v>212</v>
      </c>
      <c r="B2554" s="88">
        <v>2011</v>
      </c>
      <c r="C2554" s="89" t="s">
        <v>479</v>
      </c>
      <c r="D2554" s="88" t="s">
        <v>160</v>
      </c>
      <c r="F2554" s="70">
        <f t="shared" si="78"/>
        <v>2011</v>
      </c>
      <c r="G2554" s="70" t="s">
        <v>159</v>
      </c>
      <c r="H2554" s="70" t="str">
        <f t="shared" si="79"/>
        <v>RBT</v>
      </c>
    </row>
    <row r="2555" spans="1:8" ht="15" x14ac:dyDescent="0.25">
      <c r="A2555" s="88" t="s">
        <v>212</v>
      </c>
      <c r="B2555" s="88">
        <v>2011</v>
      </c>
      <c r="C2555" s="89" t="s">
        <v>478</v>
      </c>
      <c r="D2555" s="88" t="s">
        <v>160</v>
      </c>
      <c r="F2555" s="70">
        <f t="shared" si="78"/>
        <v>2011</v>
      </c>
      <c r="G2555" s="70" t="s">
        <v>159</v>
      </c>
      <c r="H2555" s="70" t="str">
        <f t="shared" si="79"/>
        <v>RBT</v>
      </c>
    </row>
    <row r="2556" spans="1:8" ht="15" x14ac:dyDescent="0.25">
      <c r="A2556" s="88" t="s">
        <v>212</v>
      </c>
      <c r="B2556" s="88">
        <v>2011</v>
      </c>
      <c r="C2556" s="89" t="s">
        <v>477</v>
      </c>
      <c r="D2556" s="88" t="s">
        <v>160</v>
      </c>
      <c r="F2556" s="70">
        <f t="shared" si="78"/>
        <v>2011</v>
      </c>
      <c r="G2556" s="70" t="s">
        <v>159</v>
      </c>
      <c r="H2556" s="70" t="str">
        <f t="shared" si="79"/>
        <v>RBT</v>
      </c>
    </row>
    <row r="2557" spans="1:8" ht="15" x14ac:dyDescent="0.25">
      <c r="A2557" s="88" t="s">
        <v>212</v>
      </c>
      <c r="B2557" s="88">
        <v>2011</v>
      </c>
      <c r="C2557" s="89" t="s">
        <v>476</v>
      </c>
      <c r="D2557" s="88" t="s">
        <v>160</v>
      </c>
      <c r="F2557" s="70">
        <f t="shared" si="78"/>
        <v>2011</v>
      </c>
      <c r="G2557" s="70" t="s">
        <v>159</v>
      </c>
      <c r="H2557" s="70" t="str">
        <f t="shared" si="79"/>
        <v>RBT</v>
      </c>
    </row>
    <row r="2558" spans="1:8" ht="15" x14ac:dyDescent="0.25">
      <c r="A2558" s="88" t="s">
        <v>212</v>
      </c>
      <c r="B2558" s="88">
        <v>2011</v>
      </c>
      <c r="C2558" s="89" t="s">
        <v>475</v>
      </c>
      <c r="D2558" s="88" t="s">
        <v>160</v>
      </c>
      <c r="F2558" s="70">
        <f t="shared" si="78"/>
        <v>2011</v>
      </c>
      <c r="G2558" s="70" t="s">
        <v>159</v>
      </c>
      <c r="H2558" s="70" t="str">
        <f t="shared" si="79"/>
        <v>RBT</v>
      </c>
    </row>
    <row r="2559" spans="1:8" ht="15" x14ac:dyDescent="0.25">
      <c r="A2559" s="88" t="s">
        <v>212</v>
      </c>
      <c r="B2559" s="88">
        <v>2011</v>
      </c>
      <c r="C2559" s="89" t="s">
        <v>474</v>
      </c>
      <c r="D2559" s="88" t="s">
        <v>160</v>
      </c>
      <c r="F2559" s="70">
        <f t="shared" si="78"/>
        <v>2011</v>
      </c>
      <c r="G2559" s="70" t="s">
        <v>159</v>
      </c>
      <c r="H2559" s="70" t="str">
        <f t="shared" si="79"/>
        <v>RBT</v>
      </c>
    </row>
    <row r="2560" spans="1:8" ht="15" x14ac:dyDescent="0.25">
      <c r="A2560" s="88" t="s">
        <v>212</v>
      </c>
      <c r="B2560" s="88">
        <v>2012</v>
      </c>
      <c r="C2560" s="89" t="s">
        <v>473</v>
      </c>
      <c r="D2560" s="88" t="s">
        <v>160</v>
      </c>
      <c r="F2560" s="70">
        <f t="shared" si="78"/>
        <v>2012</v>
      </c>
      <c r="G2560" s="70" t="s">
        <v>159</v>
      </c>
      <c r="H2560" s="70" t="str">
        <f t="shared" si="79"/>
        <v>RBT</v>
      </c>
    </row>
    <row r="2561" spans="1:8" ht="15" x14ac:dyDescent="0.25">
      <c r="A2561" s="88" t="s">
        <v>212</v>
      </c>
      <c r="B2561" s="88">
        <v>2012</v>
      </c>
      <c r="C2561" s="89" t="s">
        <v>472</v>
      </c>
      <c r="D2561" s="88" t="s">
        <v>160</v>
      </c>
      <c r="F2561" s="70">
        <f t="shared" si="78"/>
        <v>2012</v>
      </c>
      <c r="G2561" s="70" t="s">
        <v>159</v>
      </c>
      <c r="H2561" s="70" t="str">
        <f t="shared" si="79"/>
        <v>RBT</v>
      </c>
    </row>
    <row r="2562" spans="1:8" ht="15" x14ac:dyDescent="0.25">
      <c r="A2562" s="88" t="s">
        <v>212</v>
      </c>
      <c r="B2562" s="88">
        <v>2012</v>
      </c>
      <c r="C2562" s="89" t="s">
        <v>471</v>
      </c>
      <c r="D2562" s="88" t="s">
        <v>160</v>
      </c>
      <c r="F2562" s="70">
        <f t="shared" si="78"/>
        <v>2012</v>
      </c>
      <c r="G2562" s="70" t="s">
        <v>159</v>
      </c>
      <c r="H2562" s="70" t="str">
        <f t="shared" si="79"/>
        <v>RBT</v>
      </c>
    </row>
    <row r="2563" spans="1:8" ht="15" x14ac:dyDescent="0.25">
      <c r="A2563" s="88" t="s">
        <v>212</v>
      </c>
      <c r="B2563" s="88">
        <v>2012</v>
      </c>
      <c r="C2563" s="89" t="s">
        <v>470</v>
      </c>
      <c r="D2563" s="88" t="s">
        <v>160</v>
      </c>
      <c r="F2563" s="70">
        <f t="shared" si="78"/>
        <v>2012</v>
      </c>
      <c r="G2563" s="70" t="s">
        <v>159</v>
      </c>
      <c r="H2563" s="70" t="str">
        <f t="shared" si="79"/>
        <v>RBT</v>
      </c>
    </row>
    <row r="2564" spans="1:8" ht="15" x14ac:dyDescent="0.25">
      <c r="A2564" s="88" t="s">
        <v>212</v>
      </c>
      <c r="B2564" s="88">
        <v>2012</v>
      </c>
      <c r="C2564" s="89" t="s">
        <v>469</v>
      </c>
      <c r="D2564" s="88" t="s">
        <v>160</v>
      </c>
      <c r="F2564" s="70">
        <f t="shared" si="78"/>
        <v>2012</v>
      </c>
      <c r="G2564" s="70" t="s">
        <v>159</v>
      </c>
      <c r="H2564" s="70" t="str">
        <f t="shared" si="79"/>
        <v>RBT</v>
      </c>
    </row>
    <row r="2565" spans="1:8" ht="15" x14ac:dyDescent="0.25">
      <c r="A2565" s="88" t="s">
        <v>212</v>
      </c>
      <c r="B2565" s="88">
        <v>2012</v>
      </c>
      <c r="C2565" s="89" t="s">
        <v>468</v>
      </c>
      <c r="D2565" s="88" t="s">
        <v>160</v>
      </c>
      <c r="F2565" s="70">
        <f t="shared" si="78"/>
        <v>2012</v>
      </c>
      <c r="G2565" s="70" t="s">
        <v>159</v>
      </c>
      <c r="H2565" s="70" t="str">
        <f t="shared" si="79"/>
        <v>RBT</v>
      </c>
    </row>
    <row r="2566" spans="1:8" ht="15" x14ac:dyDescent="0.25">
      <c r="A2566" s="88" t="s">
        <v>212</v>
      </c>
      <c r="B2566" s="88">
        <v>2012</v>
      </c>
      <c r="C2566" s="89" t="s">
        <v>467</v>
      </c>
      <c r="D2566" s="88" t="s">
        <v>160</v>
      </c>
      <c r="F2566" s="70">
        <f t="shared" si="78"/>
        <v>2012</v>
      </c>
      <c r="G2566" s="70" t="s">
        <v>159</v>
      </c>
      <c r="H2566" s="70" t="str">
        <f t="shared" si="79"/>
        <v>RBT</v>
      </c>
    </row>
    <row r="2567" spans="1:8" ht="15" x14ac:dyDescent="0.25">
      <c r="A2567" s="88" t="s">
        <v>212</v>
      </c>
      <c r="B2567" s="88">
        <v>2012</v>
      </c>
      <c r="C2567" s="89" t="s">
        <v>466</v>
      </c>
      <c r="D2567" s="88" t="s">
        <v>160</v>
      </c>
      <c r="F2567" s="70">
        <f t="shared" si="78"/>
        <v>2012</v>
      </c>
      <c r="G2567" s="70" t="s">
        <v>159</v>
      </c>
      <c r="H2567" s="70" t="str">
        <f t="shared" si="79"/>
        <v>RBT</v>
      </c>
    </row>
    <row r="2568" spans="1:8" ht="15" x14ac:dyDescent="0.25">
      <c r="A2568" s="88" t="s">
        <v>212</v>
      </c>
      <c r="B2568" s="88">
        <v>2012</v>
      </c>
      <c r="C2568" s="89" t="s">
        <v>465</v>
      </c>
      <c r="D2568" s="88" t="s">
        <v>160</v>
      </c>
      <c r="F2568" s="70">
        <f t="shared" ref="F2568:F2631" si="80">+B2568</f>
        <v>2012</v>
      </c>
      <c r="G2568" s="70" t="s">
        <v>159</v>
      </c>
      <c r="H2568" s="70" t="str">
        <f t="shared" ref="H2568:H2631" si="81">A2568</f>
        <v>RBT</v>
      </c>
    </row>
    <row r="2569" spans="1:8" ht="15" x14ac:dyDescent="0.25">
      <c r="A2569" s="88" t="s">
        <v>212</v>
      </c>
      <c r="B2569" s="88">
        <v>2012</v>
      </c>
      <c r="C2569" s="89" t="s">
        <v>464</v>
      </c>
      <c r="D2569" s="88" t="s">
        <v>160</v>
      </c>
      <c r="F2569" s="70">
        <f t="shared" si="80"/>
        <v>2012</v>
      </c>
      <c r="G2569" s="70" t="s">
        <v>159</v>
      </c>
      <c r="H2569" s="70" t="str">
        <f t="shared" si="81"/>
        <v>RBT</v>
      </c>
    </row>
    <row r="2570" spans="1:8" ht="15" x14ac:dyDescent="0.25">
      <c r="A2570" s="88" t="s">
        <v>212</v>
      </c>
      <c r="B2570" s="88">
        <v>2012</v>
      </c>
      <c r="C2570" s="89" t="s">
        <v>463</v>
      </c>
      <c r="D2570" s="88" t="s">
        <v>160</v>
      </c>
      <c r="F2570" s="70">
        <f t="shared" si="80"/>
        <v>2012</v>
      </c>
      <c r="G2570" s="70" t="s">
        <v>159</v>
      </c>
      <c r="H2570" s="70" t="str">
        <f t="shared" si="81"/>
        <v>RBT</v>
      </c>
    </row>
    <row r="2571" spans="1:8" ht="15" x14ac:dyDescent="0.25">
      <c r="A2571" s="88" t="s">
        <v>212</v>
      </c>
      <c r="B2571" s="88">
        <v>2012</v>
      </c>
      <c r="C2571" s="89" t="s">
        <v>462</v>
      </c>
      <c r="D2571" s="88" t="s">
        <v>160</v>
      </c>
      <c r="F2571" s="70">
        <f t="shared" si="80"/>
        <v>2012</v>
      </c>
      <c r="G2571" s="70" t="s">
        <v>159</v>
      </c>
      <c r="H2571" s="70" t="str">
        <f t="shared" si="81"/>
        <v>RBT</v>
      </c>
    </row>
    <row r="2572" spans="1:8" ht="15" x14ac:dyDescent="0.25">
      <c r="A2572" s="88" t="s">
        <v>212</v>
      </c>
      <c r="B2572" s="88">
        <v>2013</v>
      </c>
      <c r="C2572" s="76" t="s">
        <v>461</v>
      </c>
      <c r="D2572" s="89" t="s">
        <v>160</v>
      </c>
      <c r="F2572" s="70">
        <f t="shared" si="80"/>
        <v>2013</v>
      </c>
      <c r="G2572" s="70" t="s">
        <v>159</v>
      </c>
      <c r="H2572" s="70" t="str">
        <f t="shared" si="81"/>
        <v>RBT</v>
      </c>
    </row>
    <row r="2573" spans="1:8" ht="15" x14ac:dyDescent="0.25">
      <c r="A2573" s="88" t="s">
        <v>212</v>
      </c>
      <c r="B2573" s="88">
        <v>2013</v>
      </c>
      <c r="C2573" s="76" t="s">
        <v>460</v>
      </c>
      <c r="D2573" s="89" t="s">
        <v>160</v>
      </c>
      <c r="F2573" s="70">
        <f t="shared" si="80"/>
        <v>2013</v>
      </c>
      <c r="G2573" s="70" t="s">
        <v>159</v>
      </c>
      <c r="H2573" s="70" t="str">
        <f t="shared" si="81"/>
        <v>RBT</v>
      </c>
    </row>
    <row r="2574" spans="1:8" ht="15" x14ac:dyDescent="0.25">
      <c r="A2574" s="88" t="s">
        <v>212</v>
      </c>
      <c r="B2574" s="88">
        <v>2013</v>
      </c>
      <c r="C2574" s="76" t="s">
        <v>459</v>
      </c>
      <c r="D2574" s="89" t="s">
        <v>160</v>
      </c>
      <c r="F2574" s="70">
        <f t="shared" si="80"/>
        <v>2013</v>
      </c>
      <c r="G2574" s="70" t="s">
        <v>159</v>
      </c>
      <c r="H2574" s="70" t="str">
        <f t="shared" si="81"/>
        <v>RBT</v>
      </c>
    </row>
    <row r="2575" spans="1:8" ht="15" x14ac:dyDescent="0.25">
      <c r="A2575" s="88" t="s">
        <v>212</v>
      </c>
      <c r="B2575" s="88">
        <v>2013</v>
      </c>
      <c r="C2575" s="76" t="s">
        <v>458</v>
      </c>
      <c r="D2575" s="89" t="s">
        <v>160</v>
      </c>
      <c r="F2575" s="70">
        <f t="shared" si="80"/>
        <v>2013</v>
      </c>
      <c r="G2575" s="70" t="s">
        <v>159</v>
      </c>
      <c r="H2575" s="70" t="str">
        <f t="shared" si="81"/>
        <v>RBT</v>
      </c>
    </row>
    <row r="2576" spans="1:8" ht="15" x14ac:dyDescent="0.25">
      <c r="A2576" s="88" t="s">
        <v>212</v>
      </c>
      <c r="B2576" s="88">
        <v>2013</v>
      </c>
      <c r="C2576" s="76" t="s">
        <v>457</v>
      </c>
      <c r="D2576" s="89" t="s">
        <v>160</v>
      </c>
      <c r="F2576" s="70">
        <f t="shared" si="80"/>
        <v>2013</v>
      </c>
      <c r="G2576" s="70" t="s">
        <v>159</v>
      </c>
      <c r="H2576" s="70" t="str">
        <f t="shared" si="81"/>
        <v>RBT</v>
      </c>
    </row>
    <row r="2577" spans="1:8" ht="15" x14ac:dyDescent="0.25">
      <c r="A2577" s="88" t="s">
        <v>212</v>
      </c>
      <c r="B2577" s="88">
        <v>2013</v>
      </c>
      <c r="C2577" s="76" t="s">
        <v>456</v>
      </c>
      <c r="D2577" s="89" t="s">
        <v>160</v>
      </c>
      <c r="F2577" s="70">
        <f t="shared" si="80"/>
        <v>2013</v>
      </c>
      <c r="G2577" s="70" t="s">
        <v>159</v>
      </c>
      <c r="H2577" s="70" t="str">
        <f t="shared" si="81"/>
        <v>RBT</v>
      </c>
    </row>
    <row r="2578" spans="1:8" ht="15" x14ac:dyDescent="0.25">
      <c r="A2578" s="88" t="s">
        <v>212</v>
      </c>
      <c r="B2578" s="88">
        <v>2013</v>
      </c>
      <c r="C2578" s="76" t="s">
        <v>455</v>
      </c>
      <c r="D2578" s="89" t="s">
        <v>160</v>
      </c>
      <c r="F2578" s="70">
        <f t="shared" si="80"/>
        <v>2013</v>
      </c>
      <c r="G2578" s="70" t="s">
        <v>159</v>
      </c>
      <c r="H2578" s="70" t="str">
        <f t="shared" si="81"/>
        <v>RBT</v>
      </c>
    </row>
    <row r="2579" spans="1:8" ht="15" x14ac:dyDescent="0.25">
      <c r="A2579" s="88" t="s">
        <v>212</v>
      </c>
      <c r="B2579" s="88">
        <v>2013</v>
      </c>
      <c r="C2579" s="76" t="s">
        <v>454</v>
      </c>
      <c r="D2579" s="89" t="s">
        <v>160</v>
      </c>
      <c r="F2579" s="70">
        <f t="shared" si="80"/>
        <v>2013</v>
      </c>
      <c r="G2579" s="70" t="s">
        <v>159</v>
      </c>
      <c r="H2579" s="70" t="str">
        <f t="shared" si="81"/>
        <v>RBT</v>
      </c>
    </row>
    <row r="2580" spans="1:8" ht="15" x14ac:dyDescent="0.25">
      <c r="A2580" s="88" t="s">
        <v>212</v>
      </c>
      <c r="B2580" s="88">
        <v>2013</v>
      </c>
      <c r="C2580" s="76" t="s">
        <v>453</v>
      </c>
      <c r="D2580" s="89" t="s">
        <v>160</v>
      </c>
      <c r="F2580" s="70">
        <f t="shared" si="80"/>
        <v>2013</v>
      </c>
      <c r="G2580" s="70" t="s">
        <v>159</v>
      </c>
      <c r="H2580" s="70" t="str">
        <f t="shared" si="81"/>
        <v>RBT</v>
      </c>
    </row>
    <row r="2581" spans="1:8" ht="15" x14ac:dyDescent="0.25">
      <c r="A2581" s="88" t="s">
        <v>212</v>
      </c>
      <c r="B2581" s="88">
        <v>2014</v>
      </c>
      <c r="C2581" s="76" t="s">
        <v>452</v>
      </c>
      <c r="D2581" s="89" t="s">
        <v>160</v>
      </c>
      <c r="F2581" s="70">
        <f t="shared" si="80"/>
        <v>2014</v>
      </c>
      <c r="G2581" s="70" t="s">
        <v>159</v>
      </c>
      <c r="H2581" s="70" t="str">
        <f t="shared" si="81"/>
        <v>RBT</v>
      </c>
    </row>
    <row r="2582" spans="1:8" ht="15" x14ac:dyDescent="0.25">
      <c r="A2582" s="88" t="s">
        <v>212</v>
      </c>
      <c r="B2582" s="88">
        <v>2014</v>
      </c>
      <c r="C2582" s="76" t="s">
        <v>451</v>
      </c>
      <c r="D2582" s="89" t="s">
        <v>160</v>
      </c>
      <c r="F2582" s="70">
        <f t="shared" si="80"/>
        <v>2014</v>
      </c>
      <c r="G2582" s="70" t="s">
        <v>159</v>
      </c>
      <c r="H2582" s="70" t="str">
        <f t="shared" si="81"/>
        <v>RBT</v>
      </c>
    </row>
    <row r="2583" spans="1:8" ht="15" x14ac:dyDescent="0.25">
      <c r="A2583" s="88" t="s">
        <v>212</v>
      </c>
      <c r="B2583" s="88">
        <v>2014</v>
      </c>
      <c r="C2583" s="76" t="s">
        <v>450</v>
      </c>
      <c r="D2583" s="89" t="s">
        <v>160</v>
      </c>
      <c r="F2583" s="70">
        <f t="shared" si="80"/>
        <v>2014</v>
      </c>
      <c r="G2583" s="70" t="s">
        <v>159</v>
      </c>
      <c r="H2583" s="70" t="str">
        <f t="shared" si="81"/>
        <v>RBT</v>
      </c>
    </row>
    <row r="2584" spans="1:8" ht="15" x14ac:dyDescent="0.25">
      <c r="A2584" s="88" t="s">
        <v>212</v>
      </c>
      <c r="B2584" s="88">
        <v>2014</v>
      </c>
      <c r="C2584" s="76" t="s">
        <v>449</v>
      </c>
      <c r="D2584" s="89" t="s">
        <v>160</v>
      </c>
      <c r="F2584" s="70">
        <f t="shared" si="80"/>
        <v>2014</v>
      </c>
      <c r="G2584" s="70" t="s">
        <v>159</v>
      </c>
      <c r="H2584" s="70" t="str">
        <f t="shared" si="81"/>
        <v>RBT</v>
      </c>
    </row>
    <row r="2585" spans="1:8" ht="15" x14ac:dyDescent="0.25">
      <c r="A2585" s="88" t="s">
        <v>212</v>
      </c>
      <c r="B2585" s="88">
        <v>2014</v>
      </c>
      <c r="C2585" s="76" t="s">
        <v>448</v>
      </c>
      <c r="D2585" s="89" t="s">
        <v>160</v>
      </c>
      <c r="F2585" s="70">
        <f t="shared" si="80"/>
        <v>2014</v>
      </c>
      <c r="G2585" s="70" t="s">
        <v>159</v>
      </c>
      <c r="H2585" s="70" t="str">
        <f t="shared" si="81"/>
        <v>RBT</v>
      </c>
    </row>
    <row r="2586" spans="1:8" ht="15" x14ac:dyDescent="0.25">
      <c r="A2586" s="88" t="s">
        <v>212</v>
      </c>
      <c r="B2586" s="88">
        <v>2014</v>
      </c>
      <c r="C2586" s="76" t="s">
        <v>447</v>
      </c>
      <c r="D2586" s="89" t="s">
        <v>160</v>
      </c>
      <c r="F2586" s="70">
        <f t="shared" si="80"/>
        <v>2014</v>
      </c>
      <c r="G2586" s="70" t="s">
        <v>159</v>
      </c>
      <c r="H2586" s="70" t="str">
        <f t="shared" si="81"/>
        <v>RBT</v>
      </c>
    </row>
    <row r="2587" spans="1:8" ht="15" x14ac:dyDescent="0.25">
      <c r="A2587" s="88" t="s">
        <v>212</v>
      </c>
      <c r="B2587" s="88">
        <v>2014</v>
      </c>
      <c r="C2587" s="76" t="s">
        <v>446</v>
      </c>
      <c r="D2587" s="89" t="s">
        <v>160</v>
      </c>
      <c r="F2587" s="70">
        <f t="shared" si="80"/>
        <v>2014</v>
      </c>
      <c r="G2587" s="70" t="s">
        <v>159</v>
      </c>
      <c r="H2587" s="70" t="str">
        <f t="shared" si="81"/>
        <v>RBT</v>
      </c>
    </row>
    <row r="2588" spans="1:8" ht="15" x14ac:dyDescent="0.25">
      <c r="A2588" s="88" t="s">
        <v>212</v>
      </c>
      <c r="B2588" s="88">
        <v>2014</v>
      </c>
      <c r="C2588" s="76" t="s">
        <v>445</v>
      </c>
      <c r="D2588" s="89" t="s">
        <v>160</v>
      </c>
      <c r="F2588" s="70">
        <f t="shared" si="80"/>
        <v>2014</v>
      </c>
      <c r="G2588" s="70" t="s">
        <v>159</v>
      </c>
      <c r="H2588" s="70" t="str">
        <f t="shared" si="81"/>
        <v>RBT</v>
      </c>
    </row>
    <row r="2589" spans="1:8" ht="15" x14ac:dyDescent="0.25">
      <c r="A2589" s="88" t="s">
        <v>212</v>
      </c>
      <c r="B2589" s="88">
        <v>2014</v>
      </c>
      <c r="C2589" s="76" t="s">
        <v>444</v>
      </c>
      <c r="D2589" s="89" t="s">
        <v>160</v>
      </c>
      <c r="F2589" s="70">
        <f t="shared" si="80"/>
        <v>2014</v>
      </c>
      <c r="G2589" s="70" t="s">
        <v>159</v>
      </c>
      <c r="H2589" s="70" t="str">
        <f t="shared" si="81"/>
        <v>RBT</v>
      </c>
    </row>
    <row r="2590" spans="1:8" ht="15" x14ac:dyDescent="0.25">
      <c r="A2590" s="88" t="s">
        <v>212</v>
      </c>
      <c r="B2590" s="88">
        <v>2014</v>
      </c>
      <c r="C2590" s="76" t="s">
        <v>443</v>
      </c>
      <c r="D2590" s="89" t="s">
        <v>160</v>
      </c>
      <c r="F2590" s="70">
        <f t="shared" si="80"/>
        <v>2014</v>
      </c>
      <c r="G2590" s="70" t="s">
        <v>159</v>
      </c>
      <c r="H2590" s="70" t="str">
        <f t="shared" si="81"/>
        <v>RBT</v>
      </c>
    </row>
    <row r="2591" spans="1:8" ht="15" x14ac:dyDescent="0.25">
      <c r="A2591" s="88" t="s">
        <v>212</v>
      </c>
      <c r="B2591" s="88">
        <v>2014</v>
      </c>
      <c r="C2591" s="76" t="s">
        <v>442</v>
      </c>
      <c r="D2591" s="89" t="s">
        <v>160</v>
      </c>
      <c r="F2591" s="70">
        <f t="shared" si="80"/>
        <v>2014</v>
      </c>
      <c r="G2591" s="70" t="s">
        <v>159</v>
      </c>
      <c r="H2591" s="70" t="str">
        <f t="shared" si="81"/>
        <v>RBT</v>
      </c>
    </row>
    <row r="2592" spans="1:8" ht="15" x14ac:dyDescent="0.25">
      <c r="A2592" s="88" t="s">
        <v>212</v>
      </c>
      <c r="B2592" s="88">
        <v>2014</v>
      </c>
      <c r="C2592" s="76" t="s">
        <v>441</v>
      </c>
      <c r="D2592" s="89" t="s">
        <v>160</v>
      </c>
      <c r="F2592" s="70">
        <f t="shared" si="80"/>
        <v>2014</v>
      </c>
      <c r="G2592" s="70" t="s">
        <v>159</v>
      </c>
      <c r="H2592" s="70" t="str">
        <f t="shared" si="81"/>
        <v>RBT</v>
      </c>
    </row>
    <row r="2593" spans="1:8" ht="15" x14ac:dyDescent="0.25">
      <c r="A2593" s="88" t="s">
        <v>212</v>
      </c>
      <c r="B2593" s="88">
        <v>2014</v>
      </c>
      <c r="C2593" s="76" t="s">
        <v>440</v>
      </c>
      <c r="D2593" s="89" t="s">
        <v>160</v>
      </c>
      <c r="F2593" s="70">
        <f t="shared" si="80"/>
        <v>2014</v>
      </c>
      <c r="G2593" s="70" t="s">
        <v>159</v>
      </c>
      <c r="H2593" s="70" t="str">
        <f t="shared" si="81"/>
        <v>RBT</v>
      </c>
    </row>
    <row r="2594" spans="1:8" ht="15" x14ac:dyDescent="0.25">
      <c r="A2594" s="88" t="s">
        <v>212</v>
      </c>
      <c r="B2594" s="88">
        <v>2015</v>
      </c>
      <c r="C2594" s="76" t="s">
        <v>439</v>
      </c>
      <c r="D2594" s="89" t="s">
        <v>160</v>
      </c>
      <c r="F2594" s="70">
        <f t="shared" si="80"/>
        <v>2015</v>
      </c>
      <c r="G2594" s="70" t="s">
        <v>159</v>
      </c>
      <c r="H2594" s="70" t="str">
        <f t="shared" si="81"/>
        <v>RBT</v>
      </c>
    </row>
    <row r="2595" spans="1:8" ht="15" x14ac:dyDescent="0.25">
      <c r="A2595" s="88" t="s">
        <v>212</v>
      </c>
      <c r="B2595" s="88">
        <v>2015</v>
      </c>
      <c r="C2595" s="76" t="s">
        <v>438</v>
      </c>
      <c r="D2595" s="89" t="s">
        <v>160</v>
      </c>
      <c r="F2595" s="70">
        <f t="shared" si="80"/>
        <v>2015</v>
      </c>
      <c r="G2595" s="70" t="s">
        <v>159</v>
      </c>
      <c r="H2595" s="70" t="str">
        <f t="shared" si="81"/>
        <v>RBT</v>
      </c>
    </row>
    <row r="2596" spans="1:8" ht="15" x14ac:dyDescent="0.25">
      <c r="A2596" s="88" t="s">
        <v>212</v>
      </c>
      <c r="B2596" s="88">
        <v>2015</v>
      </c>
      <c r="C2596" s="76" t="s">
        <v>437</v>
      </c>
      <c r="D2596" s="89" t="s">
        <v>160</v>
      </c>
      <c r="F2596" s="70">
        <f t="shared" si="80"/>
        <v>2015</v>
      </c>
      <c r="G2596" s="70" t="s">
        <v>159</v>
      </c>
      <c r="H2596" s="70" t="str">
        <f t="shared" si="81"/>
        <v>RBT</v>
      </c>
    </row>
    <row r="2597" spans="1:8" ht="15" x14ac:dyDescent="0.25">
      <c r="A2597" s="88" t="s">
        <v>212</v>
      </c>
      <c r="B2597" s="88">
        <v>2015</v>
      </c>
      <c r="C2597" s="76" t="s">
        <v>436</v>
      </c>
      <c r="D2597" s="89" t="s">
        <v>160</v>
      </c>
      <c r="F2597" s="70">
        <f t="shared" si="80"/>
        <v>2015</v>
      </c>
      <c r="G2597" s="70" t="s">
        <v>159</v>
      </c>
      <c r="H2597" s="70" t="str">
        <f t="shared" si="81"/>
        <v>RBT</v>
      </c>
    </row>
    <row r="2598" spans="1:8" ht="15" x14ac:dyDescent="0.25">
      <c r="A2598" s="88" t="s">
        <v>212</v>
      </c>
      <c r="B2598" s="88">
        <v>2015</v>
      </c>
      <c r="C2598" s="76" t="s">
        <v>435</v>
      </c>
      <c r="D2598" s="89" t="s">
        <v>160</v>
      </c>
      <c r="F2598" s="70">
        <f t="shared" si="80"/>
        <v>2015</v>
      </c>
      <c r="G2598" s="70" t="s">
        <v>159</v>
      </c>
      <c r="H2598" s="70" t="str">
        <f t="shared" si="81"/>
        <v>RBT</v>
      </c>
    </row>
    <row r="2599" spans="1:8" ht="15" x14ac:dyDescent="0.25">
      <c r="A2599" s="88" t="s">
        <v>212</v>
      </c>
      <c r="B2599" s="88">
        <v>2015</v>
      </c>
      <c r="C2599" s="76" t="s">
        <v>434</v>
      </c>
      <c r="D2599" s="89" t="s">
        <v>160</v>
      </c>
      <c r="F2599" s="70">
        <f t="shared" si="80"/>
        <v>2015</v>
      </c>
      <c r="G2599" s="70" t="s">
        <v>159</v>
      </c>
      <c r="H2599" s="70" t="str">
        <f t="shared" si="81"/>
        <v>RBT</v>
      </c>
    </row>
    <row r="2600" spans="1:8" ht="15" x14ac:dyDescent="0.25">
      <c r="A2600" s="88" t="s">
        <v>212</v>
      </c>
      <c r="B2600" s="88">
        <v>2015</v>
      </c>
      <c r="C2600" s="76" t="s">
        <v>433</v>
      </c>
      <c r="D2600" s="89" t="s">
        <v>160</v>
      </c>
      <c r="F2600" s="70">
        <f t="shared" si="80"/>
        <v>2015</v>
      </c>
      <c r="G2600" s="70" t="s">
        <v>159</v>
      </c>
      <c r="H2600" s="70" t="str">
        <f t="shared" si="81"/>
        <v>RBT</v>
      </c>
    </row>
    <row r="2601" spans="1:8" ht="15" x14ac:dyDescent="0.25">
      <c r="A2601" s="88" t="s">
        <v>212</v>
      </c>
      <c r="B2601" s="88">
        <v>2015</v>
      </c>
      <c r="C2601" s="76" t="s">
        <v>432</v>
      </c>
      <c r="D2601" s="89" t="s">
        <v>160</v>
      </c>
      <c r="F2601" s="70">
        <f t="shared" si="80"/>
        <v>2015</v>
      </c>
      <c r="G2601" s="70" t="s">
        <v>159</v>
      </c>
      <c r="H2601" s="70" t="str">
        <f t="shared" si="81"/>
        <v>RBT</v>
      </c>
    </row>
    <row r="2602" spans="1:8" ht="15" x14ac:dyDescent="0.25">
      <c r="A2602" s="88" t="s">
        <v>212</v>
      </c>
      <c r="B2602" s="88">
        <v>2015</v>
      </c>
      <c r="C2602" s="76" t="s">
        <v>431</v>
      </c>
      <c r="D2602" s="89" t="s">
        <v>160</v>
      </c>
      <c r="F2602" s="70">
        <f t="shared" si="80"/>
        <v>2015</v>
      </c>
      <c r="G2602" s="70" t="s">
        <v>159</v>
      </c>
      <c r="H2602" s="70" t="str">
        <f t="shared" si="81"/>
        <v>RBT</v>
      </c>
    </row>
    <row r="2603" spans="1:8" ht="15" x14ac:dyDescent="0.25">
      <c r="A2603" s="88" t="s">
        <v>212</v>
      </c>
      <c r="B2603" s="88">
        <v>2015</v>
      </c>
      <c r="C2603" s="76" t="s">
        <v>430</v>
      </c>
      <c r="D2603" s="89" t="s">
        <v>160</v>
      </c>
      <c r="F2603" s="70">
        <f t="shared" si="80"/>
        <v>2015</v>
      </c>
      <c r="G2603" s="70" t="s">
        <v>159</v>
      </c>
      <c r="H2603" s="70" t="str">
        <f t="shared" si="81"/>
        <v>RBT</v>
      </c>
    </row>
    <row r="2604" spans="1:8" ht="15" x14ac:dyDescent="0.25">
      <c r="A2604" s="88" t="s">
        <v>212</v>
      </c>
      <c r="B2604" s="88">
        <v>2015</v>
      </c>
      <c r="C2604" s="76" t="s">
        <v>429</v>
      </c>
      <c r="D2604" s="89" t="s">
        <v>160</v>
      </c>
      <c r="F2604" s="70">
        <f t="shared" si="80"/>
        <v>2015</v>
      </c>
      <c r="G2604" s="70" t="s">
        <v>159</v>
      </c>
      <c r="H2604" s="70" t="str">
        <f t="shared" si="81"/>
        <v>RBT</v>
      </c>
    </row>
    <row r="2605" spans="1:8" ht="15" x14ac:dyDescent="0.25">
      <c r="A2605" s="88" t="s">
        <v>212</v>
      </c>
      <c r="B2605" s="88">
        <v>2015</v>
      </c>
      <c r="C2605" s="76" t="s">
        <v>428</v>
      </c>
      <c r="D2605" s="89" t="s">
        <v>160</v>
      </c>
      <c r="F2605" s="70">
        <f t="shared" si="80"/>
        <v>2015</v>
      </c>
      <c r="G2605" s="70" t="s">
        <v>159</v>
      </c>
      <c r="H2605" s="70" t="str">
        <f t="shared" si="81"/>
        <v>RBT</v>
      </c>
    </row>
    <row r="2606" spans="1:8" ht="15" x14ac:dyDescent="0.25">
      <c r="A2606" s="88" t="s">
        <v>212</v>
      </c>
      <c r="B2606" s="88">
        <v>2015</v>
      </c>
      <c r="C2606" s="76" t="s">
        <v>427</v>
      </c>
      <c r="D2606" s="89" t="s">
        <v>160</v>
      </c>
      <c r="F2606" s="70">
        <f t="shared" si="80"/>
        <v>2015</v>
      </c>
      <c r="G2606" s="70" t="s">
        <v>159</v>
      </c>
      <c r="H2606" s="70" t="str">
        <f t="shared" si="81"/>
        <v>RBT</v>
      </c>
    </row>
    <row r="2607" spans="1:8" ht="15" x14ac:dyDescent="0.25">
      <c r="A2607" s="88" t="s">
        <v>212</v>
      </c>
      <c r="B2607" s="88">
        <v>2015</v>
      </c>
      <c r="C2607" s="76" t="s">
        <v>426</v>
      </c>
      <c r="D2607" s="89" t="s">
        <v>160</v>
      </c>
      <c r="F2607" s="70">
        <f t="shared" si="80"/>
        <v>2015</v>
      </c>
      <c r="G2607" s="70" t="s">
        <v>159</v>
      </c>
      <c r="H2607" s="70" t="str">
        <f t="shared" si="81"/>
        <v>RBT</v>
      </c>
    </row>
    <row r="2608" spans="1:8" ht="15" x14ac:dyDescent="0.25">
      <c r="A2608" s="88" t="s">
        <v>212</v>
      </c>
      <c r="B2608" s="88">
        <v>2015</v>
      </c>
      <c r="C2608" s="76" t="s">
        <v>425</v>
      </c>
      <c r="D2608" s="89" t="s">
        <v>160</v>
      </c>
      <c r="F2608" s="70">
        <f t="shared" si="80"/>
        <v>2015</v>
      </c>
      <c r="G2608" s="70" t="s">
        <v>159</v>
      </c>
      <c r="H2608" s="70" t="str">
        <f t="shared" si="81"/>
        <v>RBT</v>
      </c>
    </row>
    <row r="2609" spans="1:8" ht="15" x14ac:dyDescent="0.25">
      <c r="A2609" s="88" t="s">
        <v>212</v>
      </c>
      <c r="B2609" s="88">
        <v>2015</v>
      </c>
      <c r="C2609" s="76" t="s">
        <v>424</v>
      </c>
      <c r="D2609" s="89" t="s">
        <v>160</v>
      </c>
      <c r="F2609" s="70">
        <f t="shared" si="80"/>
        <v>2015</v>
      </c>
      <c r="G2609" s="70" t="s">
        <v>159</v>
      </c>
      <c r="H2609" s="70" t="str">
        <f t="shared" si="81"/>
        <v>RBT</v>
      </c>
    </row>
    <row r="2610" spans="1:8" ht="15" x14ac:dyDescent="0.25">
      <c r="A2610" s="88" t="s">
        <v>212</v>
      </c>
      <c r="B2610" s="88">
        <v>2016</v>
      </c>
      <c r="C2610" s="76" t="s">
        <v>423</v>
      </c>
      <c r="D2610" s="89" t="s">
        <v>160</v>
      </c>
      <c r="F2610" s="70">
        <f t="shared" si="80"/>
        <v>2016</v>
      </c>
      <c r="G2610" s="70" t="s">
        <v>159</v>
      </c>
      <c r="H2610" s="70" t="str">
        <f t="shared" si="81"/>
        <v>RBT</v>
      </c>
    </row>
    <row r="2611" spans="1:8" ht="15" x14ac:dyDescent="0.25">
      <c r="A2611" s="88" t="s">
        <v>212</v>
      </c>
      <c r="B2611" s="88">
        <v>2016</v>
      </c>
      <c r="C2611" s="76" t="s">
        <v>422</v>
      </c>
      <c r="D2611" s="89" t="s">
        <v>160</v>
      </c>
      <c r="F2611" s="70">
        <f t="shared" si="80"/>
        <v>2016</v>
      </c>
      <c r="G2611" s="70" t="s">
        <v>159</v>
      </c>
      <c r="H2611" s="70" t="str">
        <f t="shared" si="81"/>
        <v>RBT</v>
      </c>
    </row>
    <row r="2612" spans="1:8" ht="15" x14ac:dyDescent="0.25">
      <c r="A2612" s="88" t="s">
        <v>212</v>
      </c>
      <c r="B2612" s="88">
        <v>2016</v>
      </c>
      <c r="C2612" s="76" t="s">
        <v>421</v>
      </c>
      <c r="D2612" s="89" t="s">
        <v>160</v>
      </c>
      <c r="F2612" s="70">
        <f t="shared" si="80"/>
        <v>2016</v>
      </c>
      <c r="G2612" s="70" t="s">
        <v>159</v>
      </c>
      <c r="H2612" s="70" t="str">
        <f t="shared" si="81"/>
        <v>RBT</v>
      </c>
    </row>
    <row r="2613" spans="1:8" ht="15" x14ac:dyDescent="0.25">
      <c r="A2613" s="88" t="s">
        <v>212</v>
      </c>
      <c r="B2613" s="88">
        <v>2016</v>
      </c>
      <c r="C2613" s="76" t="s">
        <v>420</v>
      </c>
      <c r="D2613" s="89" t="s">
        <v>160</v>
      </c>
      <c r="F2613" s="70">
        <f t="shared" si="80"/>
        <v>2016</v>
      </c>
      <c r="G2613" s="70" t="s">
        <v>159</v>
      </c>
      <c r="H2613" s="70" t="str">
        <f t="shared" si="81"/>
        <v>RBT</v>
      </c>
    </row>
    <row r="2614" spans="1:8" ht="15" x14ac:dyDescent="0.25">
      <c r="A2614" s="88" t="s">
        <v>212</v>
      </c>
      <c r="B2614" s="88">
        <v>2016</v>
      </c>
      <c r="C2614" s="76" t="s">
        <v>419</v>
      </c>
      <c r="D2614" s="89" t="s">
        <v>160</v>
      </c>
      <c r="F2614" s="70">
        <f t="shared" si="80"/>
        <v>2016</v>
      </c>
      <c r="G2614" s="70" t="s">
        <v>159</v>
      </c>
      <c r="H2614" s="70" t="str">
        <f t="shared" si="81"/>
        <v>RBT</v>
      </c>
    </row>
    <row r="2615" spans="1:8" ht="15" x14ac:dyDescent="0.25">
      <c r="A2615" s="88" t="s">
        <v>212</v>
      </c>
      <c r="B2615" s="88">
        <v>2016</v>
      </c>
      <c r="C2615" s="76" t="s">
        <v>418</v>
      </c>
      <c r="D2615" s="89" t="s">
        <v>160</v>
      </c>
      <c r="F2615" s="70">
        <f t="shared" si="80"/>
        <v>2016</v>
      </c>
      <c r="G2615" s="70" t="s">
        <v>159</v>
      </c>
      <c r="H2615" s="70" t="str">
        <f t="shared" si="81"/>
        <v>RBT</v>
      </c>
    </row>
    <row r="2616" spans="1:8" ht="15" x14ac:dyDescent="0.25">
      <c r="A2616" s="88" t="s">
        <v>212</v>
      </c>
      <c r="B2616" s="88">
        <v>2016</v>
      </c>
      <c r="C2616" s="76" t="s">
        <v>417</v>
      </c>
      <c r="D2616" s="89" t="s">
        <v>160</v>
      </c>
      <c r="F2616" s="70">
        <f t="shared" si="80"/>
        <v>2016</v>
      </c>
      <c r="G2616" s="70" t="s">
        <v>159</v>
      </c>
      <c r="H2616" s="70" t="str">
        <f t="shared" si="81"/>
        <v>RBT</v>
      </c>
    </row>
    <row r="2617" spans="1:8" ht="15" x14ac:dyDescent="0.25">
      <c r="A2617" s="88" t="s">
        <v>212</v>
      </c>
      <c r="B2617" s="88">
        <v>2016</v>
      </c>
      <c r="C2617" s="76" t="s">
        <v>416</v>
      </c>
      <c r="D2617" s="89" t="s">
        <v>160</v>
      </c>
      <c r="F2617" s="70">
        <f t="shared" si="80"/>
        <v>2016</v>
      </c>
      <c r="G2617" s="70" t="s">
        <v>159</v>
      </c>
      <c r="H2617" s="70" t="str">
        <f t="shared" si="81"/>
        <v>RBT</v>
      </c>
    </row>
    <row r="2618" spans="1:8" ht="15" x14ac:dyDescent="0.25">
      <c r="A2618" s="88" t="s">
        <v>212</v>
      </c>
      <c r="B2618" s="88">
        <v>2016</v>
      </c>
      <c r="C2618" s="76" t="s">
        <v>415</v>
      </c>
      <c r="D2618" s="89" t="s">
        <v>160</v>
      </c>
      <c r="F2618" s="70">
        <f t="shared" si="80"/>
        <v>2016</v>
      </c>
      <c r="G2618" s="70" t="s">
        <v>159</v>
      </c>
      <c r="H2618" s="70" t="str">
        <f t="shared" si="81"/>
        <v>RBT</v>
      </c>
    </row>
    <row r="2619" spans="1:8" ht="15" x14ac:dyDescent="0.25">
      <c r="A2619" s="88" t="s">
        <v>212</v>
      </c>
      <c r="B2619" s="88">
        <v>2016</v>
      </c>
      <c r="C2619" s="76" t="s">
        <v>414</v>
      </c>
      <c r="D2619" s="89" t="s">
        <v>160</v>
      </c>
      <c r="F2619" s="70">
        <f t="shared" si="80"/>
        <v>2016</v>
      </c>
      <c r="G2619" s="70" t="s">
        <v>159</v>
      </c>
      <c r="H2619" s="70" t="str">
        <f t="shared" si="81"/>
        <v>RBT</v>
      </c>
    </row>
    <row r="2620" spans="1:8" ht="15" x14ac:dyDescent="0.25">
      <c r="A2620" s="88" t="s">
        <v>212</v>
      </c>
      <c r="B2620" s="88">
        <v>2016</v>
      </c>
      <c r="C2620" s="76" t="s">
        <v>413</v>
      </c>
      <c r="D2620" s="89" t="s">
        <v>160</v>
      </c>
      <c r="F2620" s="70">
        <f t="shared" si="80"/>
        <v>2016</v>
      </c>
      <c r="G2620" s="70" t="s">
        <v>159</v>
      </c>
      <c r="H2620" s="70" t="str">
        <f t="shared" si="81"/>
        <v>RBT</v>
      </c>
    </row>
    <row r="2621" spans="1:8" ht="15" x14ac:dyDescent="0.25">
      <c r="A2621" s="88" t="s">
        <v>212</v>
      </c>
      <c r="B2621" s="88">
        <v>2016</v>
      </c>
      <c r="C2621" s="76" t="s">
        <v>412</v>
      </c>
      <c r="D2621" s="89" t="s">
        <v>160</v>
      </c>
      <c r="F2621" s="70">
        <f t="shared" si="80"/>
        <v>2016</v>
      </c>
      <c r="G2621" s="70" t="s">
        <v>159</v>
      </c>
      <c r="H2621" s="70" t="str">
        <f t="shared" si="81"/>
        <v>RBT</v>
      </c>
    </row>
    <row r="2622" spans="1:8" ht="15" x14ac:dyDescent="0.25">
      <c r="A2622" s="88" t="s">
        <v>212</v>
      </c>
      <c r="B2622" s="88">
        <v>2016</v>
      </c>
      <c r="C2622" s="76" t="s">
        <v>411</v>
      </c>
      <c r="D2622" s="89" t="s">
        <v>160</v>
      </c>
      <c r="F2622" s="70">
        <f t="shared" si="80"/>
        <v>2016</v>
      </c>
      <c r="G2622" s="70" t="s">
        <v>159</v>
      </c>
      <c r="H2622" s="70" t="str">
        <f t="shared" si="81"/>
        <v>RBT</v>
      </c>
    </row>
    <row r="2623" spans="1:8" ht="15" x14ac:dyDescent="0.25">
      <c r="A2623" s="78" t="s">
        <v>212</v>
      </c>
      <c r="B2623" s="78">
        <v>2016</v>
      </c>
      <c r="C2623" s="92" t="s">
        <v>410</v>
      </c>
      <c r="D2623" s="91" t="s">
        <v>160</v>
      </c>
      <c r="F2623" s="70">
        <f t="shared" si="80"/>
        <v>2016</v>
      </c>
      <c r="G2623" s="70" t="s">
        <v>159</v>
      </c>
      <c r="H2623" s="70" t="str">
        <f t="shared" si="81"/>
        <v>RBT</v>
      </c>
    </row>
    <row r="2624" spans="1:8" ht="15" x14ac:dyDescent="0.25">
      <c r="A2624" s="78" t="s">
        <v>212</v>
      </c>
      <c r="B2624" s="78">
        <v>2017</v>
      </c>
      <c r="C2624" s="92" t="s">
        <v>409</v>
      </c>
      <c r="D2624" s="91" t="s">
        <v>160</v>
      </c>
      <c r="F2624" s="70">
        <f t="shared" si="80"/>
        <v>2017</v>
      </c>
      <c r="G2624" s="70" t="s">
        <v>159</v>
      </c>
      <c r="H2624" s="70" t="str">
        <f t="shared" si="81"/>
        <v>RBT</v>
      </c>
    </row>
    <row r="2625" spans="1:8" ht="15" x14ac:dyDescent="0.25">
      <c r="A2625" s="78" t="s">
        <v>212</v>
      </c>
      <c r="B2625" s="78">
        <v>2017</v>
      </c>
      <c r="C2625" s="92" t="s">
        <v>408</v>
      </c>
      <c r="D2625" s="91" t="s">
        <v>160</v>
      </c>
      <c r="F2625" s="70">
        <f t="shared" si="80"/>
        <v>2017</v>
      </c>
      <c r="G2625" s="70" t="s">
        <v>159</v>
      </c>
      <c r="H2625" s="70" t="str">
        <f t="shared" si="81"/>
        <v>RBT</v>
      </c>
    </row>
    <row r="2626" spans="1:8" ht="15" x14ac:dyDescent="0.25">
      <c r="A2626" s="78" t="s">
        <v>212</v>
      </c>
      <c r="B2626" s="78">
        <v>2017</v>
      </c>
      <c r="C2626" s="92" t="s">
        <v>407</v>
      </c>
      <c r="D2626" s="91" t="s">
        <v>160</v>
      </c>
      <c r="F2626" s="70">
        <f t="shared" si="80"/>
        <v>2017</v>
      </c>
      <c r="G2626" s="70" t="s">
        <v>159</v>
      </c>
      <c r="H2626" s="70" t="str">
        <f t="shared" si="81"/>
        <v>RBT</v>
      </c>
    </row>
    <row r="2627" spans="1:8" ht="15" x14ac:dyDescent="0.25">
      <c r="A2627" s="78" t="s">
        <v>212</v>
      </c>
      <c r="B2627" s="78">
        <v>2017</v>
      </c>
      <c r="C2627" s="92" t="s">
        <v>406</v>
      </c>
      <c r="D2627" s="91" t="s">
        <v>160</v>
      </c>
      <c r="F2627" s="70">
        <f t="shared" si="80"/>
        <v>2017</v>
      </c>
      <c r="G2627" s="70" t="s">
        <v>159</v>
      </c>
      <c r="H2627" s="70" t="str">
        <f t="shared" si="81"/>
        <v>RBT</v>
      </c>
    </row>
    <row r="2628" spans="1:8" ht="15" x14ac:dyDescent="0.25">
      <c r="A2628" s="78" t="s">
        <v>212</v>
      </c>
      <c r="B2628" s="78">
        <v>2017</v>
      </c>
      <c r="C2628" s="92" t="s">
        <v>405</v>
      </c>
      <c r="D2628" s="91" t="s">
        <v>160</v>
      </c>
      <c r="F2628" s="70">
        <f t="shared" si="80"/>
        <v>2017</v>
      </c>
      <c r="G2628" s="70" t="s">
        <v>159</v>
      </c>
      <c r="H2628" s="70" t="str">
        <f t="shared" si="81"/>
        <v>RBT</v>
      </c>
    </row>
    <row r="2629" spans="1:8" ht="15" x14ac:dyDescent="0.25">
      <c r="A2629" s="78" t="s">
        <v>212</v>
      </c>
      <c r="B2629" s="78">
        <v>2017</v>
      </c>
      <c r="C2629" s="92" t="s">
        <v>404</v>
      </c>
      <c r="D2629" s="91" t="s">
        <v>160</v>
      </c>
      <c r="F2629" s="70">
        <f t="shared" si="80"/>
        <v>2017</v>
      </c>
      <c r="G2629" s="70" t="s">
        <v>159</v>
      </c>
      <c r="H2629" s="70" t="str">
        <f t="shared" si="81"/>
        <v>RBT</v>
      </c>
    </row>
    <row r="2630" spans="1:8" ht="15" x14ac:dyDescent="0.25">
      <c r="A2630" s="78" t="s">
        <v>212</v>
      </c>
      <c r="B2630" s="78">
        <v>2017</v>
      </c>
      <c r="C2630" s="92" t="s">
        <v>403</v>
      </c>
      <c r="D2630" s="91" t="s">
        <v>160</v>
      </c>
      <c r="F2630" s="70">
        <f t="shared" si="80"/>
        <v>2017</v>
      </c>
      <c r="G2630" s="70" t="s">
        <v>159</v>
      </c>
      <c r="H2630" s="70" t="str">
        <f t="shared" si="81"/>
        <v>RBT</v>
      </c>
    </row>
    <row r="2631" spans="1:8" ht="15" x14ac:dyDescent="0.25">
      <c r="A2631" s="78" t="s">
        <v>212</v>
      </c>
      <c r="B2631" s="78">
        <v>2017</v>
      </c>
      <c r="C2631" s="92" t="s">
        <v>402</v>
      </c>
      <c r="D2631" s="91" t="s">
        <v>160</v>
      </c>
      <c r="F2631" s="70">
        <f t="shared" si="80"/>
        <v>2017</v>
      </c>
      <c r="G2631" s="70" t="s">
        <v>159</v>
      </c>
      <c r="H2631" s="70" t="str">
        <f t="shared" si="81"/>
        <v>RBT</v>
      </c>
    </row>
    <row r="2632" spans="1:8" ht="15" x14ac:dyDescent="0.25">
      <c r="A2632" s="78" t="s">
        <v>212</v>
      </c>
      <c r="B2632" s="78">
        <v>2017</v>
      </c>
      <c r="C2632" s="92" t="s">
        <v>401</v>
      </c>
      <c r="D2632" s="91" t="s">
        <v>160</v>
      </c>
      <c r="F2632" s="70">
        <f t="shared" ref="F2632:F2695" si="82">+B2632</f>
        <v>2017</v>
      </c>
      <c r="G2632" s="70" t="s">
        <v>159</v>
      </c>
      <c r="H2632" s="70" t="str">
        <f t="shared" ref="H2632:H2695" si="83">A2632</f>
        <v>RBT</v>
      </c>
    </row>
    <row r="2633" spans="1:8" ht="15" x14ac:dyDescent="0.25">
      <c r="A2633" s="78" t="s">
        <v>212</v>
      </c>
      <c r="B2633" s="78">
        <v>2017</v>
      </c>
      <c r="C2633" s="92" t="s">
        <v>400</v>
      </c>
      <c r="D2633" s="91" t="s">
        <v>160</v>
      </c>
      <c r="F2633" s="70">
        <f t="shared" si="82"/>
        <v>2017</v>
      </c>
      <c r="G2633" s="70" t="s">
        <v>159</v>
      </c>
      <c r="H2633" s="70" t="str">
        <f t="shared" si="83"/>
        <v>RBT</v>
      </c>
    </row>
    <row r="2634" spans="1:8" ht="15" x14ac:dyDescent="0.25">
      <c r="A2634" s="78" t="s">
        <v>212</v>
      </c>
      <c r="B2634" s="78">
        <v>2017</v>
      </c>
      <c r="C2634" s="92" t="s">
        <v>399</v>
      </c>
      <c r="D2634" s="91" t="s">
        <v>160</v>
      </c>
      <c r="F2634" s="70">
        <f t="shared" si="82"/>
        <v>2017</v>
      </c>
      <c r="G2634" s="70" t="s">
        <v>159</v>
      </c>
      <c r="H2634" s="70" t="str">
        <f t="shared" si="83"/>
        <v>RBT</v>
      </c>
    </row>
    <row r="2635" spans="1:8" ht="15" x14ac:dyDescent="0.25">
      <c r="A2635" s="78" t="s">
        <v>212</v>
      </c>
      <c r="B2635" s="78">
        <v>2017</v>
      </c>
      <c r="C2635" s="92" t="s">
        <v>398</v>
      </c>
      <c r="D2635" s="91" t="s">
        <v>160</v>
      </c>
      <c r="F2635" s="70">
        <f t="shared" si="82"/>
        <v>2017</v>
      </c>
      <c r="G2635" s="70" t="s">
        <v>159</v>
      </c>
      <c r="H2635" s="70" t="str">
        <f t="shared" si="83"/>
        <v>RBT</v>
      </c>
    </row>
    <row r="2636" spans="1:8" ht="15" x14ac:dyDescent="0.25">
      <c r="A2636" s="78" t="s">
        <v>212</v>
      </c>
      <c r="B2636" s="78">
        <v>2017</v>
      </c>
      <c r="C2636" s="92" t="s">
        <v>397</v>
      </c>
      <c r="D2636" s="91" t="s">
        <v>160</v>
      </c>
      <c r="F2636" s="70">
        <f t="shared" si="82"/>
        <v>2017</v>
      </c>
      <c r="G2636" s="70" t="s">
        <v>159</v>
      </c>
      <c r="H2636" s="70" t="str">
        <f t="shared" si="83"/>
        <v>RBT</v>
      </c>
    </row>
    <row r="2637" spans="1:8" ht="15" x14ac:dyDescent="0.25">
      <c r="A2637" s="81" t="s">
        <v>212</v>
      </c>
      <c r="B2637" s="81">
        <v>2018</v>
      </c>
      <c r="C2637" s="90" t="s">
        <v>396</v>
      </c>
      <c r="D2637" s="71" t="s">
        <v>160</v>
      </c>
      <c r="F2637" s="70">
        <f t="shared" si="82"/>
        <v>2018</v>
      </c>
      <c r="G2637" s="70" t="s">
        <v>159</v>
      </c>
      <c r="H2637" s="70" t="str">
        <f t="shared" si="83"/>
        <v>RBT</v>
      </c>
    </row>
    <row r="2638" spans="1:8" ht="15" x14ac:dyDescent="0.25">
      <c r="A2638" s="81" t="s">
        <v>212</v>
      </c>
      <c r="B2638" s="81">
        <v>2018</v>
      </c>
      <c r="C2638" s="90" t="s">
        <v>395</v>
      </c>
      <c r="D2638" s="71" t="s">
        <v>160</v>
      </c>
      <c r="F2638" s="70">
        <f t="shared" si="82"/>
        <v>2018</v>
      </c>
      <c r="G2638" s="70" t="s">
        <v>159</v>
      </c>
      <c r="H2638" s="70" t="str">
        <f t="shared" si="83"/>
        <v>RBT</v>
      </c>
    </row>
    <row r="2639" spans="1:8" ht="15" x14ac:dyDescent="0.25">
      <c r="A2639" s="81" t="s">
        <v>212</v>
      </c>
      <c r="B2639" s="81">
        <v>2018</v>
      </c>
      <c r="C2639" s="90" t="s">
        <v>394</v>
      </c>
      <c r="D2639" s="71" t="s">
        <v>160</v>
      </c>
      <c r="F2639" s="70">
        <f t="shared" si="82"/>
        <v>2018</v>
      </c>
      <c r="G2639" s="70" t="s">
        <v>159</v>
      </c>
      <c r="H2639" s="70" t="str">
        <f t="shared" si="83"/>
        <v>RBT</v>
      </c>
    </row>
    <row r="2640" spans="1:8" ht="15" x14ac:dyDescent="0.25">
      <c r="A2640" s="81" t="s">
        <v>212</v>
      </c>
      <c r="B2640" s="81">
        <v>2018</v>
      </c>
      <c r="C2640" s="90" t="s">
        <v>393</v>
      </c>
      <c r="D2640" s="71" t="s">
        <v>160</v>
      </c>
      <c r="F2640" s="70">
        <f t="shared" si="82"/>
        <v>2018</v>
      </c>
      <c r="G2640" s="70" t="s">
        <v>159</v>
      </c>
      <c r="H2640" s="70" t="str">
        <f t="shared" si="83"/>
        <v>RBT</v>
      </c>
    </row>
    <row r="2641" spans="1:8" ht="15" x14ac:dyDescent="0.25">
      <c r="A2641" s="81" t="s">
        <v>212</v>
      </c>
      <c r="B2641" s="81">
        <v>2018</v>
      </c>
      <c r="C2641" s="72" t="s">
        <v>392</v>
      </c>
      <c r="D2641" s="71" t="s">
        <v>160</v>
      </c>
      <c r="F2641" s="70">
        <f t="shared" si="82"/>
        <v>2018</v>
      </c>
      <c r="G2641" s="70" t="s">
        <v>159</v>
      </c>
      <c r="H2641" s="70" t="str">
        <f t="shared" si="83"/>
        <v>RBT</v>
      </c>
    </row>
    <row r="2642" spans="1:8" ht="15" x14ac:dyDescent="0.25">
      <c r="A2642" s="81" t="s">
        <v>212</v>
      </c>
      <c r="B2642" s="81">
        <v>2018</v>
      </c>
      <c r="C2642" s="72" t="s">
        <v>391</v>
      </c>
      <c r="D2642" s="71" t="s">
        <v>160</v>
      </c>
      <c r="F2642" s="70">
        <f t="shared" si="82"/>
        <v>2018</v>
      </c>
      <c r="G2642" s="70" t="s">
        <v>159</v>
      </c>
      <c r="H2642" s="70" t="str">
        <f t="shared" si="83"/>
        <v>RBT</v>
      </c>
    </row>
    <row r="2643" spans="1:8" ht="15" x14ac:dyDescent="0.25">
      <c r="A2643" s="81" t="s">
        <v>212</v>
      </c>
      <c r="B2643" s="81">
        <v>2018</v>
      </c>
      <c r="C2643" s="72" t="s">
        <v>390</v>
      </c>
      <c r="D2643" s="71" t="s">
        <v>160</v>
      </c>
      <c r="F2643" s="70">
        <f t="shared" si="82"/>
        <v>2018</v>
      </c>
      <c r="G2643" s="70" t="s">
        <v>159</v>
      </c>
      <c r="H2643" s="70" t="str">
        <f t="shared" si="83"/>
        <v>RBT</v>
      </c>
    </row>
    <row r="2644" spans="1:8" ht="15" x14ac:dyDescent="0.25">
      <c r="A2644" s="81" t="s">
        <v>212</v>
      </c>
      <c r="B2644" s="81">
        <v>2018</v>
      </c>
      <c r="C2644" s="72" t="s">
        <v>389</v>
      </c>
      <c r="D2644" s="71" t="s">
        <v>160</v>
      </c>
      <c r="F2644" s="70">
        <f t="shared" si="82"/>
        <v>2018</v>
      </c>
      <c r="G2644" s="70" t="s">
        <v>159</v>
      </c>
      <c r="H2644" s="70" t="str">
        <f t="shared" si="83"/>
        <v>RBT</v>
      </c>
    </row>
    <row r="2645" spans="1:8" ht="15" x14ac:dyDescent="0.25">
      <c r="A2645" s="81" t="s">
        <v>212</v>
      </c>
      <c r="B2645" s="81">
        <v>2018</v>
      </c>
      <c r="C2645" s="90" t="s">
        <v>388</v>
      </c>
      <c r="D2645" s="71" t="s">
        <v>160</v>
      </c>
      <c r="F2645" s="70">
        <f t="shared" si="82"/>
        <v>2018</v>
      </c>
      <c r="G2645" s="70" t="s">
        <v>159</v>
      </c>
      <c r="H2645" s="70" t="str">
        <f t="shared" si="83"/>
        <v>RBT</v>
      </c>
    </row>
    <row r="2646" spans="1:8" ht="15" x14ac:dyDescent="0.25">
      <c r="A2646" s="81" t="s">
        <v>212</v>
      </c>
      <c r="B2646" s="81">
        <v>2018</v>
      </c>
      <c r="C2646" s="90" t="s">
        <v>387</v>
      </c>
      <c r="D2646" s="71" t="s">
        <v>160</v>
      </c>
      <c r="F2646" s="70">
        <f t="shared" si="82"/>
        <v>2018</v>
      </c>
      <c r="G2646" s="70" t="s">
        <v>159</v>
      </c>
      <c r="H2646" s="70" t="str">
        <f t="shared" si="83"/>
        <v>RBT</v>
      </c>
    </row>
    <row r="2647" spans="1:8" ht="15" x14ac:dyDescent="0.25">
      <c r="A2647" s="88" t="s">
        <v>162</v>
      </c>
      <c r="B2647" s="88">
        <v>1978</v>
      </c>
      <c r="C2647" s="89" t="s">
        <v>386</v>
      </c>
      <c r="D2647" s="88" t="s">
        <v>160</v>
      </c>
      <c r="F2647" s="70">
        <f t="shared" si="82"/>
        <v>1978</v>
      </c>
      <c r="G2647" s="70" t="s">
        <v>159</v>
      </c>
      <c r="H2647" s="70" t="str">
        <f t="shared" si="83"/>
        <v>SHU</v>
      </c>
    </row>
    <row r="2648" spans="1:8" ht="15" x14ac:dyDescent="0.25">
      <c r="A2648" s="88" t="s">
        <v>162</v>
      </c>
      <c r="B2648" s="88">
        <v>1978</v>
      </c>
      <c r="C2648" s="89" t="s">
        <v>385</v>
      </c>
      <c r="D2648" s="88" t="s">
        <v>160</v>
      </c>
      <c r="F2648" s="70">
        <f t="shared" si="82"/>
        <v>1978</v>
      </c>
      <c r="G2648" s="70" t="s">
        <v>159</v>
      </c>
      <c r="H2648" s="70" t="str">
        <f t="shared" si="83"/>
        <v>SHU</v>
      </c>
    </row>
    <row r="2649" spans="1:8" ht="15" x14ac:dyDescent="0.25">
      <c r="A2649" s="88" t="s">
        <v>162</v>
      </c>
      <c r="B2649" s="88">
        <v>1979</v>
      </c>
      <c r="C2649" s="89" t="s">
        <v>384</v>
      </c>
      <c r="D2649" s="88" t="s">
        <v>160</v>
      </c>
      <c r="F2649" s="70">
        <f t="shared" si="82"/>
        <v>1979</v>
      </c>
      <c r="G2649" s="70" t="s">
        <v>159</v>
      </c>
      <c r="H2649" s="70" t="str">
        <f t="shared" si="83"/>
        <v>SHU</v>
      </c>
    </row>
    <row r="2650" spans="1:8" ht="15" x14ac:dyDescent="0.25">
      <c r="A2650" s="88" t="s">
        <v>162</v>
      </c>
      <c r="B2650" s="88">
        <v>1979</v>
      </c>
      <c r="C2650" s="89" t="s">
        <v>383</v>
      </c>
      <c r="D2650" s="88" t="s">
        <v>160</v>
      </c>
      <c r="F2650" s="70">
        <f t="shared" si="82"/>
        <v>1979</v>
      </c>
      <c r="G2650" s="70" t="s">
        <v>159</v>
      </c>
      <c r="H2650" s="70" t="str">
        <f t="shared" si="83"/>
        <v>SHU</v>
      </c>
    </row>
    <row r="2651" spans="1:8" ht="15" x14ac:dyDescent="0.25">
      <c r="A2651" s="88" t="s">
        <v>162</v>
      </c>
      <c r="B2651" s="88">
        <v>1984</v>
      </c>
      <c r="C2651" s="89" t="s">
        <v>382</v>
      </c>
      <c r="D2651" s="88" t="s">
        <v>160</v>
      </c>
      <c r="F2651" s="70">
        <f t="shared" si="82"/>
        <v>1984</v>
      </c>
      <c r="G2651" s="70" t="s">
        <v>159</v>
      </c>
      <c r="H2651" s="70" t="str">
        <f t="shared" si="83"/>
        <v>SHU</v>
      </c>
    </row>
    <row r="2652" spans="1:8" ht="15" x14ac:dyDescent="0.25">
      <c r="A2652" s="88" t="s">
        <v>162</v>
      </c>
      <c r="B2652" s="88">
        <v>1984</v>
      </c>
      <c r="C2652" s="89" t="s">
        <v>381</v>
      </c>
      <c r="D2652" s="88" t="s">
        <v>160</v>
      </c>
      <c r="F2652" s="70">
        <f t="shared" si="82"/>
        <v>1984</v>
      </c>
      <c r="G2652" s="70" t="s">
        <v>159</v>
      </c>
      <c r="H2652" s="70" t="str">
        <f t="shared" si="83"/>
        <v>SHU</v>
      </c>
    </row>
    <row r="2653" spans="1:8" ht="15" x14ac:dyDescent="0.25">
      <c r="A2653" s="88" t="s">
        <v>162</v>
      </c>
      <c r="B2653" s="88">
        <v>1984</v>
      </c>
      <c r="C2653" s="89" t="s">
        <v>380</v>
      </c>
      <c r="D2653" s="88" t="s">
        <v>160</v>
      </c>
      <c r="F2653" s="70">
        <f t="shared" si="82"/>
        <v>1984</v>
      </c>
      <c r="G2653" s="70" t="s">
        <v>159</v>
      </c>
      <c r="H2653" s="70" t="str">
        <f t="shared" si="83"/>
        <v>SHU</v>
      </c>
    </row>
    <row r="2654" spans="1:8" ht="15" x14ac:dyDescent="0.25">
      <c r="A2654" s="88" t="s">
        <v>162</v>
      </c>
      <c r="B2654" s="88">
        <v>1985</v>
      </c>
      <c r="C2654" s="89" t="s">
        <v>379</v>
      </c>
      <c r="D2654" s="88" t="s">
        <v>160</v>
      </c>
      <c r="F2654" s="70">
        <f t="shared" si="82"/>
        <v>1985</v>
      </c>
      <c r="G2654" s="70" t="s">
        <v>159</v>
      </c>
      <c r="H2654" s="70" t="str">
        <f t="shared" si="83"/>
        <v>SHU</v>
      </c>
    </row>
    <row r="2655" spans="1:8" ht="15" x14ac:dyDescent="0.25">
      <c r="A2655" s="88" t="s">
        <v>162</v>
      </c>
      <c r="B2655" s="88">
        <v>1985</v>
      </c>
      <c r="C2655" s="89" t="s">
        <v>378</v>
      </c>
      <c r="D2655" s="88" t="s">
        <v>160</v>
      </c>
      <c r="F2655" s="70">
        <f t="shared" si="82"/>
        <v>1985</v>
      </c>
      <c r="G2655" s="70" t="s">
        <v>159</v>
      </c>
      <c r="H2655" s="70" t="str">
        <f t="shared" si="83"/>
        <v>SHU</v>
      </c>
    </row>
    <row r="2656" spans="1:8" ht="15" x14ac:dyDescent="0.25">
      <c r="A2656" s="88" t="s">
        <v>162</v>
      </c>
      <c r="B2656" s="88">
        <v>1985</v>
      </c>
      <c r="C2656" s="89" t="s">
        <v>377</v>
      </c>
      <c r="D2656" s="88" t="s">
        <v>160</v>
      </c>
      <c r="F2656" s="70">
        <f t="shared" si="82"/>
        <v>1985</v>
      </c>
      <c r="G2656" s="70" t="s">
        <v>159</v>
      </c>
      <c r="H2656" s="70" t="str">
        <f t="shared" si="83"/>
        <v>SHU</v>
      </c>
    </row>
    <row r="2657" spans="1:8" ht="15" x14ac:dyDescent="0.25">
      <c r="A2657" s="88" t="s">
        <v>162</v>
      </c>
      <c r="B2657" s="88">
        <v>1985</v>
      </c>
      <c r="C2657" s="89" t="s">
        <v>376</v>
      </c>
      <c r="D2657" s="88" t="s">
        <v>160</v>
      </c>
      <c r="F2657" s="70">
        <f t="shared" si="82"/>
        <v>1985</v>
      </c>
      <c r="G2657" s="70" t="s">
        <v>159</v>
      </c>
      <c r="H2657" s="70" t="str">
        <f t="shared" si="83"/>
        <v>SHU</v>
      </c>
    </row>
    <row r="2658" spans="1:8" ht="15" x14ac:dyDescent="0.25">
      <c r="A2658" s="88" t="s">
        <v>162</v>
      </c>
      <c r="B2658" s="88">
        <v>1986</v>
      </c>
      <c r="C2658" s="89" t="s">
        <v>375</v>
      </c>
      <c r="D2658" s="88" t="s">
        <v>160</v>
      </c>
      <c r="F2658" s="70">
        <f t="shared" si="82"/>
        <v>1986</v>
      </c>
      <c r="G2658" s="70" t="s">
        <v>159</v>
      </c>
      <c r="H2658" s="70" t="str">
        <f t="shared" si="83"/>
        <v>SHU</v>
      </c>
    </row>
    <row r="2659" spans="1:8" ht="15" x14ac:dyDescent="0.25">
      <c r="A2659" s="88" t="s">
        <v>162</v>
      </c>
      <c r="B2659" s="88">
        <v>1986</v>
      </c>
      <c r="C2659" s="89" t="s">
        <v>374</v>
      </c>
      <c r="D2659" s="88" t="s">
        <v>160</v>
      </c>
      <c r="F2659" s="70">
        <f t="shared" si="82"/>
        <v>1986</v>
      </c>
      <c r="G2659" s="70" t="s">
        <v>159</v>
      </c>
      <c r="H2659" s="70" t="str">
        <f t="shared" si="83"/>
        <v>SHU</v>
      </c>
    </row>
    <row r="2660" spans="1:8" ht="15" x14ac:dyDescent="0.25">
      <c r="A2660" s="88" t="s">
        <v>162</v>
      </c>
      <c r="B2660" s="88">
        <v>1987</v>
      </c>
      <c r="C2660" s="89" t="s">
        <v>373</v>
      </c>
      <c r="D2660" s="88" t="s">
        <v>160</v>
      </c>
      <c r="F2660" s="70">
        <f t="shared" si="82"/>
        <v>1987</v>
      </c>
      <c r="G2660" s="70" t="s">
        <v>159</v>
      </c>
      <c r="H2660" s="70" t="str">
        <f t="shared" si="83"/>
        <v>SHU</v>
      </c>
    </row>
    <row r="2661" spans="1:8" ht="15" x14ac:dyDescent="0.25">
      <c r="A2661" s="88" t="s">
        <v>162</v>
      </c>
      <c r="B2661" s="88">
        <v>1987</v>
      </c>
      <c r="C2661" s="89" t="s">
        <v>372</v>
      </c>
      <c r="D2661" s="88" t="s">
        <v>160</v>
      </c>
      <c r="F2661" s="70">
        <f t="shared" si="82"/>
        <v>1987</v>
      </c>
      <c r="G2661" s="70" t="s">
        <v>159</v>
      </c>
      <c r="H2661" s="70" t="str">
        <f t="shared" si="83"/>
        <v>SHU</v>
      </c>
    </row>
    <row r="2662" spans="1:8" ht="15" x14ac:dyDescent="0.25">
      <c r="A2662" s="88" t="s">
        <v>162</v>
      </c>
      <c r="B2662" s="88">
        <v>1988</v>
      </c>
      <c r="C2662" s="89" t="s">
        <v>371</v>
      </c>
      <c r="D2662" s="88" t="s">
        <v>160</v>
      </c>
      <c r="F2662" s="70">
        <f t="shared" si="82"/>
        <v>1988</v>
      </c>
      <c r="G2662" s="70" t="s">
        <v>159</v>
      </c>
      <c r="H2662" s="70" t="str">
        <f t="shared" si="83"/>
        <v>SHU</v>
      </c>
    </row>
    <row r="2663" spans="1:8" ht="15" x14ac:dyDescent="0.25">
      <c r="A2663" s="88" t="s">
        <v>162</v>
      </c>
      <c r="B2663" s="88">
        <v>1988</v>
      </c>
      <c r="C2663" s="89" t="s">
        <v>370</v>
      </c>
      <c r="D2663" s="88" t="s">
        <v>160</v>
      </c>
      <c r="F2663" s="70">
        <f t="shared" si="82"/>
        <v>1988</v>
      </c>
      <c r="G2663" s="70" t="s">
        <v>159</v>
      </c>
      <c r="H2663" s="70" t="str">
        <f t="shared" si="83"/>
        <v>SHU</v>
      </c>
    </row>
    <row r="2664" spans="1:8" ht="15" x14ac:dyDescent="0.25">
      <c r="A2664" s="88" t="s">
        <v>162</v>
      </c>
      <c r="B2664" s="88">
        <v>1989</v>
      </c>
      <c r="C2664" s="89" t="s">
        <v>369</v>
      </c>
      <c r="D2664" s="88" t="s">
        <v>160</v>
      </c>
      <c r="F2664" s="70">
        <f t="shared" si="82"/>
        <v>1989</v>
      </c>
      <c r="G2664" s="70" t="s">
        <v>159</v>
      </c>
      <c r="H2664" s="70" t="str">
        <f t="shared" si="83"/>
        <v>SHU</v>
      </c>
    </row>
    <row r="2665" spans="1:8" ht="15" x14ac:dyDescent="0.25">
      <c r="A2665" s="88" t="s">
        <v>162</v>
      </c>
      <c r="B2665" s="88">
        <v>1989</v>
      </c>
      <c r="C2665" s="89" t="s">
        <v>368</v>
      </c>
      <c r="D2665" s="88" t="s">
        <v>160</v>
      </c>
      <c r="F2665" s="70">
        <f t="shared" si="82"/>
        <v>1989</v>
      </c>
      <c r="G2665" s="70" t="s">
        <v>159</v>
      </c>
      <c r="H2665" s="70" t="str">
        <f t="shared" si="83"/>
        <v>SHU</v>
      </c>
    </row>
    <row r="2666" spans="1:8" ht="15" x14ac:dyDescent="0.25">
      <c r="A2666" s="88" t="s">
        <v>162</v>
      </c>
      <c r="B2666" s="88">
        <v>1990</v>
      </c>
      <c r="C2666" s="89" t="s">
        <v>367</v>
      </c>
      <c r="D2666" s="88" t="s">
        <v>160</v>
      </c>
      <c r="F2666" s="70">
        <f t="shared" si="82"/>
        <v>1990</v>
      </c>
      <c r="G2666" s="70" t="s">
        <v>159</v>
      </c>
      <c r="H2666" s="70" t="str">
        <f t="shared" si="83"/>
        <v>SHU</v>
      </c>
    </row>
    <row r="2667" spans="1:8" ht="15" x14ac:dyDescent="0.25">
      <c r="A2667" s="88" t="s">
        <v>162</v>
      </c>
      <c r="B2667" s="88">
        <v>1991</v>
      </c>
      <c r="C2667" s="89" t="s">
        <v>366</v>
      </c>
      <c r="D2667" s="88" t="s">
        <v>160</v>
      </c>
      <c r="F2667" s="70">
        <f t="shared" si="82"/>
        <v>1991</v>
      </c>
      <c r="G2667" s="70" t="s">
        <v>159</v>
      </c>
      <c r="H2667" s="70" t="str">
        <f t="shared" si="83"/>
        <v>SHU</v>
      </c>
    </row>
    <row r="2668" spans="1:8" ht="15" x14ac:dyDescent="0.25">
      <c r="A2668" s="88" t="s">
        <v>162</v>
      </c>
      <c r="B2668" s="88">
        <v>1991</v>
      </c>
      <c r="C2668" s="89" t="s">
        <v>365</v>
      </c>
      <c r="D2668" s="88" t="s">
        <v>160</v>
      </c>
      <c r="F2668" s="70">
        <f t="shared" si="82"/>
        <v>1991</v>
      </c>
      <c r="G2668" s="70" t="s">
        <v>159</v>
      </c>
      <c r="H2668" s="70" t="str">
        <f t="shared" si="83"/>
        <v>SHU</v>
      </c>
    </row>
    <row r="2669" spans="1:8" ht="15" x14ac:dyDescent="0.25">
      <c r="A2669" s="88" t="s">
        <v>162</v>
      </c>
      <c r="B2669" s="88">
        <v>1992</v>
      </c>
      <c r="C2669" s="89" t="s">
        <v>364</v>
      </c>
      <c r="D2669" s="88" t="s">
        <v>160</v>
      </c>
      <c r="F2669" s="70">
        <f t="shared" si="82"/>
        <v>1992</v>
      </c>
      <c r="G2669" s="70" t="s">
        <v>159</v>
      </c>
      <c r="H2669" s="70" t="str">
        <f t="shared" si="83"/>
        <v>SHU</v>
      </c>
    </row>
    <row r="2670" spans="1:8" ht="15" x14ac:dyDescent="0.25">
      <c r="A2670" s="88" t="s">
        <v>162</v>
      </c>
      <c r="B2670" s="88">
        <v>1993</v>
      </c>
      <c r="C2670" s="89" t="s">
        <v>363</v>
      </c>
      <c r="D2670" s="88" t="s">
        <v>160</v>
      </c>
      <c r="F2670" s="70">
        <f t="shared" si="82"/>
        <v>1993</v>
      </c>
      <c r="G2670" s="70" t="s">
        <v>159</v>
      </c>
      <c r="H2670" s="70" t="str">
        <f t="shared" si="83"/>
        <v>SHU</v>
      </c>
    </row>
    <row r="2671" spans="1:8" ht="15" x14ac:dyDescent="0.25">
      <c r="A2671" s="88" t="s">
        <v>162</v>
      </c>
      <c r="B2671" s="88">
        <v>1994</v>
      </c>
      <c r="C2671" s="89" t="s">
        <v>362</v>
      </c>
      <c r="D2671" s="88" t="s">
        <v>160</v>
      </c>
      <c r="F2671" s="70">
        <f t="shared" si="82"/>
        <v>1994</v>
      </c>
      <c r="G2671" s="70" t="s">
        <v>159</v>
      </c>
      <c r="H2671" s="70" t="str">
        <f t="shared" si="83"/>
        <v>SHU</v>
      </c>
    </row>
    <row r="2672" spans="1:8" ht="15" x14ac:dyDescent="0.25">
      <c r="A2672" s="88" t="s">
        <v>162</v>
      </c>
      <c r="B2672" s="88">
        <v>1995</v>
      </c>
      <c r="C2672" s="89" t="s">
        <v>361</v>
      </c>
      <c r="D2672" s="88" t="s">
        <v>160</v>
      </c>
      <c r="F2672" s="70">
        <f t="shared" si="82"/>
        <v>1995</v>
      </c>
      <c r="G2672" s="70" t="s">
        <v>159</v>
      </c>
      <c r="H2672" s="70" t="str">
        <f t="shared" si="83"/>
        <v>SHU</v>
      </c>
    </row>
    <row r="2673" spans="1:8" ht="15" x14ac:dyDescent="0.25">
      <c r="A2673" s="88" t="s">
        <v>162</v>
      </c>
      <c r="B2673" s="88">
        <v>1996</v>
      </c>
      <c r="C2673" s="89" t="s">
        <v>360</v>
      </c>
      <c r="D2673" s="88" t="s">
        <v>160</v>
      </c>
      <c r="F2673" s="70">
        <f t="shared" si="82"/>
        <v>1996</v>
      </c>
      <c r="G2673" s="70" t="s">
        <v>159</v>
      </c>
      <c r="H2673" s="70" t="str">
        <f t="shared" si="83"/>
        <v>SHU</v>
      </c>
    </row>
    <row r="2674" spans="1:8" ht="15" x14ac:dyDescent="0.25">
      <c r="A2674" s="88" t="s">
        <v>162</v>
      </c>
      <c r="B2674" s="88">
        <v>1997</v>
      </c>
      <c r="C2674" s="89" t="s">
        <v>359</v>
      </c>
      <c r="D2674" s="88" t="s">
        <v>160</v>
      </c>
      <c r="F2674" s="70">
        <f t="shared" si="82"/>
        <v>1997</v>
      </c>
      <c r="G2674" s="70" t="s">
        <v>159</v>
      </c>
      <c r="H2674" s="70" t="str">
        <f t="shared" si="83"/>
        <v>SHU</v>
      </c>
    </row>
    <row r="2675" spans="1:8" ht="15" x14ac:dyDescent="0.25">
      <c r="A2675" s="88" t="s">
        <v>162</v>
      </c>
      <c r="B2675" s="88">
        <v>1998</v>
      </c>
      <c r="C2675" s="89" t="s">
        <v>358</v>
      </c>
      <c r="D2675" s="88" t="s">
        <v>160</v>
      </c>
      <c r="F2675" s="70">
        <f t="shared" si="82"/>
        <v>1998</v>
      </c>
      <c r="G2675" s="70" t="s">
        <v>159</v>
      </c>
      <c r="H2675" s="70" t="str">
        <f t="shared" si="83"/>
        <v>SHU</v>
      </c>
    </row>
    <row r="2676" spans="1:8" ht="15" x14ac:dyDescent="0.25">
      <c r="A2676" s="88" t="s">
        <v>162</v>
      </c>
      <c r="B2676" s="88">
        <v>1998</v>
      </c>
      <c r="C2676" s="89" t="s">
        <v>357</v>
      </c>
      <c r="D2676" s="88" t="s">
        <v>160</v>
      </c>
      <c r="F2676" s="70">
        <f t="shared" si="82"/>
        <v>1998</v>
      </c>
      <c r="G2676" s="70" t="s">
        <v>159</v>
      </c>
      <c r="H2676" s="70" t="str">
        <f t="shared" si="83"/>
        <v>SHU</v>
      </c>
    </row>
    <row r="2677" spans="1:8" ht="15" x14ac:dyDescent="0.25">
      <c r="A2677" s="88" t="s">
        <v>162</v>
      </c>
      <c r="B2677" s="88">
        <v>1999</v>
      </c>
      <c r="C2677" s="89" t="s">
        <v>356</v>
      </c>
      <c r="D2677" s="88" t="s">
        <v>160</v>
      </c>
      <c r="F2677" s="70">
        <f t="shared" si="82"/>
        <v>1999</v>
      </c>
      <c r="G2677" s="70" t="s">
        <v>159</v>
      </c>
      <c r="H2677" s="70" t="str">
        <f t="shared" si="83"/>
        <v>SHU</v>
      </c>
    </row>
    <row r="2678" spans="1:8" ht="15" x14ac:dyDescent="0.25">
      <c r="A2678" s="88" t="s">
        <v>162</v>
      </c>
      <c r="B2678" s="88">
        <v>1999</v>
      </c>
      <c r="C2678" s="89" t="s">
        <v>355</v>
      </c>
      <c r="D2678" s="88" t="s">
        <v>160</v>
      </c>
      <c r="F2678" s="70">
        <f t="shared" si="82"/>
        <v>1999</v>
      </c>
      <c r="G2678" s="70" t="s">
        <v>159</v>
      </c>
      <c r="H2678" s="70" t="str">
        <f t="shared" si="83"/>
        <v>SHU</v>
      </c>
    </row>
    <row r="2679" spans="1:8" ht="15" x14ac:dyDescent="0.25">
      <c r="A2679" s="88" t="s">
        <v>162</v>
      </c>
      <c r="B2679" s="88">
        <v>1999</v>
      </c>
      <c r="C2679" s="89" t="s">
        <v>354</v>
      </c>
      <c r="D2679" s="88" t="s">
        <v>160</v>
      </c>
      <c r="F2679" s="70">
        <f t="shared" si="82"/>
        <v>1999</v>
      </c>
      <c r="G2679" s="70" t="s">
        <v>159</v>
      </c>
      <c r="H2679" s="70" t="str">
        <f t="shared" si="83"/>
        <v>SHU</v>
      </c>
    </row>
    <row r="2680" spans="1:8" ht="15" x14ac:dyDescent="0.25">
      <c r="A2680" s="88" t="s">
        <v>162</v>
      </c>
      <c r="B2680" s="88">
        <v>1999</v>
      </c>
      <c r="C2680" s="89" t="s">
        <v>353</v>
      </c>
      <c r="D2680" s="88" t="s">
        <v>160</v>
      </c>
      <c r="F2680" s="70">
        <f t="shared" si="82"/>
        <v>1999</v>
      </c>
      <c r="G2680" s="70" t="s">
        <v>159</v>
      </c>
      <c r="H2680" s="70" t="str">
        <f t="shared" si="83"/>
        <v>SHU</v>
      </c>
    </row>
    <row r="2681" spans="1:8" ht="15" x14ac:dyDescent="0.25">
      <c r="A2681" s="88" t="s">
        <v>162</v>
      </c>
      <c r="B2681" s="88">
        <v>2000</v>
      </c>
      <c r="C2681" s="89" t="s">
        <v>352</v>
      </c>
      <c r="D2681" s="88" t="s">
        <v>160</v>
      </c>
      <c r="F2681" s="70">
        <f t="shared" si="82"/>
        <v>2000</v>
      </c>
      <c r="G2681" s="70" t="s">
        <v>159</v>
      </c>
      <c r="H2681" s="70" t="str">
        <f t="shared" si="83"/>
        <v>SHU</v>
      </c>
    </row>
    <row r="2682" spans="1:8" ht="15" x14ac:dyDescent="0.25">
      <c r="A2682" s="88" t="s">
        <v>162</v>
      </c>
      <c r="B2682" s="88">
        <v>2000</v>
      </c>
      <c r="C2682" s="89" t="s">
        <v>351</v>
      </c>
      <c r="D2682" s="88" t="s">
        <v>160</v>
      </c>
      <c r="F2682" s="70">
        <f t="shared" si="82"/>
        <v>2000</v>
      </c>
      <c r="G2682" s="70" t="s">
        <v>159</v>
      </c>
      <c r="H2682" s="70" t="str">
        <f t="shared" si="83"/>
        <v>SHU</v>
      </c>
    </row>
    <row r="2683" spans="1:8" ht="15" x14ac:dyDescent="0.25">
      <c r="A2683" s="88" t="s">
        <v>162</v>
      </c>
      <c r="B2683" s="88">
        <v>2000</v>
      </c>
      <c r="C2683" s="89" t="s">
        <v>350</v>
      </c>
      <c r="D2683" s="88" t="s">
        <v>160</v>
      </c>
      <c r="F2683" s="70">
        <f t="shared" si="82"/>
        <v>2000</v>
      </c>
      <c r="G2683" s="70" t="s">
        <v>159</v>
      </c>
      <c r="H2683" s="70" t="str">
        <f t="shared" si="83"/>
        <v>SHU</v>
      </c>
    </row>
    <row r="2684" spans="1:8" ht="15" x14ac:dyDescent="0.25">
      <c r="A2684" s="88" t="s">
        <v>162</v>
      </c>
      <c r="B2684" s="88">
        <v>2000</v>
      </c>
      <c r="C2684" s="89" t="s">
        <v>349</v>
      </c>
      <c r="D2684" s="88" t="s">
        <v>160</v>
      </c>
      <c r="F2684" s="70">
        <f t="shared" si="82"/>
        <v>2000</v>
      </c>
      <c r="G2684" s="70" t="s">
        <v>159</v>
      </c>
      <c r="H2684" s="70" t="str">
        <f t="shared" si="83"/>
        <v>SHU</v>
      </c>
    </row>
    <row r="2685" spans="1:8" ht="15" x14ac:dyDescent="0.25">
      <c r="A2685" s="88" t="s">
        <v>162</v>
      </c>
      <c r="B2685" s="88">
        <v>2001</v>
      </c>
      <c r="C2685" s="89" t="s">
        <v>348</v>
      </c>
      <c r="D2685" s="88" t="s">
        <v>160</v>
      </c>
      <c r="F2685" s="70">
        <f t="shared" si="82"/>
        <v>2001</v>
      </c>
      <c r="G2685" s="70" t="s">
        <v>159</v>
      </c>
      <c r="H2685" s="70" t="str">
        <f t="shared" si="83"/>
        <v>SHU</v>
      </c>
    </row>
    <row r="2686" spans="1:8" ht="15" x14ac:dyDescent="0.25">
      <c r="A2686" s="88" t="s">
        <v>162</v>
      </c>
      <c r="B2686" s="88">
        <v>2001</v>
      </c>
      <c r="C2686" s="89" t="s">
        <v>347</v>
      </c>
      <c r="D2686" s="88" t="s">
        <v>160</v>
      </c>
      <c r="F2686" s="70">
        <f t="shared" si="82"/>
        <v>2001</v>
      </c>
      <c r="G2686" s="70" t="s">
        <v>159</v>
      </c>
      <c r="H2686" s="70" t="str">
        <f t="shared" si="83"/>
        <v>SHU</v>
      </c>
    </row>
    <row r="2687" spans="1:8" ht="15" x14ac:dyDescent="0.25">
      <c r="A2687" s="88" t="s">
        <v>162</v>
      </c>
      <c r="B2687" s="88">
        <v>2001</v>
      </c>
      <c r="C2687" s="89" t="s">
        <v>346</v>
      </c>
      <c r="D2687" s="88" t="s">
        <v>160</v>
      </c>
      <c r="F2687" s="70">
        <f t="shared" si="82"/>
        <v>2001</v>
      </c>
      <c r="G2687" s="70" t="s">
        <v>159</v>
      </c>
      <c r="H2687" s="70" t="str">
        <f t="shared" si="83"/>
        <v>SHU</v>
      </c>
    </row>
    <row r="2688" spans="1:8" ht="15" x14ac:dyDescent="0.25">
      <c r="A2688" s="88" t="s">
        <v>162</v>
      </c>
      <c r="B2688" s="88">
        <v>2001</v>
      </c>
      <c r="C2688" s="89" t="s">
        <v>345</v>
      </c>
      <c r="D2688" s="88" t="s">
        <v>160</v>
      </c>
      <c r="F2688" s="70">
        <f t="shared" si="82"/>
        <v>2001</v>
      </c>
      <c r="G2688" s="70" t="s">
        <v>159</v>
      </c>
      <c r="H2688" s="70" t="str">
        <f t="shared" si="83"/>
        <v>SHU</v>
      </c>
    </row>
    <row r="2689" spans="1:8" ht="15" x14ac:dyDescent="0.25">
      <c r="A2689" s="88" t="s">
        <v>162</v>
      </c>
      <c r="B2689" s="88">
        <v>2002</v>
      </c>
      <c r="C2689" s="89" t="s">
        <v>344</v>
      </c>
      <c r="D2689" s="88" t="s">
        <v>160</v>
      </c>
      <c r="F2689" s="70">
        <f t="shared" si="82"/>
        <v>2002</v>
      </c>
      <c r="G2689" s="70" t="s">
        <v>159</v>
      </c>
      <c r="H2689" s="70" t="str">
        <f t="shared" si="83"/>
        <v>SHU</v>
      </c>
    </row>
    <row r="2690" spans="1:8" ht="15" x14ac:dyDescent="0.25">
      <c r="A2690" s="88" t="s">
        <v>162</v>
      </c>
      <c r="B2690" s="88">
        <v>2002</v>
      </c>
      <c r="C2690" s="89" t="s">
        <v>343</v>
      </c>
      <c r="D2690" s="88" t="s">
        <v>160</v>
      </c>
      <c r="F2690" s="70">
        <f t="shared" si="82"/>
        <v>2002</v>
      </c>
      <c r="G2690" s="70" t="s">
        <v>159</v>
      </c>
      <c r="H2690" s="70" t="str">
        <f t="shared" si="83"/>
        <v>SHU</v>
      </c>
    </row>
    <row r="2691" spans="1:8" ht="15" x14ac:dyDescent="0.25">
      <c r="A2691" s="88" t="s">
        <v>162</v>
      </c>
      <c r="B2691" s="88">
        <v>2002</v>
      </c>
      <c r="C2691" s="89" t="s">
        <v>342</v>
      </c>
      <c r="D2691" s="88" t="s">
        <v>160</v>
      </c>
      <c r="F2691" s="70">
        <f t="shared" si="82"/>
        <v>2002</v>
      </c>
      <c r="G2691" s="70" t="s">
        <v>159</v>
      </c>
      <c r="H2691" s="70" t="str">
        <f t="shared" si="83"/>
        <v>SHU</v>
      </c>
    </row>
    <row r="2692" spans="1:8" ht="15" x14ac:dyDescent="0.25">
      <c r="A2692" s="88" t="s">
        <v>162</v>
      </c>
      <c r="B2692" s="88">
        <v>2002</v>
      </c>
      <c r="C2692" s="89" t="s">
        <v>341</v>
      </c>
      <c r="D2692" s="88" t="s">
        <v>160</v>
      </c>
      <c r="F2692" s="70">
        <f t="shared" si="82"/>
        <v>2002</v>
      </c>
      <c r="G2692" s="70" t="s">
        <v>159</v>
      </c>
      <c r="H2692" s="70" t="str">
        <f t="shared" si="83"/>
        <v>SHU</v>
      </c>
    </row>
    <row r="2693" spans="1:8" ht="15" x14ac:dyDescent="0.25">
      <c r="A2693" s="88" t="s">
        <v>162</v>
      </c>
      <c r="B2693" s="88">
        <v>2003</v>
      </c>
      <c r="C2693" s="89" t="s">
        <v>340</v>
      </c>
      <c r="D2693" s="88" t="s">
        <v>160</v>
      </c>
      <c r="F2693" s="70">
        <f t="shared" si="82"/>
        <v>2003</v>
      </c>
      <c r="G2693" s="70" t="s">
        <v>159</v>
      </c>
      <c r="H2693" s="70" t="str">
        <f t="shared" si="83"/>
        <v>SHU</v>
      </c>
    </row>
    <row r="2694" spans="1:8" ht="15" x14ac:dyDescent="0.25">
      <c r="A2694" s="88" t="s">
        <v>162</v>
      </c>
      <c r="B2694" s="88">
        <v>2003</v>
      </c>
      <c r="C2694" s="89" t="s">
        <v>339</v>
      </c>
      <c r="D2694" s="88" t="s">
        <v>160</v>
      </c>
      <c r="F2694" s="70">
        <f t="shared" si="82"/>
        <v>2003</v>
      </c>
      <c r="G2694" s="70" t="s">
        <v>159</v>
      </c>
      <c r="H2694" s="70" t="str">
        <f t="shared" si="83"/>
        <v>SHU</v>
      </c>
    </row>
    <row r="2695" spans="1:8" ht="15" x14ac:dyDescent="0.25">
      <c r="A2695" s="88" t="s">
        <v>162</v>
      </c>
      <c r="B2695" s="88">
        <v>2003</v>
      </c>
      <c r="C2695" s="89" t="s">
        <v>338</v>
      </c>
      <c r="D2695" s="88" t="s">
        <v>160</v>
      </c>
      <c r="F2695" s="70">
        <f t="shared" si="82"/>
        <v>2003</v>
      </c>
      <c r="G2695" s="70" t="s">
        <v>159</v>
      </c>
      <c r="H2695" s="70" t="str">
        <f t="shared" si="83"/>
        <v>SHU</v>
      </c>
    </row>
    <row r="2696" spans="1:8" ht="15" x14ac:dyDescent="0.25">
      <c r="A2696" s="88" t="s">
        <v>162</v>
      </c>
      <c r="B2696" s="88">
        <v>2004</v>
      </c>
      <c r="C2696" s="89" t="s">
        <v>337</v>
      </c>
      <c r="D2696" s="88" t="s">
        <v>160</v>
      </c>
      <c r="F2696" s="70">
        <f t="shared" ref="F2696:F2759" si="84">+B2696</f>
        <v>2004</v>
      </c>
      <c r="G2696" s="70" t="s">
        <v>159</v>
      </c>
      <c r="H2696" s="70" t="str">
        <f t="shared" ref="H2696:H2759" si="85">A2696</f>
        <v>SHU</v>
      </c>
    </row>
    <row r="2697" spans="1:8" ht="15" x14ac:dyDescent="0.25">
      <c r="A2697" s="88" t="s">
        <v>162</v>
      </c>
      <c r="B2697" s="88">
        <v>2004</v>
      </c>
      <c r="C2697" s="89" t="s">
        <v>336</v>
      </c>
      <c r="D2697" s="88" t="s">
        <v>160</v>
      </c>
      <c r="F2697" s="70">
        <f t="shared" si="84"/>
        <v>2004</v>
      </c>
      <c r="G2697" s="70" t="s">
        <v>159</v>
      </c>
      <c r="H2697" s="70" t="str">
        <f t="shared" si="85"/>
        <v>SHU</v>
      </c>
    </row>
    <row r="2698" spans="1:8" ht="15" x14ac:dyDescent="0.25">
      <c r="A2698" s="88" t="s">
        <v>162</v>
      </c>
      <c r="B2698" s="88">
        <v>2004</v>
      </c>
      <c r="C2698" s="89" t="s">
        <v>335</v>
      </c>
      <c r="D2698" s="88" t="s">
        <v>160</v>
      </c>
      <c r="F2698" s="70">
        <f t="shared" si="84"/>
        <v>2004</v>
      </c>
      <c r="G2698" s="70" t="s">
        <v>159</v>
      </c>
      <c r="H2698" s="70" t="str">
        <f t="shared" si="85"/>
        <v>SHU</v>
      </c>
    </row>
    <row r="2699" spans="1:8" ht="15" x14ac:dyDescent="0.25">
      <c r="A2699" s="88" t="s">
        <v>162</v>
      </c>
      <c r="B2699" s="88">
        <v>2004</v>
      </c>
      <c r="C2699" s="89" t="s">
        <v>334</v>
      </c>
      <c r="D2699" s="88" t="s">
        <v>160</v>
      </c>
      <c r="F2699" s="70">
        <f t="shared" si="84"/>
        <v>2004</v>
      </c>
      <c r="G2699" s="70" t="s">
        <v>159</v>
      </c>
      <c r="H2699" s="70" t="str">
        <f t="shared" si="85"/>
        <v>SHU</v>
      </c>
    </row>
    <row r="2700" spans="1:8" ht="15" x14ac:dyDescent="0.25">
      <c r="A2700" s="88" t="s">
        <v>162</v>
      </c>
      <c r="B2700" s="88">
        <v>2005</v>
      </c>
      <c r="C2700" s="89" t="s">
        <v>333</v>
      </c>
      <c r="D2700" s="88" t="s">
        <v>160</v>
      </c>
      <c r="F2700" s="70">
        <f t="shared" si="84"/>
        <v>2005</v>
      </c>
      <c r="G2700" s="70" t="s">
        <v>159</v>
      </c>
      <c r="H2700" s="70" t="str">
        <f t="shared" si="85"/>
        <v>SHU</v>
      </c>
    </row>
    <row r="2701" spans="1:8" ht="15" x14ac:dyDescent="0.25">
      <c r="A2701" s="88" t="s">
        <v>162</v>
      </c>
      <c r="B2701" s="88">
        <v>2005</v>
      </c>
      <c r="C2701" s="89" t="s">
        <v>332</v>
      </c>
      <c r="D2701" s="88" t="s">
        <v>160</v>
      </c>
      <c r="F2701" s="70">
        <f t="shared" si="84"/>
        <v>2005</v>
      </c>
      <c r="G2701" s="70" t="s">
        <v>159</v>
      </c>
      <c r="H2701" s="70" t="str">
        <f t="shared" si="85"/>
        <v>SHU</v>
      </c>
    </row>
    <row r="2702" spans="1:8" ht="15" x14ac:dyDescent="0.25">
      <c r="A2702" s="88" t="s">
        <v>162</v>
      </c>
      <c r="B2702" s="88">
        <v>2005</v>
      </c>
      <c r="C2702" s="89" t="s">
        <v>331</v>
      </c>
      <c r="D2702" s="88" t="s">
        <v>160</v>
      </c>
      <c r="F2702" s="70">
        <f t="shared" si="84"/>
        <v>2005</v>
      </c>
      <c r="G2702" s="70" t="s">
        <v>159</v>
      </c>
      <c r="H2702" s="70" t="str">
        <f t="shared" si="85"/>
        <v>SHU</v>
      </c>
    </row>
    <row r="2703" spans="1:8" ht="15" x14ac:dyDescent="0.25">
      <c r="A2703" s="88" t="s">
        <v>162</v>
      </c>
      <c r="B2703" s="88">
        <v>2005</v>
      </c>
      <c r="C2703" s="89" t="s">
        <v>330</v>
      </c>
      <c r="D2703" s="88" t="s">
        <v>160</v>
      </c>
      <c r="F2703" s="70">
        <f t="shared" si="84"/>
        <v>2005</v>
      </c>
      <c r="G2703" s="70" t="s">
        <v>159</v>
      </c>
      <c r="H2703" s="70" t="str">
        <f t="shared" si="85"/>
        <v>SHU</v>
      </c>
    </row>
    <row r="2704" spans="1:8" ht="15" x14ac:dyDescent="0.25">
      <c r="A2704" s="88" t="s">
        <v>162</v>
      </c>
      <c r="B2704" s="88">
        <v>2005</v>
      </c>
      <c r="C2704" s="89" t="s">
        <v>329</v>
      </c>
      <c r="D2704" s="88" t="s">
        <v>160</v>
      </c>
      <c r="F2704" s="70">
        <f t="shared" si="84"/>
        <v>2005</v>
      </c>
      <c r="G2704" s="70" t="s">
        <v>159</v>
      </c>
      <c r="H2704" s="70" t="str">
        <f t="shared" si="85"/>
        <v>SHU</v>
      </c>
    </row>
    <row r="2705" spans="1:8" ht="15" x14ac:dyDescent="0.25">
      <c r="A2705" s="88" t="s">
        <v>162</v>
      </c>
      <c r="B2705" s="88">
        <v>2006</v>
      </c>
      <c r="C2705" s="89" t="s">
        <v>328</v>
      </c>
      <c r="D2705" s="88" t="s">
        <v>160</v>
      </c>
      <c r="F2705" s="70">
        <f t="shared" si="84"/>
        <v>2006</v>
      </c>
      <c r="G2705" s="70" t="s">
        <v>159</v>
      </c>
      <c r="H2705" s="70" t="str">
        <f t="shared" si="85"/>
        <v>SHU</v>
      </c>
    </row>
    <row r="2706" spans="1:8" ht="15" x14ac:dyDescent="0.25">
      <c r="A2706" s="88" t="s">
        <v>162</v>
      </c>
      <c r="B2706" s="88">
        <v>2006</v>
      </c>
      <c r="C2706" s="89" t="s">
        <v>327</v>
      </c>
      <c r="D2706" s="88" t="s">
        <v>160</v>
      </c>
      <c r="F2706" s="70">
        <f t="shared" si="84"/>
        <v>2006</v>
      </c>
      <c r="G2706" s="70" t="s">
        <v>159</v>
      </c>
      <c r="H2706" s="70" t="str">
        <f t="shared" si="85"/>
        <v>SHU</v>
      </c>
    </row>
    <row r="2707" spans="1:8" ht="15" x14ac:dyDescent="0.25">
      <c r="A2707" s="88" t="s">
        <v>162</v>
      </c>
      <c r="B2707" s="88">
        <v>2006</v>
      </c>
      <c r="C2707" s="89" t="s">
        <v>326</v>
      </c>
      <c r="D2707" s="88" t="s">
        <v>160</v>
      </c>
      <c r="F2707" s="70">
        <f t="shared" si="84"/>
        <v>2006</v>
      </c>
      <c r="G2707" s="70" t="s">
        <v>159</v>
      </c>
      <c r="H2707" s="70" t="str">
        <f t="shared" si="85"/>
        <v>SHU</v>
      </c>
    </row>
    <row r="2708" spans="1:8" ht="15" x14ac:dyDescent="0.25">
      <c r="A2708" s="88" t="s">
        <v>162</v>
      </c>
      <c r="B2708" s="88">
        <v>2006</v>
      </c>
      <c r="C2708" s="89" t="s">
        <v>325</v>
      </c>
      <c r="D2708" s="88" t="s">
        <v>160</v>
      </c>
      <c r="F2708" s="70">
        <f t="shared" si="84"/>
        <v>2006</v>
      </c>
      <c r="G2708" s="70" t="s">
        <v>159</v>
      </c>
      <c r="H2708" s="70" t="str">
        <f t="shared" si="85"/>
        <v>SHU</v>
      </c>
    </row>
    <row r="2709" spans="1:8" ht="15" x14ac:dyDescent="0.25">
      <c r="A2709" s="88" t="s">
        <v>162</v>
      </c>
      <c r="B2709" s="88">
        <v>2006</v>
      </c>
      <c r="C2709" s="89" t="s">
        <v>324</v>
      </c>
      <c r="D2709" s="88" t="s">
        <v>160</v>
      </c>
      <c r="F2709" s="70">
        <f t="shared" si="84"/>
        <v>2006</v>
      </c>
      <c r="G2709" s="70" t="s">
        <v>159</v>
      </c>
      <c r="H2709" s="70" t="str">
        <f t="shared" si="85"/>
        <v>SHU</v>
      </c>
    </row>
    <row r="2710" spans="1:8" ht="15" x14ac:dyDescent="0.25">
      <c r="A2710" s="88" t="s">
        <v>162</v>
      </c>
      <c r="B2710" s="88">
        <v>2006</v>
      </c>
      <c r="C2710" s="89" t="s">
        <v>323</v>
      </c>
      <c r="D2710" s="88" t="s">
        <v>160</v>
      </c>
      <c r="F2710" s="70">
        <f t="shared" si="84"/>
        <v>2006</v>
      </c>
      <c r="G2710" s="70" t="s">
        <v>159</v>
      </c>
      <c r="H2710" s="70" t="str">
        <f t="shared" si="85"/>
        <v>SHU</v>
      </c>
    </row>
    <row r="2711" spans="1:8" ht="15" x14ac:dyDescent="0.25">
      <c r="A2711" s="88" t="s">
        <v>162</v>
      </c>
      <c r="B2711" s="88">
        <v>2007</v>
      </c>
      <c r="C2711" s="89" t="s">
        <v>322</v>
      </c>
      <c r="D2711" s="88" t="s">
        <v>160</v>
      </c>
      <c r="F2711" s="70">
        <f t="shared" si="84"/>
        <v>2007</v>
      </c>
      <c r="G2711" s="70" t="s">
        <v>159</v>
      </c>
      <c r="H2711" s="70" t="str">
        <f t="shared" si="85"/>
        <v>SHU</v>
      </c>
    </row>
    <row r="2712" spans="1:8" ht="15" x14ac:dyDescent="0.25">
      <c r="A2712" s="88" t="s">
        <v>162</v>
      </c>
      <c r="B2712" s="88">
        <v>2007</v>
      </c>
      <c r="C2712" s="89" t="s">
        <v>321</v>
      </c>
      <c r="D2712" s="88" t="s">
        <v>160</v>
      </c>
      <c r="F2712" s="70">
        <f t="shared" si="84"/>
        <v>2007</v>
      </c>
      <c r="G2712" s="70" t="s">
        <v>159</v>
      </c>
      <c r="H2712" s="70" t="str">
        <f t="shared" si="85"/>
        <v>SHU</v>
      </c>
    </row>
    <row r="2713" spans="1:8" ht="15" x14ac:dyDescent="0.25">
      <c r="A2713" s="88" t="s">
        <v>162</v>
      </c>
      <c r="B2713" s="88">
        <v>2007</v>
      </c>
      <c r="C2713" s="89" t="s">
        <v>320</v>
      </c>
      <c r="D2713" s="88" t="s">
        <v>160</v>
      </c>
      <c r="F2713" s="70">
        <f t="shared" si="84"/>
        <v>2007</v>
      </c>
      <c r="G2713" s="70" t="s">
        <v>159</v>
      </c>
      <c r="H2713" s="70" t="str">
        <f t="shared" si="85"/>
        <v>SHU</v>
      </c>
    </row>
    <row r="2714" spans="1:8" ht="15" x14ac:dyDescent="0.25">
      <c r="A2714" s="88" t="s">
        <v>162</v>
      </c>
      <c r="B2714" s="88">
        <v>2007</v>
      </c>
      <c r="C2714" s="89" t="s">
        <v>319</v>
      </c>
      <c r="D2714" s="88" t="s">
        <v>160</v>
      </c>
      <c r="F2714" s="70">
        <f t="shared" si="84"/>
        <v>2007</v>
      </c>
      <c r="G2714" s="70" t="s">
        <v>159</v>
      </c>
      <c r="H2714" s="70" t="str">
        <f t="shared" si="85"/>
        <v>SHU</v>
      </c>
    </row>
    <row r="2715" spans="1:8" ht="15" x14ac:dyDescent="0.25">
      <c r="A2715" s="88" t="s">
        <v>162</v>
      </c>
      <c r="B2715" s="88">
        <v>2007</v>
      </c>
      <c r="C2715" s="89" t="s">
        <v>318</v>
      </c>
      <c r="D2715" s="88" t="s">
        <v>160</v>
      </c>
      <c r="F2715" s="70">
        <f t="shared" si="84"/>
        <v>2007</v>
      </c>
      <c r="G2715" s="70" t="s">
        <v>159</v>
      </c>
      <c r="H2715" s="70" t="str">
        <f t="shared" si="85"/>
        <v>SHU</v>
      </c>
    </row>
    <row r="2716" spans="1:8" ht="15" x14ac:dyDescent="0.25">
      <c r="A2716" s="88" t="s">
        <v>162</v>
      </c>
      <c r="B2716" s="88">
        <v>2007</v>
      </c>
      <c r="C2716" s="89" t="s">
        <v>317</v>
      </c>
      <c r="D2716" s="88" t="s">
        <v>160</v>
      </c>
      <c r="F2716" s="70">
        <f t="shared" si="84"/>
        <v>2007</v>
      </c>
      <c r="G2716" s="70" t="s">
        <v>159</v>
      </c>
      <c r="H2716" s="70" t="str">
        <f t="shared" si="85"/>
        <v>SHU</v>
      </c>
    </row>
    <row r="2717" spans="1:8" ht="15" x14ac:dyDescent="0.25">
      <c r="A2717" s="88" t="s">
        <v>162</v>
      </c>
      <c r="B2717" s="88">
        <v>2007</v>
      </c>
      <c r="C2717" s="89" t="s">
        <v>316</v>
      </c>
      <c r="D2717" s="88" t="s">
        <v>160</v>
      </c>
      <c r="F2717" s="70">
        <f t="shared" si="84"/>
        <v>2007</v>
      </c>
      <c r="G2717" s="70" t="s">
        <v>159</v>
      </c>
      <c r="H2717" s="70" t="str">
        <f t="shared" si="85"/>
        <v>SHU</v>
      </c>
    </row>
    <row r="2718" spans="1:8" ht="15" x14ac:dyDescent="0.25">
      <c r="A2718" s="88" t="s">
        <v>162</v>
      </c>
      <c r="B2718" s="88">
        <v>2007</v>
      </c>
      <c r="C2718" s="89" t="s">
        <v>315</v>
      </c>
      <c r="D2718" s="88" t="s">
        <v>160</v>
      </c>
      <c r="F2718" s="70">
        <f t="shared" si="84"/>
        <v>2007</v>
      </c>
      <c r="G2718" s="70" t="s">
        <v>159</v>
      </c>
      <c r="H2718" s="70" t="str">
        <f t="shared" si="85"/>
        <v>SHU</v>
      </c>
    </row>
    <row r="2719" spans="1:8" ht="15" x14ac:dyDescent="0.25">
      <c r="A2719" s="88" t="s">
        <v>162</v>
      </c>
      <c r="B2719" s="88">
        <v>2007</v>
      </c>
      <c r="C2719" s="89" t="s">
        <v>314</v>
      </c>
      <c r="D2719" s="88" t="s">
        <v>160</v>
      </c>
      <c r="F2719" s="70">
        <f t="shared" si="84"/>
        <v>2007</v>
      </c>
      <c r="G2719" s="70" t="s">
        <v>159</v>
      </c>
      <c r="H2719" s="70" t="str">
        <f t="shared" si="85"/>
        <v>SHU</v>
      </c>
    </row>
    <row r="2720" spans="1:8" ht="15" x14ac:dyDescent="0.25">
      <c r="A2720" s="88" t="s">
        <v>162</v>
      </c>
      <c r="B2720" s="88">
        <v>2007</v>
      </c>
      <c r="C2720" s="89" t="s">
        <v>313</v>
      </c>
      <c r="D2720" s="88" t="s">
        <v>160</v>
      </c>
      <c r="F2720" s="70">
        <f t="shared" si="84"/>
        <v>2007</v>
      </c>
      <c r="G2720" s="70" t="s">
        <v>159</v>
      </c>
      <c r="H2720" s="70" t="str">
        <f t="shared" si="85"/>
        <v>SHU</v>
      </c>
    </row>
    <row r="2721" spans="1:8" ht="15" x14ac:dyDescent="0.25">
      <c r="A2721" s="88" t="s">
        <v>162</v>
      </c>
      <c r="B2721" s="88">
        <v>2007</v>
      </c>
      <c r="C2721" s="89" t="s">
        <v>312</v>
      </c>
      <c r="D2721" s="88" t="s">
        <v>160</v>
      </c>
      <c r="F2721" s="70">
        <f t="shared" si="84"/>
        <v>2007</v>
      </c>
      <c r="G2721" s="70" t="s">
        <v>159</v>
      </c>
      <c r="H2721" s="70" t="str">
        <f t="shared" si="85"/>
        <v>SHU</v>
      </c>
    </row>
    <row r="2722" spans="1:8" ht="15" x14ac:dyDescent="0.25">
      <c r="A2722" s="88" t="s">
        <v>162</v>
      </c>
      <c r="B2722" s="88">
        <v>2008</v>
      </c>
      <c r="C2722" s="89" t="s">
        <v>311</v>
      </c>
      <c r="D2722" s="88" t="s">
        <v>160</v>
      </c>
      <c r="F2722" s="70">
        <f t="shared" si="84"/>
        <v>2008</v>
      </c>
      <c r="G2722" s="70" t="s">
        <v>159</v>
      </c>
      <c r="H2722" s="70" t="str">
        <f t="shared" si="85"/>
        <v>SHU</v>
      </c>
    </row>
    <row r="2723" spans="1:8" ht="15" x14ac:dyDescent="0.25">
      <c r="A2723" s="88" t="s">
        <v>162</v>
      </c>
      <c r="B2723" s="88">
        <v>2008</v>
      </c>
      <c r="C2723" s="89" t="s">
        <v>310</v>
      </c>
      <c r="D2723" s="88" t="s">
        <v>160</v>
      </c>
      <c r="F2723" s="70">
        <f t="shared" si="84"/>
        <v>2008</v>
      </c>
      <c r="G2723" s="70" t="s">
        <v>159</v>
      </c>
      <c r="H2723" s="70" t="str">
        <f t="shared" si="85"/>
        <v>SHU</v>
      </c>
    </row>
    <row r="2724" spans="1:8" ht="15" x14ac:dyDescent="0.25">
      <c r="A2724" s="88" t="s">
        <v>162</v>
      </c>
      <c r="B2724" s="88">
        <v>2008</v>
      </c>
      <c r="C2724" s="89" t="s">
        <v>309</v>
      </c>
      <c r="D2724" s="88" t="s">
        <v>160</v>
      </c>
      <c r="F2724" s="70">
        <f t="shared" si="84"/>
        <v>2008</v>
      </c>
      <c r="G2724" s="70" t="s">
        <v>159</v>
      </c>
      <c r="H2724" s="70" t="str">
        <f t="shared" si="85"/>
        <v>SHU</v>
      </c>
    </row>
    <row r="2725" spans="1:8" ht="15" x14ac:dyDescent="0.25">
      <c r="A2725" s="88" t="s">
        <v>162</v>
      </c>
      <c r="B2725" s="88">
        <v>2008</v>
      </c>
      <c r="C2725" s="89" t="s">
        <v>308</v>
      </c>
      <c r="D2725" s="88" t="s">
        <v>160</v>
      </c>
      <c r="F2725" s="70">
        <f t="shared" si="84"/>
        <v>2008</v>
      </c>
      <c r="G2725" s="70" t="s">
        <v>159</v>
      </c>
      <c r="H2725" s="70" t="str">
        <f t="shared" si="85"/>
        <v>SHU</v>
      </c>
    </row>
    <row r="2726" spans="1:8" ht="15" x14ac:dyDescent="0.25">
      <c r="A2726" s="88" t="s">
        <v>162</v>
      </c>
      <c r="B2726" s="88">
        <v>2008</v>
      </c>
      <c r="C2726" s="89" t="s">
        <v>307</v>
      </c>
      <c r="D2726" s="88" t="s">
        <v>160</v>
      </c>
      <c r="F2726" s="70">
        <f t="shared" si="84"/>
        <v>2008</v>
      </c>
      <c r="G2726" s="70" t="s">
        <v>159</v>
      </c>
      <c r="H2726" s="70" t="str">
        <f t="shared" si="85"/>
        <v>SHU</v>
      </c>
    </row>
    <row r="2727" spans="1:8" ht="15" x14ac:dyDescent="0.25">
      <c r="A2727" s="88" t="s">
        <v>162</v>
      </c>
      <c r="B2727" s="88">
        <v>2008</v>
      </c>
      <c r="C2727" s="89" t="s">
        <v>306</v>
      </c>
      <c r="D2727" s="88" t="s">
        <v>160</v>
      </c>
      <c r="F2727" s="70">
        <f t="shared" si="84"/>
        <v>2008</v>
      </c>
      <c r="G2727" s="70" t="s">
        <v>159</v>
      </c>
      <c r="H2727" s="70" t="str">
        <f t="shared" si="85"/>
        <v>SHU</v>
      </c>
    </row>
    <row r="2728" spans="1:8" ht="15" x14ac:dyDescent="0.25">
      <c r="A2728" s="88" t="s">
        <v>162</v>
      </c>
      <c r="B2728" s="88">
        <v>2008</v>
      </c>
      <c r="C2728" s="89" t="s">
        <v>305</v>
      </c>
      <c r="D2728" s="88" t="s">
        <v>160</v>
      </c>
      <c r="F2728" s="70">
        <f t="shared" si="84"/>
        <v>2008</v>
      </c>
      <c r="G2728" s="70" t="s">
        <v>159</v>
      </c>
      <c r="H2728" s="70" t="str">
        <f t="shared" si="85"/>
        <v>SHU</v>
      </c>
    </row>
    <row r="2729" spans="1:8" ht="15" x14ac:dyDescent="0.25">
      <c r="A2729" s="88" t="s">
        <v>162</v>
      </c>
      <c r="B2729" s="88">
        <v>2008</v>
      </c>
      <c r="C2729" s="89" t="s">
        <v>304</v>
      </c>
      <c r="D2729" s="88" t="s">
        <v>160</v>
      </c>
      <c r="F2729" s="70">
        <f t="shared" si="84"/>
        <v>2008</v>
      </c>
      <c r="G2729" s="70" t="s">
        <v>159</v>
      </c>
      <c r="H2729" s="70" t="str">
        <f t="shared" si="85"/>
        <v>SHU</v>
      </c>
    </row>
    <row r="2730" spans="1:8" ht="15" x14ac:dyDescent="0.25">
      <c r="A2730" s="88" t="s">
        <v>162</v>
      </c>
      <c r="B2730" s="88">
        <v>2009</v>
      </c>
      <c r="C2730" s="89" t="s">
        <v>303</v>
      </c>
      <c r="D2730" s="88" t="s">
        <v>160</v>
      </c>
      <c r="F2730" s="70">
        <f t="shared" si="84"/>
        <v>2009</v>
      </c>
      <c r="G2730" s="70" t="s">
        <v>159</v>
      </c>
      <c r="H2730" s="70" t="str">
        <f t="shared" si="85"/>
        <v>SHU</v>
      </c>
    </row>
    <row r="2731" spans="1:8" ht="15" x14ac:dyDescent="0.25">
      <c r="A2731" s="88" t="s">
        <v>162</v>
      </c>
      <c r="B2731" s="88">
        <v>2009</v>
      </c>
      <c r="C2731" s="89" t="s">
        <v>302</v>
      </c>
      <c r="D2731" s="88" t="s">
        <v>160</v>
      </c>
      <c r="F2731" s="70">
        <f t="shared" si="84"/>
        <v>2009</v>
      </c>
      <c r="G2731" s="70" t="s">
        <v>159</v>
      </c>
      <c r="H2731" s="70" t="str">
        <f t="shared" si="85"/>
        <v>SHU</v>
      </c>
    </row>
    <row r="2732" spans="1:8" ht="15" x14ac:dyDescent="0.25">
      <c r="A2732" s="88" t="s">
        <v>162</v>
      </c>
      <c r="B2732" s="88">
        <v>2009</v>
      </c>
      <c r="C2732" s="89" t="s">
        <v>301</v>
      </c>
      <c r="D2732" s="88" t="s">
        <v>160</v>
      </c>
      <c r="F2732" s="70">
        <f t="shared" si="84"/>
        <v>2009</v>
      </c>
      <c r="G2732" s="70" t="s">
        <v>159</v>
      </c>
      <c r="H2732" s="70" t="str">
        <f t="shared" si="85"/>
        <v>SHU</v>
      </c>
    </row>
    <row r="2733" spans="1:8" ht="15" x14ac:dyDescent="0.25">
      <c r="A2733" s="88" t="s">
        <v>162</v>
      </c>
      <c r="B2733" s="88">
        <v>2009</v>
      </c>
      <c r="C2733" s="89" t="s">
        <v>300</v>
      </c>
      <c r="D2733" s="88" t="s">
        <v>160</v>
      </c>
      <c r="F2733" s="70">
        <f t="shared" si="84"/>
        <v>2009</v>
      </c>
      <c r="G2733" s="70" t="s">
        <v>159</v>
      </c>
      <c r="H2733" s="70" t="str">
        <f t="shared" si="85"/>
        <v>SHU</v>
      </c>
    </row>
    <row r="2734" spans="1:8" ht="15" x14ac:dyDescent="0.25">
      <c r="A2734" s="88" t="s">
        <v>162</v>
      </c>
      <c r="B2734" s="88">
        <v>2009</v>
      </c>
      <c r="C2734" s="89" t="s">
        <v>299</v>
      </c>
      <c r="D2734" s="88" t="s">
        <v>160</v>
      </c>
      <c r="F2734" s="70">
        <f t="shared" si="84"/>
        <v>2009</v>
      </c>
      <c r="G2734" s="70" t="s">
        <v>159</v>
      </c>
      <c r="H2734" s="70" t="str">
        <f t="shared" si="85"/>
        <v>SHU</v>
      </c>
    </row>
    <row r="2735" spans="1:8" ht="15" x14ac:dyDescent="0.25">
      <c r="A2735" s="88" t="s">
        <v>162</v>
      </c>
      <c r="B2735" s="88">
        <v>2009</v>
      </c>
      <c r="C2735" s="89" t="s">
        <v>298</v>
      </c>
      <c r="D2735" s="88" t="s">
        <v>160</v>
      </c>
      <c r="F2735" s="70">
        <f t="shared" si="84"/>
        <v>2009</v>
      </c>
      <c r="G2735" s="70" t="s">
        <v>159</v>
      </c>
      <c r="H2735" s="70" t="str">
        <f t="shared" si="85"/>
        <v>SHU</v>
      </c>
    </row>
    <row r="2736" spans="1:8" ht="15" x14ac:dyDescent="0.25">
      <c r="A2736" s="88" t="s">
        <v>162</v>
      </c>
      <c r="B2736" s="88">
        <v>2009</v>
      </c>
      <c r="C2736" s="89" t="s">
        <v>297</v>
      </c>
      <c r="D2736" s="88" t="s">
        <v>160</v>
      </c>
      <c r="F2736" s="70">
        <f t="shared" si="84"/>
        <v>2009</v>
      </c>
      <c r="G2736" s="70" t="s">
        <v>159</v>
      </c>
      <c r="H2736" s="70" t="str">
        <f t="shared" si="85"/>
        <v>SHU</v>
      </c>
    </row>
    <row r="2737" spans="1:8" ht="15" x14ac:dyDescent="0.25">
      <c r="A2737" s="88" t="s">
        <v>162</v>
      </c>
      <c r="B2737" s="88">
        <v>2009</v>
      </c>
      <c r="C2737" s="89" t="s">
        <v>296</v>
      </c>
      <c r="D2737" s="88" t="s">
        <v>160</v>
      </c>
      <c r="F2737" s="70">
        <f t="shared" si="84"/>
        <v>2009</v>
      </c>
      <c r="G2737" s="70" t="s">
        <v>159</v>
      </c>
      <c r="H2737" s="70" t="str">
        <f t="shared" si="85"/>
        <v>SHU</v>
      </c>
    </row>
    <row r="2738" spans="1:8" ht="15" x14ac:dyDescent="0.25">
      <c r="A2738" s="88" t="s">
        <v>162</v>
      </c>
      <c r="B2738" s="88">
        <v>2010</v>
      </c>
      <c r="C2738" s="89" t="s">
        <v>295</v>
      </c>
      <c r="D2738" s="88" t="s">
        <v>160</v>
      </c>
      <c r="F2738" s="70">
        <f t="shared" si="84"/>
        <v>2010</v>
      </c>
      <c r="G2738" s="70" t="s">
        <v>159</v>
      </c>
      <c r="H2738" s="70" t="str">
        <f t="shared" si="85"/>
        <v>SHU</v>
      </c>
    </row>
    <row r="2739" spans="1:8" ht="15" x14ac:dyDescent="0.25">
      <c r="A2739" s="88" t="s">
        <v>162</v>
      </c>
      <c r="B2739" s="88">
        <v>2010</v>
      </c>
      <c r="C2739" s="89" t="s">
        <v>294</v>
      </c>
      <c r="D2739" s="88" t="s">
        <v>160</v>
      </c>
      <c r="F2739" s="70">
        <f t="shared" si="84"/>
        <v>2010</v>
      </c>
      <c r="G2739" s="70" t="s">
        <v>159</v>
      </c>
      <c r="H2739" s="70" t="str">
        <f t="shared" si="85"/>
        <v>SHU</v>
      </c>
    </row>
    <row r="2740" spans="1:8" ht="15" x14ac:dyDescent="0.25">
      <c r="A2740" s="88" t="s">
        <v>162</v>
      </c>
      <c r="B2740" s="88">
        <v>2010</v>
      </c>
      <c r="C2740" s="89" t="s">
        <v>293</v>
      </c>
      <c r="D2740" s="88" t="s">
        <v>160</v>
      </c>
      <c r="F2740" s="70">
        <f t="shared" si="84"/>
        <v>2010</v>
      </c>
      <c r="G2740" s="70" t="s">
        <v>159</v>
      </c>
      <c r="H2740" s="70" t="str">
        <f t="shared" si="85"/>
        <v>SHU</v>
      </c>
    </row>
    <row r="2741" spans="1:8" ht="15" x14ac:dyDescent="0.25">
      <c r="A2741" s="88" t="s">
        <v>162</v>
      </c>
      <c r="B2741" s="88">
        <v>2010</v>
      </c>
      <c r="C2741" s="89" t="s">
        <v>292</v>
      </c>
      <c r="D2741" s="88" t="s">
        <v>160</v>
      </c>
      <c r="F2741" s="70">
        <f t="shared" si="84"/>
        <v>2010</v>
      </c>
      <c r="G2741" s="70" t="s">
        <v>159</v>
      </c>
      <c r="H2741" s="70" t="str">
        <f t="shared" si="85"/>
        <v>SHU</v>
      </c>
    </row>
    <row r="2742" spans="1:8" ht="15" x14ac:dyDescent="0.25">
      <c r="A2742" s="88" t="s">
        <v>162</v>
      </c>
      <c r="B2742" s="88">
        <v>2010</v>
      </c>
      <c r="C2742" s="89" t="s">
        <v>291</v>
      </c>
      <c r="D2742" s="88" t="s">
        <v>160</v>
      </c>
      <c r="F2742" s="70">
        <f t="shared" si="84"/>
        <v>2010</v>
      </c>
      <c r="G2742" s="70" t="s">
        <v>159</v>
      </c>
      <c r="H2742" s="70" t="str">
        <f t="shared" si="85"/>
        <v>SHU</v>
      </c>
    </row>
    <row r="2743" spans="1:8" ht="15" x14ac:dyDescent="0.25">
      <c r="A2743" s="88" t="s">
        <v>162</v>
      </c>
      <c r="B2743" s="88">
        <v>2010</v>
      </c>
      <c r="C2743" s="89" t="s">
        <v>290</v>
      </c>
      <c r="D2743" s="88" t="s">
        <v>160</v>
      </c>
      <c r="F2743" s="70">
        <f t="shared" si="84"/>
        <v>2010</v>
      </c>
      <c r="G2743" s="70" t="s">
        <v>159</v>
      </c>
      <c r="H2743" s="70" t="str">
        <f t="shared" si="85"/>
        <v>SHU</v>
      </c>
    </row>
    <row r="2744" spans="1:8" ht="15" x14ac:dyDescent="0.25">
      <c r="A2744" s="88" t="s">
        <v>162</v>
      </c>
      <c r="B2744" s="88">
        <v>2010</v>
      </c>
      <c r="C2744" s="89" t="s">
        <v>289</v>
      </c>
      <c r="D2744" s="88" t="s">
        <v>160</v>
      </c>
      <c r="F2744" s="70">
        <f t="shared" si="84"/>
        <v>2010</v>
      </c>
      <c r="G2744" s="70" t="s">
        <v>159</v>
      </c>
      <c r="H2744" s="70" t="str">
        <f t="shared" si="85"/>
        <v>SHU</v>
      </c>
    </row>
    <row r="2745" spans="1:8" ht="15" x14ac:dyDescent="0.25">
      <c r="A2745" s="88" t="s">
        <v>162</v>
      </c>
      <c r="B2745" s="88">
        <v>2010</v>
      </c>
      <c r="C2745" s="89" t="s">
        <v>288</v>
      </c>
      <c r="D2745" s="88" t="s">
        <v>160</v>
      </c>
      <c r="F2745" s="70">
        <f t="shared" si="84"/>
        <v>2010</v>
      </c>
      <c r="G2745" s="70" t="s">
        <v>159</v>
      </c>
      <c r="H2745" s="70" t="str">
        <f t="shared" si="85"/>
        <v>SHU</v>
      </c>
    </row>
    <row r="2746" spans="1:8" ht="15" x14ac:dyDescent="0.25">
      <c r="A2746" s="88" t="s">
        <v>162</v>
      </c>
      <c r="B2746" s="88">
        <v>2010</v>
      </c>
      <c r="C2746" s="89" t="s">
        <v>287</v>
      </c>
      <c r="D2746" s="88" t="s">
        <v>160</v>
      </c>
      <c r="F2746" s="70">
        <f t="shared" si="84"/>
        <v>2010</v>
      </c>
      <c r="G2746" s="70" t="s">
        <v>159</v>
      </c>
      <c r="H2746" s="70" t="str">
        <f t="shared" si="85"/>
        <v>SHU</v>
      </c>
    </row>
    <row r="2747" spans="1:8" ht="15" x14ac:dyDescent="0.25">
      <c r="A2747" s="88" t="s">
        <v>162</v>
      </c>
      <c r="B2747" s="88">
        <v>2010</v>
      </c>
      <c r="C2747" s="89" t="s">
        <v>286</v>
      </c>
      <c r="D2747" s="88" t="s">
        <v>160</v>
      </c>
      <c r="F2747" s="70">
        <f t="shared" si="84"/>
        <v>2010</v>
      </c>
      <c r="G2747" s="70" t="s">
        <v>159</v>
      </c>
      <c r="H2747" s="70" t="str">
        <f t="shared" si="85"/>
        <v>SHU</v>
      </c>
    </row>
    <row r="2748" spans="1:8" ht="15" x14ac:dyDescent="0.25">
      <c r="A2748" s="88" t="s">
        <v>162</v>
      </c>
      <c r="B2748" s="88">
        <v>2010</v>
      </c>
      <c r="C2748" s="89" t="s">
        <v>285</v>
      </c>
      <c r="D2748" s="88" t="s">
        <v>160</v>
      </c>
      <c r="F2748" s="70">
        <f t="shared" si="84"/>
        <v>2010</v>
      </c>
      <c r="G2748" s="70" t="s">
        <v>159</v>
      </c>
      <c r="H2748" s="70" t="str">
        <f t="shared" si="85"/>
        <v>SHU</v>
      </c>
    </row>
    <row r="2749" spans="1:8" ht="15" x14ac:dyDescent="0.25">
      <c r="A2749" s="88" t="s">
        <v>162</v>
      </c>
      <c r="B2749" s="88">
        <v>2011</v>
      </c>
      <c r="C2749" s="89" t="s">
        <v>284</v>
      </c>
      <c r="D2749" s="88" t="s">
        <v>160</v>
      </c>
      <c r="F2749" s="70">
        <f t="shared" si="84"/>
        <v>2011</v>
      </c>
      <c r="G2749" s="70" t="s">
        <v>159</v>
      </c>
      <c r="H2749" s="70" t="str">
        <f t="shared" si="85"/>
        <v>SHU</v>
      </c>
    </row>
    <row r="2750" spans="1:8" ht="15" x14ac:dyDescent="0.25">
      <c r="A2750" s="88" t="s">
        <v>162</v>
      </c>
      <c r="B2750" s="88">
        <v>2011</v>
      </c>
      <c r="C2750" s="89" t="s">
        <v>283</v>
      </c>
      <c r="D2750" s="88" t="s">
        <v>160</v>
      </c>
      <c r="F2750" s="70">
        <f t="shared" si="84"/>
        <v>2011</v>
      </c>
      <c r="G2750" s="70" t="s">
        <v>159</v>
      </c>
      <c r="H2750" s="70" t="str">
        <f t="shared" si="85"/>
        <v>SHU</v>
      </c>
    </row>
    <row r="2751" spans="1:8" ht="15" x14ac:dyDescent="0.25">
      <c r="A2751" s="88" t="s">
        <v>162</v>
      </c>
      <c r="B2751" s="88">
        <v>2011</v>
      </c>
      <c r="C2751" s="89" t="s">
        <v>282</v>
      </c>
      <c r="D2751" s="88" t="s">
        <v>160</v>
      </c>
      <c r="F2751" s="70">
        <f t="shared" si="84"/>
        <v>2011</v>
      </c>
      <c r="G2751" s="70" t="s">
        <v>159</v>
      </c>
      <c r="H2751" s="70" t="str">
        <f t="shared" si="85"/>
        <v>SHU</v>
      </c>
    </row>
    <row r="2752" spans="1:8" ht="15" x14ac:dyDescent="0.25">
      <c r="A2752" s="88" t="s">
        <v>162</v>
      </c>
      <c r="B2752" s="88">
        <v>2011</v>
      </c>
      <c r="C2752" s="89" t="s">
        <v>281</v>
      </c>
      <c r="D2752" s="88" t="s">
        <v>160</v>
      </c>
      <c r="F2752" s="70">
        <f t="shared" si="84"/>
        <v>2011</v>
      </c>
      <c r="G2752" s="70" t="s">
        <v>159</v>
      </c>
      <c r="H2752" s="70" t="str">
        <f t="shared" si="85"/>
        <v>SHU</v>
      </c>
    </row>
    <row r="2753" spans="1:8" ht="15" x14ac:dyDescent="0.25">
      <c r="A2753" s="88" t="s">
        <v>162</v>
      </c>
      <c r="B2753" s="88">
        <v>2011</v>
      </c>
      <c r="C2753" s="89" t="s">
        <v>280</v>
      </c>
      <c r="D2753" s="88" t="s">
        <v>160</v>
      </c>
      <c r="F2753" s="70">
        <f t="shared" si="84"/>
        <v>2011</v>
      </c>
      <c r="G2753" s="70" t="s">
        <v>159</v>
      </c>
      <c r="H2753" s="70" t="str">
        <f t="shared" si="85"/>
        <v>SHU</v>
      </c>
    </row>
    <row r="2754" spans="1:8" ht="15" x14ac:dyDescent="0.25">
      <c r="A2754" s="88" t="s">
        <v>162</v>
      </c>
      <c r="B2754" s="88">
        <v>2011</v>
      </c>
      <c r="C2754" s="89" t="s">
        <v>279</v>
      </c>
      <c r="D2754" s="88" t="s">
        <v>160</v>
      </c>
      <c r="F2754" s="70">
        <f t="shared" si="84"/>
        <v>2011</v>
      </c>
      <c r="G2754" s="70" t="s">
        <v>159</v>
      </c>
      <c r="H2754" s="70" t="str">
        <f t="shared" si="85"/>
        <v>SHU</v>
      </c>
    </row>
    <row r="2755" spans="1:8" ht="15" x14ac:dyDescent="0.25">
      <c r="A2755" s="88" t="s">
        <v>162</v>
      </c>
      <c r="B2755" s="88">
        <v>2011</v>
      </c>
      <c r="C2755" s="89" t="s">
        <v>278</v>
      </c>
      <c r="D2755" s="88" t="s">
        <v>160</v>
      </c>
      <c r="F2755" s="70">
        <f t="shared" si="84"/>
        <v>2011</v>
      </c>
      <c r="G2755" s="70" t="s">
        <v>159</v>
      </c>
      <c r="H2755" s="70" t="str">
        <f t="shared" si="85"/>
        <v>SHU</v>
      </c>
    </row>
    <row r="2756" spans="1:8" ht="15" x14ac:dyDescent="0.25">
      <c r="A2756" s="88" t="s">
        <v>162</v>
      </c>
      <c r="B2756" s="88">
        <v>2011</v>
      </c>
      <c r="C2756" s="89" t="s">
        <v>277</v>
      </c>
      <c r="D2756" s="88" t="s">
        <v>160</v>
      </c>
      <c r="F2756" s="70">
        <f t="shared" si="84"/>
        <v>2011</v>
      </c>
      <c r="G2756" s="70" t="s">
        <v>159</v>
      </c>
      <c r="H2756" s="70" t="str">
        <f t="shared" si="85"/>
        <v>SHU</v>
      </c>
    </row>
    <row r="2757" spans="1:8" ht="15" x14ac:dyDescent="0.25">
      <c r="A2757" s="88" t="s">
        <v>162</v>
      </c>
      <c r="B2757" s="88">
        <v>2011</v>
      </c>
      <c r="C2757" s="89" t="s">
        <v>276</v>
      </c>
      <c r="D2757" s="88" t="s">
        <v>160</v>
      </c>
      <c r="F2757" s="70">
        <f t="shared" si="84"/>
        <v>2011</v>
      </c>
      <c r="G2757" s="70" t="s">
        <v>159</v>
      </c>
      <c r="H2757" s="70" t="str">
        <f t="shared" si="85"/>
        <v>SHU</v>
      </c>
    </row>
    <row r="2758" spans="1:8" ht="15" x14ac:dyDescent="0.25">
      <c r="A2758" s="88" t="s">
        <v>162</v>
      </c>
      <c r="B2758" s="88">
        <v>2011</v>
      </c>
      <c r="C2758" s="89" t="s">
        <v>275</v>
      </c>
      <c r="D2758" s="88" t="s">
        <v>160</v>
      </c>
      <c r="F2758" s="70">
        <f t="shared" si="84"/>
        <v>2011</v>
      </c>
      <c r="G2758" s="70" t="s">
        <v>159</v>
      </c>
      <c r="H2758" s="70" t="str">
        <f t="shared" si="85"/>
        <v>SHU</v>
      </c>
    </row>
    <row r="2759" spans="1:8" ht="15" x14ac:dyDescent="0.25">
      <c r="A2759" s="88" t="s">
        <v>162</v>
      </c>
      <c r="B2759" s="88">
        <v>2011</v>
      </c>
      <c r="C2759" s="89" t="s">
        <v>274</v>
      </c>
      <c r="D2759" s="88" t="s">
        <v>160</v>
      </c>
      <c r="F2759" s="70">
        <f t="shared" si="84"/>
        <v>2011</v>
      </c>
      <c r="G2759" s="70" t="s">
        <v>159</v>
      </c>
      <c r="H2759" s="70" t="str">
        <f t="shared" si="85"/>
        <v>SHU</v>
      </c>
    </row>
    <row r="2760" spans="1:8" ht="15" x14ac:dyDescent="0.25">
      <c r="A2760" s="88" t="s">
        <v>162</v>
      </c>
      <c r="B2760" s="88">
        <v>2012</v>
      </c>
      <c r="C2760" s="89" t="s">
        <v>273</v>
      </c>
      <c r="D2760" s="88" t="s">
        <v>160</v>
      </c>
      <c r="F2760" s="70">
        <f t="shared" ref="F2760:F2823" si="86">+B2760</f>
        <v>2012</v>
      </c>
      <c r="G2760" s="70" t="s">
        <v>159</v>
      </c>
      <c r="H2760" s="70" t="str">
        <f t="shared" ref="H2760:H2823" si="87">A2760</f>
        <v>SHU</v>
      </c>
    </row>
    <row r="2761" spans="1:8" ht="15" x14ac:dyDescent="0.25">
      <c r="A2761" s="88" t="s">
        <v>162</v>
      </c>
      <c r="B2761" s="88">
        <v>2012</v>
      </c>
      <c r="C2761" s="89" t="s">
        <v>272</v>
      </c>
      <c r="D2761" s="88" t="s">
        <v>160</v>
      </c>
      <c r="F2761" s="70">
        <f t="shared" si="86"/>
        <v>2012</v>
      </c>
      <c r="G2761" s="70" t="s">
        <v>159</v>
      </c>
      <c r="H2761" s="70" t="str">
        <f t="shared" si="87"/>
        <v>SHU</v>
      </c>
    </row>
    <row r="2762" spans="1:8" ht="15" x14ac:dyDescent="0.25">
      <c r="A2762" s="88" t="s">
        <v>162</v>
      </c>
      <c r="B2762" s="88">
        <v>2012</v>
      </c>
      <c r="C2762" s="89" t="s">
        <v>271</v>
      </c>
      <c r="D2762" s="88" t="s">
        <v>160</v>
      </c>
      <c r="F2762" s="70">
        <f t="shared" si="86"/>
        <v>2012</v>
      </c>
      <c r="G2762" s="70" t="s">
        <v>159</v>
      </c>
      <c r="H2762" s="70" t="str">
        <f t="shared" si="87"/>
        <v>SHU</v>
      </c>
    </row>
    <row r="2763" spans="1:8" ht="15" x14ac:dyDescent="0.25">
      <c r="A2763" s="88" t="s">
        <v>162</v>
      </c>
      <c r="B2763" s="88">
        <v>2012</v>
      </c>
      <c r="C2763" s="89" t="s">
        <v>270</v>
      </c>
      <c r="D2763" s="88" t="s">
        <v>160</v>
      </c>
      <c r="F2763" s="70">
        <f t="shared" si="86"/>
        <v>2012</v>
      </c>
      <c r="G2763" s="70" t="s">
        <v>159</v>
      </c>
      <c r="H2763" s="70" t="str">
        <f t="shared" si="87"/>
        <v>SHU</v>
      </c>
    </row>
    <row r="2764" spans="1:8" ht="15" x14ac:dyDescent="0.25">
      <c r="A2764" s="88" t="s">
        <v>162</v>
      </c>
      <c r="B2764" s="88">
        <v>2012</v>
      </c>
      <c r="C2764" s="89" t="s">
        <v>269</v>
      </c>
      <c r="D2764" s="88" t="s">
        <v>160</v>
      </c>
      <c r="F2764" s="70">
        <f t="shared" si="86"/>
        <v>2012</v>
      </c>
      <c r="G2764" s="70" t="s">
        <v>159</v>
      </c>
      <c r="H2764" s="70" t="str">
        <f t="shared" si="87"/>
        <v>SHU</v>
      </c>
    </row>
    <row r="2765" spans="1:8" ht="15" x14ac:dyDescent="0.25">
      <c r="A2765" s="88" t="s">
        <v>162</v>
      </c>
      <c r="B2765" s="88">
        <v>2012</v>
      </c>
      <c r="C2765" s="89" t="s">
        <v>268</v>
      </c>
      <c r="D2765" s="88" t="s">
        <v>160</v>
      </c>
      <c r="F2765" s="70">
        <f t="shared" si="86"/>
        <v>2012</v>
      </c>
      <c r="G2765" s="70" t="s">
        <v>159</v>
      </c>
      <c r="H2765" s="70" t="str">
        <f t="shared" si="87"/>
        <v>SHU</v>
      </c>
    </row>
    <row r="2766" spans="1:8" ht="15" x14ac:dyDescent="0.25">
      <c r="A2766" s="88" t="s">
        <v>162</v>
      </c>
      <c r="B2766" s="88">
        <v>2012</v>
      </c>
      <c r="C2766" s="89" t="s">
        <v>267</v>
      </c>
      <c r="D2766" s="88" t="s">
        <v>160</v>
      </c>
      <c r="F2766" s="70">
        <f t="shared" si="86"/>
        <v>2012</v>
      </c>
      <c r="G2766" s="70" t="s">
        <v>159</v>
      </c>
      <c r="H2766" s="70" t="str">
        <f t="shared" si="87"/>
        <v>SHU</v>
      </c>
    </row>
    <row r="2767" spans="1:8" ht="15" x14ac:dyDescent="0.25">
      <c r="A2767" s="88" t="s">
        <v>162</v>
      </c>
      <c r="B2767" s="88">
        <v>2012</v>
      </c>
      <c r="C2767" s="89" t="s">
        <v>266</v>
      </c>
      <c r="D2767" s="88" t="s">
        <v>160</v>
      </c>
      <c r="F2767" s="70">
        <f t="shared" si="86"/>
        <v>2012</v>
      </c>
      <c r="G2767" s="70" t="s">
        <v>159</v>
      </c>
      <c r="H2767" s="70" t="str">
        <f t="shared" si="87"/>
        <v>SHU</v>
      </c>
    </row>
    <row r="2768" spans="1:8" ht="15" x14ac:dyDescent="0.25">
      <c r="A2768" s="88" t="s">
        <v>162</v>
      </c>
      <c r="B2768" s="88">
        <v>2012</v>
      </c>
      <c r="C2768" s="89" t="s">
        <v>265</v>
      </c>
      <c r="D2768" s="88" t="s">
        <v>160</v>
      </c>
      <c r="F2768" s="70">
        <f t="shared" si="86"/>
        <v>2012</v>
      </c>
      <c r="G2768" s="70" t="s">
        <v>159</v>
      </c>
      <c r="H2768" s="70" t="str">
        <f t="shared" si="87"/>
        <v>SHU</v>
      </c>
    </row>
    <row r="2769" spans="1:8" ht="15" x14ac:dyDescent="0.25">
      <c r="A2769" s="88" t="s">
        <v>162</v>
      </c>
      <c r="B2769" s="88">
        <v>2012</v>
      </c>
      <c r="C2769" s="89" t="s">
        <v>264</v>
      </c>
      <c r="D2769" s="88" t="s">
        <v>160</v>
      </c>
      <c r="F2769" s="70">
        <f t="shared" si="86"/>
        <v>2012</v>
      </c>
      <c r="G2769" s="70" t="s">
        <v>159</v>
      </c>
      <c r="H2769" s="70" t="str">
        <f t="shared" si="87"/>
        <v>SHU</v>
      </c>
    </row>
    <row r="2770" spans="1:8" ht="15" x14ac:dyDescent="0.25">
      <c r="A2770" s="68" t="s">
        <v>162</v>
      </c>
      <c r="B2770" s="68">
        <v>2013</v>
      </c>
      <c r="C2770" s="86" t="s">
        <v>263</v>
      </c>
      <c r="D2770" s="69">
        <v>5000</v>
      </c>
      <c r="F2770" s="70">
        <f t="shared" si="86"/>
        <v>2013</v>
      </c>
      <c r="G2770" s="70" t="s">
        <v>159</v>
      </c>
      <c r="H2770" s="70" t="str">
        <f t="shared" si="87"/>
        <v>SHU</v>
      </c>
    </row>
    <row r="2771" spans="1:8" ht="15" x14ac:dyDescent="0.25">
      <c r="A2771" s="68" t="s">
        <v>162</v>
      </c>
      <c r="B2771" s="68">
        <v>2013</v>
      </c>
      <c r="C2771" s="86" t="s">
        <v>262</v>
      </c>
      <c r="D2771" s="69">
        <v>5000</v>
      </c>
      <c r="F2771" s="70">
        <f t="shared" si="86"/>
        <v>2013</v>
      </c>
      <c r="G2771" s="70" t="s">
        <v>159</v>
      </c>
      <c r="H2771" s="70" t="str">
        <f t="shared" si="87"/>
        <v>SHU</v>
      </c>
    </row>
    <row r="2772" spans="1:8" ht="15" x14ac:dyDescent="0.25">
      <c r="A2772" s="68" t="s">
        <v>162</v>
      </c>
      <c r="B2772" s="68">
        <v>2013</v>
      </c>
      <c r="C2772" s="86" t="s">
        <v>261</v>
      </c>
      <c r="D2772" s="69">
        <v>5000</v>
      </c>
      <c r="F2772" s="70">
        <f t="shared" si="86"/>
        <v>2013</v>
      </c>
      <c r="G2772" s="70" t="s">
        <v>159</v>
      </c>
      <c r="H2772" s="70" t="str">
        <f t="shared" si="87"/>
        <v>SHU</v>
      </c>
    </row>
    <row r="2773" spans="1:8" ht="15" x14ac:dyDescent="0.25">
      <c r="A2773" s="68" t="s">
        <v>162</v>
      </c>
      <c r="B2773" s="68">
        <v>2013</v>
      </c>
      <c r="C2773" s="86" t="s">
        <v>260</v>
      </c>
      <c r="D2773" s="69">
        <v>5000</v>
      </c>
      <c r="F2773" s="70">
        <f t="shared" si="86"/>
        <v>2013</v>
      </c>
      <c r="G2773" s="70" t="s">
        <v>159</v>
      </c>
      <c r="H2773" s="70" t="str">
        <f t="shared" si="87"/>
        <v>SHU</v>
      </c>
    </row>
    <row r="2774" spans="1:8" ht="15" x14ac:dyDescent="0.25">
      <c r="A2774" s="68" t="s">
        <v>162</v>
      </c>
      <c r="B2774" s="68">
        <v>2013</v>
      </c>
      <c r="C2774" s="86" t="s">
        <v>259</v>
      </c>
      <c r="D2774" s="69">
        <v>5000</v>
      </c>
      <c r="F2774" s="70">
        <f t="shared" si="86"/>
        <v>2013</v>
      </c>
      <c r="G2774" s="70" t="s">
        <v>159</v>
      </c>
      <c r="H2774" s="70" t="str">
        <f t="shared" si="87"/>
        <v>SHU</v>
      </c>
    </row>
    <row r="2775" spans="1:8" ht="15" x14ac:dyDescent="0.25">
      <c r="A2775" s="68" t="s">
        <v>162</v>
      </c>
      <c r="B2775" s="68">
        <v>2013</v>
      </c>
      <c r="C2775" s="86" t="s">
        <v>258</v>
      </c>
      <c r="D2775" s="69">
        <v>5000</v>
      </c>
      <c r="F2775" s="70">
        <f t="shared" si="86"/>
        <v>2013</v>
      </c>
      <c r="G2775" s="70" t="s">
        <v>159</v>
      </c>
      <c r="H2775" s="70" t="str">
        <f t="shared" si="87"/>
        <v>SHU</v>
      </c>
    </row>
    <row r="2776" spans="1:8" ht="15" x14ac:dyDescent="0.25">
      <c r="A2776" s="68" t="s">
        <v>162</v>
      </c>
      <c r="B2776" s="68">
        <v>2013</v>
      </c>
      <c r="C2776" s="86" t="s">
        <v>257</v>
      </c>
      <c r="D2776" s="69">
        <v>5000</v>
      </c>
      <c r="F2776" s="70">
        <f t="shared" si="86"/>
        <v>2013</v>
      </c>
      <c r="G2776" s="70" t="s">
        <v>159</v>
      </c>
      <c r="H2776" s="70" t="str">
        <f t="shared" si="87"/>
        <v>SHU</v>
      </c>
    </row>
    <row r="2777" spans="1:8" ht="15" x14ac:dyDescent="0.25">
      <c r="A2777" s="68" t="s">
        <v>162</v>
      </c>
      <c r="B2777" s="68">
        <v>2013</v>
      </c>
      <c r="C2777" s="86" t="s">
        <v>256</v>
      </c>
      <c r="D2777" s="69">
        <v>5000</v>
      </c>
      <c r="F2777" s="70">
        <f t="shared" si="86"/>
        <v>2013</v>
      </c>
      <c r="G2777" s="70" t="s">
        <v>159</v>
      </c>
      <c r="H2777" s="70" t="str">
        <f t="shared" si="87"/>
        <v>SHU</v>
      </c>
    </row>
    <row r="2778" spans="1:8" ht="15" x14ac:dyDescent="0.25">
      <c r="A2778" s="68" t="s">
        <v>162</v>
      </c>
      <c r="B2778" s="68">
        <v>2013</v>
      </c>
      <c r="C2778" s="86" t="s">
        <v>255</v>
      </c>
      <c r="D2778" s="69">
        <v>5000</v>
      </c>
      <c r="F2778" s="70">
        <f t="shared" si="86"/>
        <v>2013</v>
      </c>
      <c r="G2778" s="70" t="s">
        <v>159</v>
      </c>
      <c r="H2778" s="70" t="str">
        <f t="shared" si="87"/>
        <v>SHU</v>
      </c>
    </row>
    <row r="2779" spans="1:8" ht="15" x14ac:dyDescent="0.25">
      <c r="A2779" s="68" t="s">
        <v>162</v>
      </c>
      <c r="B2779" s="68">
        <v>2013</v>
      </c>
      <c r="C2779" s="86" t="s">
        <v>254</v>
      </c>
      <c r="D2779" s="69">
        <v>5000</v>
      </c>
      <c r="F2779" s="70">
        <f t="shared" si="86"/>
        <v>2013</v>
      </c>
      <c r="G2779" s="70" t="s">
        <v>159</v>
      </c>
      <c r="H2779" s="70" t="str">
        <f t="shared" si="87"/>
        <v>SHU</v>
      </c>
    </row>
    <row r="2780" spans="1:8" ht="15" x14ac:dyDescent="0.25">
      <c r="A2780" s="85" t="s">
        <v>162</v>
      </c>
      <c r="B2780" s="85">
        <v>2014</v>
      </c>
      <c r="C2780" s="87" t="s">
        <v>253</v>
      </c>
      <c r="D2780" s="83" t="s">
        <v>160</v>
      </c>
      <c r="F2780" s="70">
        <f t="shared" si="86"/>
        <v>2014</v>
      </c>
      <c r="G2780" s="70" t="s">
        <v>159</v>
      </c>
      <c r="H2780" s="70" t="str">
        <f t="shared" si="87"/>
        <v>SHU</v>
      </c>
    </row>
    <row r="2781" spans="1:8" ht="15" x14ac:dyDescent="0.25">
      <c r="A2781" s="85" t="s">
        <v>162</v>
      </c>
      <c r="B2781" s="85">
        <v>2014</v>
      </c>
      <c r="C2781" s="87" t="s">
        <v>252</v>
      </c>
      <c r="D2781" s="83" t="s">
        <v>160</v>
      </c>
      <c r="F2781" s="70">
        <f t="shared" si="86"/>
        <v>2014</v>
      </c>
      <c r="G2781" s="70" t="s">
        <v>159</v>
      </c>
      <c r="H2781" s="70" t="str">
        <f t="shared" si="87"/>
        <v>SHU</v>
      </c>
    </row>
    <row r="2782" spans="1:8" ht="15" x14ac:dyDescent="0.25">
      <c r="A2782" s="85" t="s">
        <v>162</v>
      </c>
      <c r="B2782" s="85">
        <v>2014</v>
      </c>
      <c r="C2782" s="87" t="s">
        <v>251</v>
      </c>
      <c r="D2782" s="83" t="s">
        <v>160</v>
      </c>
      <c r="F2782" s="70">
        <f t="shared" si="86"/>
        <v>2014</v>
      </c>
      <c r="G2782" s="70" t="s">
        <v>159</v>
      </c>
      <c r="H2782" s="70" t="str">
        <f t="shared" si="87"/>
        <v>SHU</v>
      </c>
    </row>
    <row r="2783" spans="1:8" ht="15" x14ac:dyDescent="0.25">
      <c r="A2783" s="85" t="s">
        <v>162</v>
      </c>
      <c r="B2783" s="85">
        <v>2014</v>
      </c>
      <c r="C2783" s="87" t="s">
        <v>250</v>
      </c>
      <c r="D2783" s="83" t="s">
        <v>160</v>
      </c>
      <c r="F2783" s="70">
        <f t="shared" si="86"/>
        <v>2014</v>
      </c>
      <c r="G2783" s="70" t="s">
        <v>159</v>
      </c>
      <c r="H2783" s="70" t="str">
        <f t="shared" si="87"/>
        <v>SHU</v>
      </c>
    </row>
    <row r="2784" spans="1:8" ht="15" x14ac:dyDescent="0.25">
      <c r="A2784" s="85" t="s">
        <v>162</v>
      </c>
      <c r="B2784" s="85">
        <v>2014</v>
      </c>
      <c r="C2784" s="87" t="s">
        <v>249</v>
      </c>
      <c r="D2784" s="83" t="s">
        <v>160</v>
      </c>
      <c r="F2784" s="70">
        <f t="shared" si="86"/>
        <v>2014</v>
      </c>
      <c r="G2784" s="70" t="s">
        <v>159</v>
      </c>
      <c r="H2784" s="70" t="str">
        <f t="shared" si="87"/>
        <v>SHU</v>
      </c>
    </row>
    <row r="2785" spans="1:8" ht="15" x14ac:dyDescent="0.25">
      <c r="A2785" s="85" t="s">
        <v>162</v>
      </c>
      <c r="B2785" s="85">
        <v>2014</v>
      </c>
      <c r="C2785" s="87" t="s">
        <v>248</v>
      </c>
      <c r="D2785" s="83" t="s">
        <v>160</v>
      </c>
      <c r="F2785" s="70">
        <f t="shared" si="86"/>
        <v>2014</v>
      </c>
      <c r="G2785" s="70" t="s">
        <v>159</v>
      </c>
      <c r="H2785" s="70" t="str">
        <f t="shared" si="87"/>
        <v>SHU</v>
      </c>
    </row>
    <row r="2786" spans="1:8" ht="15" x14ac:dyDescent="0.25">
      <c r="A2786" s="85" t="s">
        <v>162</v>
      </c>
      <c r="B2786" s="85">
        <v>2014</v>
      </c>
      <c r="C2786" s="87" t="s">
        <v>247</v>
      </c>
      <c r="D2786" s="83" t="s">
        <v>160</v>
      </c>
      <c r="F2786" s="70">
        <f t="shared" si="86"/>
        <v>2014</v>
      </c>
      <c r="G2786" s="70" t="s">
        <v>159</v>
      </c>
      <c r="H2786" s="70" t="str">
        <f t="shared" si="87"/>
        <v>SHU</v>
      </c>
    </row>
    <row r="2787" spans="1:8" ht="15" x14ac:dyDescent="0.25">
      <c r="A2787" s="85" t="s">
        <v>162</v>
      </c>
      <c r="B2787" s="85">
        <v>2014</v>
      </c>
      <c r="C2787" s="87" t="s">
        <v>246</v>
      </c>
      <c r="D2787" s="83" t="s">
        <v>160</v>
      </c>
      <c r="F2787" s="70">
        <f t="shared" si="86"/>
        <v>2014</v>
      </c>
      <c r="G2787" s="70" t="s">
        <v>159</v>
      </c>
      <c r="H2787" s="70" t="str">
        <f t="shared" si="87"/>
        <v>SHU</v>
      </c>
    </row>
    <row r="2788" spans="1:8" ht="15" x14ac:dyDescent="0.25">
      <c r="A2788" s="85" t="s">
        <v>162</v>
      </c>
      <c r="B2788" s="85">
        <v>2014</v>
      </c>
      <c r="C2788" s="87" t="s">
        <v>245</v>
      </c>
      <c r="D2788" s="83" t="s">
        <v>160</v>
      </c>
      <c r="F2788" s="70">
        <f t="shared" si="86"/>
        <v>2014</v>
      </c>
      <c r="G2788" s="70" t="s">
        <v>159</v>
      </c>
      <c r="H2788" s="70" t="str">
        <f t="shared" si="87"/>
        <v>SHU</v>
      </c>
    </row>
    <row r="2789" spans="1:8" ht="15" x14ac:dyDescent="0.25">
      <c r="A2789" s="68" t="s">
        <v>162</v>
      </c>
      <c r="B2789" s="68">
        <v>2015</v>
      </c>
      <c r="C2789" s="86" t="s">
        <v>244</v>
      </c>
      <c r="D2789" s="69" t="s">
        <v>160</v>
      </c>
      <c r="F2789" s="70">
        <f t="shared" si="86"/>
        <v>2015</v>
      </c>
      <c r="G2789" s="70" t="s">
        <v>159</v>
      </c>
      <c r="H2789" s="70" t="str">
        <f t="shared" si="87"/>
        <v>SHU</v>
      </c>
    </row>
    <row r="2790" spans="1:8" ht="15" x14ac:dyDescent="0.25">
      <c r="A2790" s="68" t="s">
        <v>162</v>
      </c>
      <c r="B2790" s="68">
        <v>2015</v>
      </c>
      <c r="C2790" s="86" t="s">
        <v>243</v>
      </c>
      <c r="D2790" s="69" t="s">
        <v>160</v>
      </c>
      <c r="F2790" s="70">
        <f t="shared" si="86"/>
        <v>2015</v>
      </c>
      <c r="G2790" s="70" t="s">
        <v>159</v>
      </c>
      <c r="H2790" s="70" t="str">
        <f t="shared" si="87"/>
        <v>SHU</v>
      </c>
    </row>
    <row r="2791" spans="1:8" ht="15" x14ac:dyDescent="0.25">
      <c r="A2791" s="68" t="s">
        <v>162</v>
      </c>
      <c r="B2791" s="68">
        <v>2015</v>
      </c>
      <c r="C2791" s="86" t="s">
        <v>242</v>
      </c>
      <c r="D2791" s="69" t="s">
        <v>160</v>
      </c>
      <c r="F2791" s="70">
        <f t="shared" si="86"/>
        <v>2015</v>
      </c>
      <c r="G2791" s="70" t="s">
        <v>159</v>
      </c>
      <c r="H2791" s="70" t="str">
        <f t="shared" si="87"/>
        <v>SHU</v>
      </c>
    </row>
    <row r="2792" spans="1:8" ht="15" x14ac:dyDescent="0.25">
      <c r="A2792" s="68" t="s">
        <v>162</v>
      </c>
      <c r="B2792" s="68">
        <v>2015</v>
      </c>
      <c r="C2792" s="86" t="s">
        <v>241</v>
      </c>
      <c r="D2792" s="69" t="s">
        <v>160</v>
      </c>
      <c r="F2792" s="70">
        <f t="shared" si="86"/>
        <v>2015</v>
      </c>
      <c r="G2792" s="70" t="s">
        <v>159</v>
      </c>
      <c r="H2792" s="70" t="str">
        <f t="shared" si="87"/>
        <v>SHU</v>
      </c>
    </row>
    <row r="2793" spans="1:8" ht="15" x14ac:dyDescent="0.25">
      <c r="A2793" s="68" t="s">
        <v>162</v>
      </c>
      <c r="B2793" s="68">
        <v>2015</v>
      </c>
      <c r="C2793" s="86" t="s">
        <v>240</v>
      </c>
      <c r="D2793" s="69" t="s">
        <v>160</v>
      </c>
      <c r="F2793" s="70">
        <f t="shared" si="86"/>
        <v>2015</v>
      </c>
      <c r="G2793" s="70" t="s">
        <v>159</v>
      </c>
      <c r="H2793" s="70" t="str">
        <f t="shared" si="87"/>
        <v>SHU</v>
      </c>
    </row>
    <row r="2794" spans="1:8" ht="15" x14ac:dyDescent="0.25">
      <c r="A2794" s="68" t="s">
        <v>162</v>
      </c>
      <c r="B2794" s="68">
        <v>2015</v>
      </c>
      <c r="C2794" s="86" t="s">
        <v>239</v>
      </c>
      <c r="D2794" s="69" t="s">
        <v>160</v>
      </c>
      <c r="F2794" s="70">
        <f t="shared" si="86"/>
        <v>2015</v>
      </c>
      <c r="G2794" s="70" t="s">
        <v>159</v>
      </c>
      <c r="H2794" s="70" t="str">
        <f t="shared" si="87"/>
        <v>SHU</v>
      </c>
    </row>
    <row r="2795" spans="1:8" ht="15" x14ac:dyDescent="0.25">
      <c r="A2795" s="68" t="s">
        <v>162</v>
      </c>
      <c r="B2795" s="68">
        <v>2015</v>
      </c>
      <c r="C2795" s="86" t="s">
        <v>238</v>
      </c>
      <c r="D2795" s="69" t="s">
        <v>160</v>
      </c>
      <c r="F2795" s="70">
        <f t="shared" si="86"/>
        <v>2015</v>
      </c>
      <c r="G2795" s="70" t="s">
        <v>159</v>
      </c>
      <c r="H2795" s="70" t="str">
        <f t="shared" si="87"/>
        <v>SHU</v>
      </c>
    </row>
    <row r="2796" spans="1:8" ht="15" x14ac:dyDescent="0.25">
      <c r="A2796" s="68" t="s">
        <v>162</v>
      </c>
      <c r="B2796" s="68">
        <v>2015</v>
      </c>
      <c r="C2796" s="86" t="s">
        <v>237</v>
      </c>
      <c r="D2796" s="69" t="s">
        <v>160</v>
      </c>
      <c r="F2796" s="70">
        <f t="shared" si="86"/>
        <v>2015</v>
      </c>
      <c r="G2796" s="70" t="s">
        <v>159</v>
      </c>
      <c r="H2796" s="70" t="str">
        <f t="shared" si="87"/>
        <v>SHU</v>
      </c>
    </row>
    <row r="2797" spans="1:8" ht="15" x14ac:dyDescent="0.25">
      <c r="A2797" s="68" t="s">
        <v>162</v>
      </c>
      <c r="B2797" s="68">
        <v>2015</v>
      </c>
      <c r="C2797" s="86" t="s">
        <v>236</v>
      </c>
      <c r="D2797" s="69" t="s">
        <v>160</v>
      </c>
      <c r="F2797" s="70">
        <f t="shared" si="86"/>
        <v>2015</v>
      </c>
      <c r="G2797" s="70" t="s">
        <v>159</v>
      </c>
      <c r="H2797" s="70" t="str">
        <f t="shared" si="87"/>
        <v>SHU</v>
      </c>
    </row>
    <row r="2798" spans="1:8" ht="15" x14ac:dyDescent="0.25">
      <c r="A2798" s="68" t="s">
        <v>162</v>
      </c>
      <c r="B2798" s="68">
        <v>2016</v>
      </c>
      <c r="C2798" s="76" t="s">
        <v>235</v>
      </c>
      <c r="D2798" s="69" t="s">
        <v>160</v>
      </c>
      <c r="F2798" s="70">
        <f t="shared" si="86"/>
        <v>2016</v>
      </c>
      <c r="G2798" s="70" t="s">
        <v>159</v>
      </c>
      <c r="H2798" s="70" t="str">
        <f t="shared" si="87"/>
        <v>SHU</v>
      </c>
    </row>
    <row r="2799" spans="1:8" ht="15" x14ac:dyDescent="0.25">
      <c r="A2799" s="68" t="s">
        <v>162</v>
      </c>
      <c r="B2799" s="68">
        <v>2016</v>
      </c>
      <c r="C2799" s="76" t="s">
        <v>234</v>
      </c>
      <c r="D2799" s="69" t="s">
        <v>160</v>
      </c>
      <c r="F2799" s="70">
        <f t="shared" si="86"/>
        <v>2016</v>
      </c>
      <c r="G2799" s="70" t="s">
        <v>159</v>
      </c>
      <c r="H2799" s="70" t="str">
        <f t="shared" si="87"/>
        <v>SHU</v>
      </c>
    </row>
    <row r="2800" spans="1:8" ht="15" x14ac:dyDescent="0.25">
      <c r="A2800" s="68" t="s">
        <v>162</v>
      </c>
      <c r="B2800" s="68">
        <v>2016</v>
      </c>
      <c r="C2800" s="76" t="s">
        <v>233</v>
      </c>
      <c r="D2800" s="69" t="s">
        <v>160</v>
      </c>
      <c r="F2800" s="70">
        <f t="shared" si="86"/>
        <v>2016</v>
      </c>
      <c r="G2800" s="70" t="s">
        <v>159</v>
      </c>
      <c r="H2800" s="70" t="str">
        <f t="shared" si="87"/>
        <v>SHU</v>
      </c>
    </row>
    <row r="2801" spans="1:8" ht="15" x14ac:dyDescent="0.25">
      <c r="A2801" s="68" t="s">
        <v>162</v>
      </c>
      <c r="B2801" s="68">
        <v>2016</v>
      </c>
      <c r="C2801" s="76" t="s">
        <v>232</v>
      </c>
      <c r="D2801" s="69" t="s">
        <v>160</v>
      </c>
      <c r="F2801" s="70">
        <f t="shared" si="86"/>
        <v>2016</v>
      </c>
      <c r="G2801" s="70" t="s">
        <v>159</v>
      </c>
      <c r="H2801" s="70" t="str">
        <f t="shared" si="87"/>
        <v>SHU</v>
      </c>
    </row>
    <row r="2802" spans="1:8" ht="15" x14ac:dyDescent="0.25">
      <c r="A2802" s="68" t="s">
        <v>162</v>
      </c>
      <c r="B2802" s="68">
        <v>2016</v>
      </c>
      <c r="C2802" s="76" t="s">
        <v>231</v>
      </c>
      <c r="D2802" s="69" t="s">
        <v>160</v>
      </c>
      <c r="F2802" s="70">
        <f t="shared" si="86"/>
        <v>2016</v>
      </c>
      <c r="G2802" s="70" t="s">
        <v>159</v>
      </c>
      <c r="H2802" s="70" t="str">
        <f t="shared" si="87"/>
        <v>SHU</v>
      </c>
    </row>
    <row r="2803" spans="1:8" ht="15" x14ac:dyDescent="0.25">
      <c r="A2803" s="68" t="s">
        <v>162</v>
      </c>
      <c r="B2803" s="68">
        <v>2016</v>
      </c>
      <c r="C2803" s="76" t="s">
        <v>230</v>
      </c>
      <c r="D2803" s="69" t="s">
        <v>160</v>
      </c>
      <c r="F2803" s="70">
        <f t="shared" si="86"/>
        <v>2016</v>
      </c>
      <c r="G2803" s="70" t="s">
        <v>159</v>
      </c>
      <c r="H2803" s="70" t="str">
        <f t="shared" si="87"/>
        <v>SHU</v>
      </c>
    </row>
    <row r="2804" spans="1:8" ht="15" x14ac:dyDescent="0.25">
      <c r="A2804" s="68" t="s">
        <v>162</v>
      </c>
      <c r="B2804" s="68">
        <v>2016</v>
      </c>
      <c r="C2804" s="76" t="s">
        <v>229</v>
      </c>
      <c r="D2804" s="69" t="s">
        <v>160</v>
      </c>
      <c r="F2804" s="70">
        <f t="shared" si="86"/>
        <v>2016</v>
      </c>
      <c r="G2804" s="70" t="s">
        <v>159</v>
      </c>
      <c r="H2804" s="70" t="str">
        <f t="shared" si="87"/>
        <v>SHU</v>
      </c>
    </row>
    <row r="2805" spans="1:8" ht="15" x14ac:dyDescent="0.25">
      <c r="A2805" s="68" t="s">
        <v>162</v>
      </c>
      <c r="B2805" s="68">
        <v>2016</v>
      </c>
      <c r="C2805" s="76" t="s">
        <v>228</v>
      </c>
      <c r="D2805" s="69" t="s">
        <v>160</v>
      </c>
      <c r="F2805" s="70">
        <f t="shared" si="86"/>
        <v>2016</v>
      </c>
      <c r="G2805" s="70" t="s">
        <v>159</v>
      </c>
      <c r="H2805" s="70" t="str">
        <f t="shared" si="87"/>
        <v>SHU</v>
      </c>
    </row>
    <row r="2806" spans="1:8" ht="15" x14ac:dyDescent="0.25">
      <c r="A2806" s="68" t="s">
        <v>162</v>
      </c>
      <c r="B2806" s="68">
        <v>2016</v>
      </c>
      <c r="C2806" s="76" t="s">
        <v>227</v>
      </c>
      <c r="D2806" s="69" t="s">
        <v>160</v>
      </c>
      <c r="F2806" s="70">
        <f t="shared" si="86"/>
        <v>2016</v>
      </c>
      <c r="G2806" s="70" t="s">
        <v>159</v>
      </c>
      <c r="H2806" s="70" t="str">
        <f t="shared" si="87"/>
        <v>SHU</v>
      </c>
    </row>
    <row r="2807" spans="1:8" ht="15" x14ac:dyDescent="0.25">
      <c r="A2807" s="68" t="s">
        <v>162</v>
      </c>
      <c r="B2807" s="68">
        <v>2016</v>
      </c>
      <c r="C2807" s="76" t="s">
        <v>226</v>
      </c>
      <c r="D2807" s="69" t="s">
        <v>160</v>
      </c>
      <c r="F2807" s="70">
        <f t="shared" si="86"/>
        <v>2016</v>
      </c>
      <c r="G2807" s="70" t="s">
        <v>159</v>
      </c>
      <c r="H2807" s="70" t="str">
        <f t="shared" si="87"/>
        <v>SHU</v>
      </c>
    </row>
    <row r="2808" spans="1:8" ht="15" x14ac:dyDescent="0.25">
      <c r="A2808" s="85" t="s">
        <v>162</v>
      </c>
      <c r="B2808" s="85">
        <v>2017</v>
      </c>
      <c r="C2808" s="84" t="s">
        <v>225</v>
      </c>
      <c r="D2808" s="83" t="s">
        <v>160</v>
      </c>
      <c r="F2808" s="70">
        <f t="shared" si="86"/>
        <v>2017</v>
      </c>
      <c r="G2808" s="70" t="s">
        <v>159</v>
      </c>
      <c r="H2808" s="70" t="str">
        <f t="shared" si="87"/>
        <v>SHU</v>
      </c>
    </row>
    <row r="2809" spans="1:8" ht="15" x14ac:dyDescent="0.25">
      <c r="A2809" s="85" t="s">
        <v>162</v>
      </c>
      <c r="B2809" s="85">
        <v>2017</v>
      </c>
      <c r="C2809" s="84" t="s">
        <v>224</v>
      </c>
      <c r="D2809" s="83" t="s">
        <v>160</v>
      </c>
      <c r="F2809" s="70">
        <f t="shared" si="86"/>
        <v>2017</v>
      </c>
      <c r="G2809" s="70" t="s">
        <v>159</v>
      </c>
      <c r="H2809" s="70" t="str">
        <f t="shared" si="87"/>
        <v>SHU</v>
      </c>
    </row>
    <row r="2810" spans="1:8" ht="15" x14ac:dyDescent="0.25">
      <c r="A2810" s="85" t="s">
        <v>162</v>
      </c>
      <c r="B2810" s="85">
        <v>2017</v>
      </c>
      <c r="C2810" s="84" t="s">
        <v>223</v>
      </c>
      <c r="D2810" s="83" t="s">
        <v>160</v>
      </c>
      <c r="F2810" s="70">
        <f t="shared" si="86"/>
        <v>2017</v>
      </c>
      <c r="G2810" s="70" t="s">
        <v>159</v>
      </c>
      <c r="H2810" s="70" t="str">
        <f t="shared" si="87"/>
        <v>SHU</v>
      </c>
    </row>
    <row r="2811" spans="1:8" ht="15" x14ac:dyDescent="0.25">
      <c r="A2811" s="85" t="s">
        <v>162</v>
      </c>
      <c r="B2811" s="85">
        <v>2017</v>
      </c>
      <c r="C2811" s="84" t="s">
        <v>222</v>
      </c>
      <c r="D2811" s="83" t="s">
        <v>160</v>
      </c>
      <c r="F2811" s="70">
        <f t="shared" si="86"/>
        <v>2017</v>
      </c>
      <c r="G2811" s="70" t="s">
        <v>159</v>
      </c>
      <c r="H2811" s="70" t="str">
        <f t="shared" si="87"/>
        <v>SHU</v>
      </c>
    </row>
    <row r="2812" spans="1:8" ht="15" x14ac:dyDescent="0.25">
      <c r="A2812" s="85" t="s">
        <v>162</v>
      </c>
      <c r="B2812" s="85">
        <v>2017</v>
      </c>
      <c r="C2812" s="84" t="s">
        <v>221</v>
      </c>
      <c r="D2812" s="83" t="s">
        <v>160</v>
      </c>
      <c r="F2812" s="70">
        <f t="shared" si="86"/>
        <v>2017</v>
      </c>
      <c r="G2812" s="70" t="s">
        <v>159</v>
      </c>
      <c r="H2812" s="70" t="str">
        <f t="shared" si="87"/>
        <v>SHU</v>
      </c>
    </row>
    <row r="2813" spans="1:8" ht="15" x14ac:dyDescent="0.25">
      <c r="A2813" s="85" t="s">
        <v>162</v>
      </c>
      <c r="B2813" s="85">
        <v>2017</v>
      </c>
      <c r="C2813" s="84" t="s">
        <v>220</v>
      </c>
      <c r="D2813" s="83" t="s">
        <v>160</v>
      </c>
      <c r="F2813" s="70">
        <f t="shared" si="86"/>
        <v>2017</v>
      </c>
      <c r="G2813" s="70" t="s">
        <v>159</v>
      </c>
      <c r="H2813" s="70" t="str">
        <f t="shared" si="87"/>
        <v>SHU</v>
      </c>
    </row>
    <row r="2814" spans="1:8" ht="15" x14ac:dyDescent="0.25">
      <c r="A2814" s="85" t="s">
        <v>162</v>
      </c>
      <c r="B2814" s="85">
        <v>2017</v>
      </c>
      <c r="C2814" s="84" t="s">
        <v>219</v>
      </c>
      <c r="D2814" s="83" t="s">
        <v>160</v>
      </c>
      <c r="F2814" s="70">
        <f t="shared" si="86"/>
        <v>2017</v>
      </c>
      <c r="G2814" s="70" t="s">
        <v>159</v>
      </c>
      <c r="H2814" s="70" t="str">
        <f t="shared" si="87"/>
        <v>SHU</v>
      </c>
    </row>
    <row r="2815" spans="1:8" ht="15" x14ac:dyDescent="0.25">
      <c r="A2815" s="85" t="s">
        <v>162</v>
      </c>
      <c r="B2815" s="85">
        <v>2017</v>
      </c>
      <c r="C2815" s="84" t="s">
        <v>218</v>
      </c>
      <c r="D2815" s="83" t="s">
        <v>160</v>
      </c>
      <c r="F2815" s="70">
        <f t="shared" si="86"/>
        <v>2017</v>
      </c>
      <c r="G2815" s="70" t="s">
        <v>159</v>
      </c>
      <c r="H2815" s="70" t="str">
        <f t="shared" si="87"/>
        <v>SHU</v>
      </c>
    </row>
    <row r="2816" spans="1:8" ht="15" x14ac:dyDescent="0.25">
      <c r="A2816" s="85" t="s">
        <v>162</v>
      </c>
      <c r="B2816" s="85">
        <v>2017</v>
      </c>
      <c r="C2816" s="84" t="s">
        <v>217</v>
      </c>
      <c r="D2816" s="83" t="s">
        <v>160</v>
      </c>
      <c r="F2816" s="70">
        <f t="shared" si="86"/>
        <v>2017</v>
      </c>
      <c r="G2816" s="70" t="s">
        <v>159</v>
      </c>
      <c r="H2816" s="70" t="str">
        <f t="shared" si="87"/>
        <v>SHU</v>
      </c>
    </row>
    <row r="2817" spans="1:8" ht="15" x14ac:dyDescent="0.25">
      <c r="A2817" s="75" t="s">
        <v>162</v>
      </c>
      <c r="B2817" s="75">
        <v>2018</v>
      </c>
      <c r="C2817" s="74" t="s">
        <v>216</v>
      </c>
      <c r="D2817" s="82" t="s">
        <v>160</v>
      </c>
      <c r="F2817" s="70">
        <f t="shared" si="86"/>
        <v>2018</v>
      </c>
      <c r="G2817" s="70" t="s">
        <v>159</v>
      </c>
      <c r="H2817" s="70" t="str">
        <f t="shared" si="87"/>
        <v>SHU</v>
      </c>
    </row>
    <row r="2818" spans="1:8" ht="15" x14ac:dyDescent="0.25">
      <c r="A2818" s="75" t="s">
        <v>162</v>
      </c>
      <c r="B2818" s="75">
        <v>2018</v>
      </c>
      <c r="C2818" s="74" t="s">
        <v>215</v>
      </c>
      <c r="D2818" s="82" t="s">
        <v>160</v>
      </c>
      <c r="F2818" s="70">
        <f t="shared" si="86"/>
        <v>2018</v>
      </c>
      <c r="G2818" s="70" t="s">
        <v>159</v>
      </c>
      <c r="H2818" s="70" t="str">
        <f t="shared" si="87"/>
        <v>SHU</v>
      </c>
    </row>
    <row r="2819" spans="1:8" ht="15" x14ac:dyDescent="0.25">
      <c r="A2819" s="75" t="s">
        <v>162</v>
      </c>
      <c r="B2819" s="75">
        <v>2018</v>
      </c>
      <c r="C2819" s="74" t="s">
        <v>214</v>
      </c>
      <c r="D2819" s="82" t="s">
        <v>160</v>
      </c>
      <c r="F2819" s="70">
        <f t="shared" si="86"/>
        <v>2018</v>
      </c>
      <c r="G2819" s="70" t="s">
        <v>159</v>
      </c>
      <c r="H2819" s="70" t="str">
        <f t="shared" si="87"/>
        <v>SHU</v>
      </c>
    </row>
    <row r="2820" spans="1:8" ht="15" x14ac:dyDescent="0.25">
      <c r="A2820" s="81" t="s">
        <v>212</v>
      </c>
      <c r="B2820" s="81">
        <v>2018</v>
      </c>
      <c r="C2820" s="80" t="s">
        <v>213</v>
      </c>
      <c r="D2820" s="71" t="s">
        <v>160</v>
      </c>
      <c r="F2820" s="70">
        <f t="shared" si="86"/>
        <v>2018</v>
      </c>
      <c r="G2820" s="70" t="s">
        <v>159</v>
      </c>
      <c r="H2820" s="70" t="str">
        <f t="shared" si="87"/>
        <v>RBT</v>
      </c>
    </row>
    <row r="2821" spans="1:8" ht="15" x14ac:dyDescent="0.25">
      <c r="A2821" s="81" t="s">
        <v>212</v>
      </c>
      <c r="B2821" s="81">
        <v>2018</v>
      </c>
      <c r="C2821" s="80" t="s">
        <v>211</v>
      </c>
      <c r="D2821" s="71" t="s">
        <v>160</v>
      </c>
      <c r="F2821" s="70">
        <f t="shared" si="86"/>
        <v>2018</v>
      </c>
      <c r="G2821" s="70" t="s">
        <v>159</v>
      </c>
      <c r="H2821" s="70" t="str">
        <f t="shared" si="87"/>
        <v>RBT</v>
      </c>
    </row>
    <row r="2822" spans="1:8" ht="15" x14ac:dyDescent="0.25">
      <c r="A2822" s="79" t="s">
        <v>168</v>
      </c>
      <c r="B2822" s="78">
        <v>1990</v>
      </c>
      <c r="C2822" s="77" t="s">
        <v>210</v>
      </c>
      <c r="D2822" s="71" t="s">
        <v>160</v>
      </c>
      <c r="F2822" s="70">
        <f t="shared" si="86"/>
        <v>1990</v>
      </c>
      <c r="G2822" s="70" t="s">
        <v>159</v>
      </c>
      <c r="H2822" s="70" t="str">
        <f t="shared" si="87"/>
        <v>CKO</v>
      </c>
    </row>
    <row r="2823" spans="1:8" ht="15" x14ac:dyDescent="0.25">
      <c r="A2823" s="79" t="s">
        <v>168</v>
      </c>
      <c r="B2823" s="78">
        <v>1987</v>
      </c>
      <c r="C2823" s="77" t="s">
        <v>209</v>
      </c>
      <c r="D2823" s="71" t="s">
        <v>160</v>
      </c>
      <c r="F2823" s="70">
        <f t="shared" si="86"/>
        <v>1987</v>
      </c>
      <c r="G2823" s="70" t="s">
        <v>159</v>
      </c>
      <c r="H2823" s="70" t="str">
        <f t="shared" si="87"/>
        <v>CKO</v>
      </c>
    </row>
    <row r="2824" spans="1:8" ht="15" x14ac:dyDescent="0.25">
      <c r="A2824" s="79" t="s">
        <v>168</v>
      </c>
      <c r="B2824" s="78">
        <v>1986</v>
      </c>
      <c r="C2824" s="77" t="s">
        <v>208</v>
      </c>
      <c r="D2824" s="71" t="s">
        <v>160</v>
      </c>
      <c r="F2824" s="70">
        <f t="shared" ref="F2824:F2874" si="88">+B2824</f>
        <v>1986</v>
      </c>
      <c r="G2824" s="70" t="s">
        <v>159</v>
      </c>
      <c r="H2824" s="70" t="str">
        <f t="shared" ref="H2824:H2874" si="89">A2824</f>
        <v>CKO</v>
      </c>
    </row>
    <row r="2825" spans="1:8" ht="15" x14ac:dyDescent="0.25">
      <c r="A2825" s="79" t="s">
        <v>168</v>
      </c>
      <c r="B2825" s="78">
        <v>1989</v>
      </c>
      <c r="C2825" s="77" t="s">
        <v>207</v>
      </c>
      <c r="D2825" s="71" t="s">
        <v>160</v>
      </c>
      <c r="F2825" s="70">
        <f t="shared" si="88"/>
        <v>1989</v>
      </c>
      <c r="G2825" s="70" t="s">
        <v>159</v>
      </c>
      <c r="H2825" s="70" t="str">
        <f t="shared" si="89"/>
        <v>CKO</v>
      </c>
    </row>
    <row r="2826" spans="1:8" ht="15" x14ac:dyDescent="0.25">
      <c r="A2826" s="79" t="s">
        <v>168</v>
      </c>
      <c r="B2826" s="78">
        <v>2017</v>
      </c>
      <c r="C2826" s="77" t="s">
        <v>153</v>
      </c>
      <c r="D2826" s="71" t="s">
        <v>160</v>
      </c>
      <c r="F2826" s="70">
        <f t="shared" si="88"/>
        <v>2017</v>
      </c>
      <c r="G2826" s="70" t="s">
        <v>159</v>
      </c>
      <c r="H2826" s="70" t="str">
        <f t="shared" si="89"/>
        <v>CKO</v>
      </c>
    </row>
    <row r="2827" spans="1:8" ht="15" x14ac:dyDescent="0.25">
      <c r="A2827" s="79" t="s">
        <v>168</v>
      </c>
      <c r="B2827" s="78">
        <v>1986</v>
      </c>
      <c r="C2827" s="77" t="s">
        <v>206</v>
      </c>
      <c r="D2827" s="71" t="s">
        <v>160</v>
      </c>
      <c r="F2827" s="70">
        <f t="shared" si="88"/>
        <v>1986</v>
      </c>
      <c r="G2827" s="70" t="s">
        <v>159</v>
      </c>
      <c r="H2827" s="70" t="str">
        <f t="shared" si="89"/>
        <v>CKO</v>
      </c>
    </row>
    <row r="2828" spans="1:8" ht="15" x14ac:dyDescent="0.25">
      <c r="A2828" s="79" t="s">
        <v>168</v>
      </c>
      <c r="B2828" s="78">
        <v>1986</v>
      </c>
      <c r="C2828" s="77" t="s">
        <v>205</v>
      </c>
      <c r="D2828" s="71" t="s">
        <v>160</v>
      </c>
      <c r="F2828" s="70">
        <f t="shared" si="88"/>
        <v>1986</v>
      </c>
      <c r="G2828" s="70" t="s">
        <v>159</v>
      </c>
      <c r="H2828" s="70" t="str">
        <f t="shared" si="89"/>
        <v>CKO</v>
      </c>
    </row>
    <row r="2829" spans="1:8" ht="15" x14ac:dyDescent="0.25">
      <c r="A2829" s="79" t="s">
        <v>168</v>
      </c>
      <c r="B2829" s="78">
        <v>2014</v>
      </c>
      <c r="C2829" s="77" t="s">
        <v>204</v>
      </c>
      <c r="D2829" s="71" t="s">
        <v>160</v>
      </c>
      <c r="F2829" s="70">
        <f t="shared" si="88"/>
        <v>2014</v>
      </c>
      <c r="G2829" s="70" t="s">
        <v>159</v>
      </c>
      <c r="H2829" s="70" t="str">
        <f t="shared" si="89"/>
        <v>CKO</v>
      </c>
    </row>
    <row r="2830" spans="1:8" ht="15" x14ac:dyDescent="0.25">
      <c r="A2830" s="79" t="s">
        <v>168</v>
      </c>
      <c r="B2830" s="78">
        <v>1990</v>
      </c>
      <c r="C2830" s="77" t="s">
        <v>203</v>
      </c>
      <c r="D2830" s="71" t="s">
        <v>160</v>
      </c>
      <c r="F2830" s="70">
        <f t="shared" si="88"/>
        <v>1990</v>
      </c>
      <c r="G2830" s="70" t="s">
        <v>159</v>
      </c>
      <c r="H2830" s="70" t="str">
        <f t="shared" si="89"/>
        <v>CKO</v>
      </c>
    </row>
    <row r="2831" spans="1:8" ht="15" x14ac:dyDescent="0.25">
      <c r="A2831" s="79" t="s">
        <v>168</v>
      </c>
      <c r="B2831" s="78">
        <v>2018</v>
      </c>
      <c r="C2831" s="77" t="s">
        <v>202</v>
      </c>
      <c r="D2831" s="71" t="s">
        <v>160</v>
      </c>
      <c r="F2831" s="70">
        <f t="shared" si="88"/>
        <v>2018</v>
      </c>
      <c r="G2831" s="70" t="s">
        <v>159</v>
      </c>
      <c r="H2831" s="70" t="str">
        <f t="shared" si="89"/>
        <v>CKO</v>
      </c>
    </row>
    <row r="2832" spans="1:8" ht="15" x14ac:dyDescent="0.25">
      <c r="A2832" s="79" t="s">
        <v>168</v>
      </c>
      <c r="B2832" s="78">
        <v>2018</v>
      </c>
      <c r="C2832" s="77" t="s">
        <v>157</v>
      </c>
      <c r="D2832" s="71" t="s">
        <v>160</v>
      </c>
      <c r="F2832" s="70">
        <f t="shared" si="88"/>
        <v>2018</v>
      </c>
      <c r="G2832" s="70" t="s">
        <v>159</v>
      </c>
      <c r="H2832" s="70" t="str">
        <f t="shared" si="89"/>
        <v>CKO</v>
      </c>
    </row>
    <row r="2833" spans="1:8" ht="15" x14ac:dyDescent="0.25">
      <c r="A2833" s="79" t="s">
        <v>168</v>
      </c>
      <c r="B2833" s="78">
        <v>2018</v>
      </c>
      <c r="C2833" s="77" t="s">
        <v>201</v>
      </c>
      <c r="D2833" s="71" t="s">
        <v>160</v>
      </c>
      <c r="F2833" s="70">
        <f t="shared" si="88"/>
        <v>2018</v>
      </c>
      <c r="G2833" s="70" t="s">
        <v>159</v>
      </c>
      <c r="H2833" s="70" t="str">
        <f t="shared" si="89"/>
        <v>CKO</v>
      </c>
    </row>
    <row r="2834" spans="1:8" ht="15" x14ac:dyDescent="0.25">
      <c r="A2834" s="79" t="s">
        <v>168</v>
      </c>
      <c r="B2834" s="78">
        <v>2017</v>
      </c>
      <c r="C2834" s="77" t="s">
        <v>154</v>
      </c>
      <c r="D2834" s="71" t="s">
        <v>160</v>
      </c>
      <c r="F2834" s="70">
        <f t="shared" si="88"/>
        <v>2017</v>
      </c>
      <c r="G2834" s="70" t="s">
        <v>159</v>
      </c>
      <c r="H2834" s="70" t="str">
        <f t="shared" si="89"/>
        <v>CKO</v>
      </c>
    </row>
    <row r="2835" spans="1:8" ht="15" x14ac:dyDescent="0.25">
      <c r="A2835" s="68" t="s">
        <v>168</v>
      </c>
      <c r="B2835" s="68">
        <v>1987</v>
      </c>
      <c r="C2835" s="76" t="s">
        <v>200</v>
      </c>
      <c r="D2835" s="71" t="s">
        <v>160</v>
      </c>
      <c r="F2835" s="70">
        <f t="shared" si="88"/>
        <v>1987</v>
      </c>
      <c r="G2835" s="70" t="s">
        <v>159</v>
      </c>
      <c r="H2835" s="70" t="str">
        <f t="shared" si="89"/>
        <v>CKO</v>
      </c>
    </row>
    <row r="2836" spans="1:8" ht="15" x14ac:dyDescent="0.25">
      <c r="A2836" s="68" t="s">
        <v>168</v>
      </c>
      <c r="B2836" s="68">
        <v>1987</v>
      </c>
      <c r="C2836" s="76" t="s">
        <v>199</v>
      </c>
      <c r="D2836" s="71" t="s">
        <v>160</v>
      </c>
      <c r="F2836" s="70">
        <f t="shared" si="88"/>
        <v>1987</v>
      </c>
      <c r="G2836" s="70" t="s">
        <v>159</v>
      </c>
      <c r="H2836" s="70" t="str">
        <f t="shared" si="89"/>
        <v>CKO</v>
      </c>
    </row>
    <row r="2837" spans="1:8" ht="15" x14ac:dyDescent="0.25">
      <c r="A2837" s="68" t="s">
        <v>168</v>
      </c>
      <c r="B2837" s="68">
        <v>1987</v>
      </c>
      <c r="C2837" s="76" t="s">
        <v>198</v>
      </c>
      <c r="D2837" s="71" t="s">
        <v>160</v>
      </c>
      <c r="F2837" s="70">
        <f t="shared" si="88"/>
        <v>1987</v>
      </c>
      <c r="G2837" s="70" t="s">
        <v>159</v>
      </c>
      <c r="H2837" s="70" t="str">
        <f t="shared" si="89"/>
        <v>CKO</v>
      </c>
    </row>
    <row r="2838" spans="1:8" ht="15" x14ac:dyDescent="0.25">
      <c r="A2838" s="68" t="s">
        <v>168</v>
      </c>
      <c r="B2838" s="68">
        <v>2019</v>
      </c>
      <c r="C2838" s="76" t="s">
        <v>197</v>
      </c>
      <c r="D2838" s="71" t="s">
        <v>160</v>
      </c>
      <c r="F2838" s="70">
        <f t="shared" si="88"/>
        <v>2019</v>
      </c>
      <c r="G2838" s="70" t="s">
        <v>159</v>
      </c>
      <c r="H2838" s="70" t="str">
        <f t="shared" si="89"/>
        <v>CKO</v>
      </c>
    </row>
    <row r="2839" spans="1:8" ht="15" x14ac:dyDescent="0.25">
      <c r="A2839" s="68" t="s">
        <v>168</v>
      </c>
      <c r="B2839" s="68">
        <v>2017</v>
      </c>
      <c r="C2839" s="76" t="s">
        <v>196</v>
      </c>
      <c r="D2839" s="71" t="s">
        <v>160</v>
      </c>
      <c r="F2839" s="70">
        <f t="shared" si="88"/>
        <v>2017</v>
      </c>
      <c r="G2839" s="70" t="s">
        <v>159</v>
      </c>
      <c r="H2839" s="70" t="str">
        <f t="shared" si="89"/>
        <v>CKO</v>
      </c>
    </row>
    <row r="2840" spans="1:8" ht="15" x14ac:dyDescent="0.25">
      <c r="A2840" s="68" t="s">
        <v>168</v>
      </c>
      <c r="B2840" s="68">
        <v>2018</v>
      </c>
      <c r="C2840" s="76" t="s">
        <v>195</v>
      </c>
      <c r="D2840" s="71" t="s">
        <v>160</v>
      </c>
      <c r="F2840" s="70">
        <f t="shared" si="88"/>
        <v>2018</v>
      </c>
      <c r="G2840" s="70" t="s">
        <v>159</v>
      </c>
      <c r="H2840" s="70" t="str">
        <f t="shared" si="89"/>
        <v>CKO</v>
      </c>
    </row>
    <row r="2841" spans="1:8" ht="15" x14ac:dyDescent="0.25">
      <c r="A2841" s="68" t="s">
        <v>168</v>
      </c>
      <c r="B2841" s="68">
        <v>2015</v>
      </c>
      <c r="C2841" s="76" t="s">
        <v>194</v>
      </c>
      <c r="D2841" s="71" t="s">
        <v>160</v>
      </c>
      <c r="F2841" s="70">
        <f t="shared" si="88"/>
        <v>2015</v>
      </c>
      <c r="G2841" s="70" t="s">
        <v>159</v>
      </c>
      <c r="H2841" s="70" t="str">
        <f t="shared" si="89"/>
        <v>CKO</v>
      </c>
    </row>
    <row r="2842" spans="1:8" ht="15" x14ac:dyDescent="0.25">
      <c r="A2842" s="68" t="s">
        <v>168</v>
      </c>
      <c r="B2842" s="68">
        <v>2017</v>
      </c>
      <c r="C2842" s="76" t="s">
        <v>155</v>
      </c>
      <c r="D2842" s="71" t="s">
        <v>160</v>
      </c>
      <c r="F2842" s="70">
        <f t="shared" si="88"/>
        <v>2017</v>
      </c>
      <c r="G2842" s="70" t="s">
        <v>159</v>
      </c>
      <c r="H2842" s="70" t="str">
        <f t="shared" si="89"/>
        <v>CKO</v>
      </c>
    </row>
    <row r="2843" spans="1:8" ht="15" x14ac:dyDescent="0.25">
      <c r="A2843" s="68" t="s">
        <v>168</v>
      </c>
      <c r="B2843" s="68">
        <v>1986</v>
      </c>
      <c r="C2843" s="76" t="s">
        <v>193</v>
      </c>
      <c r="D2843" s="71" t="s">
        <v>160</v>
      </c>
      <c r="F2843" s="70">
        <f t="shared" si="88"/>
        <v>1986</v>
      </c>
      <c r="G2843" s="70" t="s">
        <v>159</v>
      </c>
      <c r="H2843" s="70" t="str">
        <f t="shared" si="89"/>
        <v>CKO</v>
      </c>
    </row>
    <row r="2844" spans="1:8" ht="15" x14ac:dyDescent="0.25">
      <c r="A2844" s="68" t="s">
        <v>168</v>
      </c>
      <c r="B2844" s="68">
        <v>1986</v>
      </c>
      <c r="C2844" s="76" t="s">
        <v>192</v>
      </c>
      <c r="D2844" s="71" t="s">
        <v>160</v>
      </c>
      <c r="F2844" s="70">
        <f t="shared" si="88"/>
        <v>1986</v>
      </c>
      <c r="G2844" s="70" t="s">
        <v>159</v>
      </c>
      <c r="H2844" s="70" t="str">
        <f t="shared" si="89"/>
        <v>CKO</v>
      </c>
    </row>
    <row r="2845" spans="1:8" ht="15" x14ac:dyDescent="0.25">
      <c r="A2845" s="68" t="s">
        <v>168</v>
      </c>
      <c r="B2845" s="68">
        <v>1986</v>
      </c>
      <c r="C2845" s="76" t="s">
        <v>191</v>
      </c>
      <c r="D2845" s="71" t="s">
        <v>160</v>
      </c>
      <c r="F2845" s="70">
        <f t="shared" si="88"/>
        <v>1986</v>
      </c>
      <c r="G2845" s="70" t="s">
        <v>159</v>
      </c>
      <c r="H2845" s="70" t="str">
        <f t="shared" si="89"/>
        <v>CKO</v>
      </c>
    </row>
    <row r="2846" spans="1:8" ht="15" x14ac:dyDescent="0.25">
      <c r="A2846" s="68" t="s">
        <v>168</v>
      </c>
      <c r="B2846" s="68">
        <v>1990</v>
      </c>
      <c r="C2846" s="76" t="s">
        <v>190</v>
      </c>
      <c r="D2846" s="71" t="s">
        <v>160</v>
      </c>
      <c r="F2846" s="70">
        <f t="shared" si="88"/>
        <v>1990</v>
      </c>
      <c r="G2846" s="70" t="s">
        <v>159</v>
      </c>
      <c r="H2846" s="70" t="str">
        <f t="shared" si="89"/>
        <v>CKO</v>
      </c>
    </row>
    <row r="2847" spans="1:8" ht="15" x14ac:dyDescent="0.25">
      <c r="A2847" s="68" t="s">
        <v>168</v>
      </c>
      <c r="B2847" s="68">
        <v>1986</v>
      </c>
      <c r="C2847" s="76" t="s">
        <v>189</v>
      </c>
      <c r="D2847" s="71" t="s">
        <v>160</v>
      </c>
      <c r="F2847" s="70">
        <f t="shared" si="88"/>
        <v>1986</v>
      </c>
      <c r="G2847" s="70" t="s">
        <v>159</v>
      </c>
      <c r="H2847" s="70" t="str">
        <f t="shared" si="89"/>
        <v>CKO</v>
      </c>
    </row>
    <row r="2848" spans="1:8" ht="15" x14ac:dyDescent="0.25">
      <c r="A2848" s="68" t="s">
        <v>168</v>
      </c>
      <c r="B2848" s="68">
        <v>1990</v>
      </c>
      <c r="C2848" s="76" t="s">
        <v>188</v>
      </c>
      <c r="D2848" s="71" t="s">
        <v>160</v>
      </c>
      <c r="F2848" s="70">
        <f t="shared" si="88"/>
        <v>1990</v>
      </c>
      <c r="G2848" s="70" t="s">
        <v>159</v>
      </c>
      <c r="H2848" s="70" t="str">
        <f t="shared" si="89"/>
        <v>CKO</v>
      </c>
    </row>
    <row r="2849" spans="1:8" ht="15" x14ac:dyDescent="0.25">
      <c r="A2849" s="68" t="s">
        <v>168</v>
      </c>
      <c r="B2849" s="68">
        <v>1988</v>
      </c>
      <c r="C2849" s="76" t="s">
        <v>187</v>
      </c>
      <c r="D2849" s="71" t="s">
        <v>160</v>
      </c>
      <c r="F2849" s="70">
        <f t="shared" si="88"/>
        <v>1988</v>
      </c>
      <c r="G2849" s="70" t="s">
        <v>159</v>
      </c>
      <c r="H2849" s="70" t="str">
        <f t="shared" si="89"/>
        <v>CKO</v>
      </c>
    </row>
    <row r="2850" spans="1:8" ht="15" x14ac:dyDescent="0.25">
      <c r="A2850" s="68" t="s">
        <v>168</v>
      </c>
      <c r="B2850" s="68">
        <v>1986</v>
      </c>
      <c r="C2850" s="76" t="s">
        <v>186</v>
      </c>
      <c r="D2850" s="71" t="s">
        <v>160</v>
      </c>
      <c r="F2850" s="70">
        <f t="shared" si="88"/>
        <v>1986</v>
      </c>
      <c r="G2850" s="70" t="s">
        <v>159</v>
      </c>
      <c r="H2850" s="70" t="str">
        <f t="shared" si="89"/>
        <v>CKO</v>
      </c>
    </row>
    <row r="2851" spans="1:8" ht="15" x14ac:dyDescent="0.25">
      <c r="A2851" s="68" t="s">
        <v>168</v>
      </c>
      <c r="B2851" s="68">
        <v>1990</v>
      </c>
      <c r="C2851" s="76" t="s">
        <v>185</v>
      </c>
      <c r="D2851" s="71" t="s">
        <v>160</v>
      </c>
      <c r="F2851" s="70">
        <f t="shared" si="88"/>
        <v>1990</v>
      </c>
      <c r="G2851" s="70" t="s">
        <v>159</v>
      </c>
      <c r="H2851" s="70" t="str">
        <f t="shared" si="89"/>
        <v>CKO</v>
      </c>
    </row>
    <row r="2852" spans="1:8" ht="15" x14ac:dyDescent="0.25">
      <c r="A2852" s="68" t="s">
        <v>168</v>
      </c>
      <c r="B2852" s="68">
        <v>1988</v>
      </c>
      <c r="C2852" s="76" t="s">
        <v>184</v>
      </c>
      <c r="D2852" s="71" t="s">
        <v>160</v>
      </c>
      <c r="F2852" s="70">
        <f t="shared" si="88"/>
        <v>1988</v>
      </c>
      <c r="G2852" s="70" t="s">
        <v>159</v>
      </c>
      <c r="H2852" s="70" t="str">
        <f t="shared" si="89"/>
        <v>CKO</v>
      </c>
    </row>
    <row r="2853" spans="1:8" ht="15" x14ac:dyDescent="0.25">
      <c r="A2853" s="68" t="s">
        <v>168</v>
      </c>
      <c r="B2853" s="68">
        <v>2015</v>
      </c>
      <c r="C2853" s="76" t="s">
        <v>183</v>
      </c>
      <c r="D2853" s="71" t="s">
        <v>160</v>
      </c>
      <c r="F2853" s="70">
        <f t="shared" si="88"/>
        <v>2015</v>
      </c>
      <c r="G2853" s="70" t="s">
        <v>159</v>
      </c>
      <c r="H2853" s="70" t="str">
        <f t="shared" si="89"/>
        <v>CKO</v>
      </c>
    </row>
    <row r="2854" spans="1:8" ht="15" x14ac:dyDescent="0.25">
      <c r="A2854" s="68" t="s">
        <v>168</v>
      </c>
      <c r="B2854" s="68">
        <v>2014</v>
      </c>
      <c r="C2854" s="76" t="s">
        <v>182</v>
      </c>
      <c r="D2854" s="71" t="s">
        <v>160</v>
      </c>
      <c r="F2854" s="70">
        <f t="shared" si="88"/>
        <v>2014</v>
      </c>
      <c r="G2854" s="70" t="s">
        <v>159</v>
      </c>
      <c r="H2854" s="70" t="str">
        <f t="shared" si="89"/>
        <v>CKO</v>
      </c>
    </row>
    <row r="2855" spans="1:8" ht="15" x14ac:dyDescent="0.25">
      <c r="A2855" s="68" t="s">
        <v>168</v>
      </c>
      <c r="B2855" s="68">
        <v>2014</v>
      </c>
      <c r="C2855" s="76" t="s">
        <v>181</v>
      </c>
      <c r="D2855" s="71" t="s">
        <v>160</v>
      </c>
      <c r="F2855" s="70">
        <f t="shared" si="88"/>
        <v>2014</v>
      </c>
      <c r="G2855" s="70" t="s">
        <v>159</v>
      </c>
      <c r="H2855" s="70" t="str">
        <f t="shared" si="89"/>
        <v>CKO</v>
      </c>
    </row>
    <row r="2856" spans="1:8" ht="15" x14ac:dyDescent="0.25">
      <c r="A2856" s="68" t="s">
        <v>168</v>
      </c>
      <c r="B2856" s="68">
        <v>2016</v>
      </c>
      <c r="C2856" s="76" t="s">
        <v>180</v>
      </c>
      <c r="D2856" s="71" t="s">
        <v>160</v>
      </c>
      <c r="F2856" s="70">
        <f t="shared" si="88"/>
        <v>2016</v>
      </c>
      <c r="G2856" s="70" t="s">
        <v>159</v>
      </c>
      <c r="H2856" s="70" t="str">
        <f t="shared" si="89"/>
        <v>CKO</v>
      </c>
    </row>
    <row r="2857" spans="1:8" ht="15" x14ac:dyDescent="0.25">
      <c r="A2857" s="68" t="s">
        <v>168</v>
      </c>
      <c r="B2857" s="68">
        <v>1990</v>
      </c>
      <c r="C2857" s="76" t="s">
        <v>179</v>
      </c>
      <c r="D2857" s="71" t="s">
        <v>160</v>
      </c>
      <c r="F2857" s="70">
        <f t="shared" si="88"/>
        <v>1990</v>
      </c>
      <c r="G2857" s="70" t="s">
        <v>159</v>
      </c>
      <c r="H2857" s="70" t="str">
        <f t="shared" si="89"/>
        <v>CKO</v>
      </c>
    </row>
    <row r="2858" spans="1:8" ht="15" x14ac:dyDescent="0.25">
      <c r="A2858" s="68" t="s">
        <v>168</v>
      </c>
      <c r="B2858" s="68">
        <v>2015</v>
      </c>
      <c r="C2858" s="76" t="s">
        <v>178</v>
      </c>
      <c r="D2858" s="71" t="s">
        <v>160</v>
      </c>
      <c r="F2858" s="70">
        <f t="shared" si="88"/>
        <v>2015</v>
      </c>
      <c r="G2858" s="70" t="s">
        <v>159</v>
      </c>
      <c r="H2858" s="70" t="str">
        <f t="shared" si="89"/>
        <v>CKO</v>
      </c>
    </row>
    <row r="2859" spans="1:8" ht="15" x14ac:dyDescent="0.25">
      <c r="A2859" s="68" t="s">
        <v>168</v>
      </c>
      <c r="B2859" s="68">
        <v>1990</v>
      </c>
      <c r="C2859" s="76" t="s">
        <v>177</v>
      </c>
      <c r="D2859" s="71" t="s">
        <v>160</v>
      </c>
      <c r="F2859" s="70">
        <f t="shared" si="88"/>
        <v>1990</v>
      </c>
      <c r="G2859" s="70" t="s">
        <v>159</v>
      </c>
      <c r="H2859" s="70" t="str">
        <f t="shared" si="89"/>
        <v>CKO</v>
      </c>
    </row>
    <row r="2860" spans="1:8" ht="15" x14ac:dyDescent="0.25">
      <c r="A2860" s="68" t="s">
        <v>168</v>
      </c>
      <c r="B2860" s="68">
        <v>2015</v>
      </c>
      <c r="C2860" s="76" t="s">
        <v>176</v>
      </c>
      <c r="D2860" s="71" t="s">
        <v>160</v>
      </c>
      <c r="F2860" s="70">
        <f t="shared" si="88"/>
        <v>2015</v>
      </c>
      <c r="G2860" s="70" t="s">
        <v>159</v>
      </c>
      <c r="H2860" s="70" t="str">
        <f t="shared" si="89"/>
        <v>CKO</v>
      </c>
    </row>
    <row r="2861" spans="1:8" ht="15" x14ac:dyDescent="0.25">
      <c r="A2861" s="68" t="s">
        <v>168</v>
      </c>
      <c r="B2861" s="68">
        <v>2015</v>
      </c>
      <c r="C2861" s="76" t="s">
        <v>175</v>
      </c>
      <c r="D2861" s="71" t="s">
        <v>160</v>
      </c>
      <c r="F2861" s="70">
        <f t="shared" si="88"/>
        <v>2015</v>
      </c>
      <c r="G2861" s="70" t="s">
        <v>159</v>
      </c>
      <c r="H2861" s="70" t="str">
        <f t="shared" si="89"/>
        <v>CKO</v>
      </c>
    </row>
    <row r="2862" spans="1:8" ht="15" x14ac:dyDescent="0.25">
      <c r="A2862" s="68" t="s">
        <v>168</v>
      </c>
      <c r="B2862" s="68">
        <v>1990</v>
      </c>
      <c r="C2862" s="76" t="s">
        <v>174</v>
      </c>
      <c r="D2862" s="71" t="s">
        <v>160</v>
      </c>
      <c r="F2862" s="70">
        <f t="shared" si="88"/>
        <v>1990</v>
      </c>
      <c r="G2862" s="70" t="s">
        <v>159</v>
      </c>
      <c r="H2862" s="70" t="str">
        <f t="shared" si="89"/>
        <v>CKO</v>
      </c>
    </row>
    <row r="2863" spans="1:8" ht="15" x14ac:dyDescent="0.25">
      <c r="A2863" s="68" t="s">
        <v>168</v>
      </c>
      <c r="B2863" s="68">
        <v>1990</v>
      </c>
      <c r="C2863" s="76" t="s">
        <v>173</v>
      </c>
      <c r="D2863" s="71" t="s">
        <v>160</v>
      </c>
      <c r="F2863" s="70">
        <f t="shared" si="88"/>
        <v>1990</v>
      </c>
      <c r="G2863" s="70" t="s">
        <v>159</v>
      </c>
      <c r="H2863" s="70" t="str">
        <f t="shared" si="89"/>
        <v>CKO</v>
      </c>
    </row>
    <row r="2864" spans="1:8" ht="15" x14ac:dyDescent="0.25">
      <c r="A2864" s="68" t="s">
        <v>168</v>
      </c>
      <c r="B2864" s="68">
        <v>1989</v>
      </c>
      <c r="C2864" s="76" t="s">
        <v>172</v>
      </c>
      <c r="D2864" s="71" t="s">
        <v>160</v>
      </c>
      <c r="F2864" s="70">
        <f t="shared" si="88"/>
        <v>1989</v>
      </c>
      <c r="G2864" s="70" t="s">
        <v>159</v>
      </c>
      <c r="H2864" s="70" t="str">
        <f t="shared" si="89"/>
        <v>CKO</v>
      </c>
    </row>
    <row r="2865" spans="1:8" ht="15" x14ac:dyDescent="0.25">
      <c r="A2865" s="68" t="s">
        <v>168</v>
      </c>
      <c r="B2865" s="68">
        <v>2015</v>
      </c>
      <c r="C2865" s="76" t="s">
        <v>171</v>
      </c>
      <c r="D2865" s="71" t="s">
        <v>160</v>
      </c>
      <c r="F2865" s="70">
        <f t="shared" si="88"/>
        <v>2015</v>
      </c>
      <c r="G2865" s="70" t="s">
        <v>159</v>
      </c>
      <c r="H2865" s="70" t="str">
        <f t="shared" si="89"/>
        <v>CKO</v>
      </c>
    </row>
    <row r="2866" spans="1:8" ht="15" x14ac:dyDescent="0.25">
      <c r="A2866" s="68" t="s">
        <v>168</v>
      </c>
      <c r="B2866" s="68">
        <v>2016</v>
      </c>
      <c r="C2866" s="76" t="s">
        <v>158</v>
      </c>
      <c r="D2866" s="71" t="s">
        <v>160</v>
      </c>
      <c r="F2866" s="70">
        <f t="shared" si="88"/>
        <v>2016</v>
      </c>
      <c r="G2866" s="70" t="s">
        <v>159</v>
      </c>
      <c r="H2866" s="70" t="str">
        <f t="shared" si="89"/>
        <v>CKO</v>
      </c>
    </row>
    <row r="2867" spans="1:8" ht="15" x14ac:dyDescent="0.25">
      <c r="A2867" s="68" t="s">
        <v>168</v>
      </c>
      <c r="B2867" s="68">
        <v>2017</v>
      </c>
      <c r="C2867" s="76" t="s">
        <v>156</v>
      </c>
      <c r="D2867" s="71" t="s">
        <v>160</v>
      </c>
      <c r="F2867" s="70">
        <f t="shared" si="88"/>
        <v>2017</v>
      </c>
      <c r="G2867" s="70" t="s">
        <v>159</v>
      </c>
      <c r="H2867" s="70" t="str">
        <f t="shared" si="89"/>
        <v>CKO</v>
      </c>
    </row>
    <row r="2868" spans="1:8" ht="15" x14ac:dyDescent="0.25">
      <c r="A2868" s="68" t="s">
        <v>168</v>
      </c>
      <c r="B2868" s="68">
        <v>2015</v>
      </c>
      <c r="C2868" s="76" t="s">
        <v>170</v>
      </c>
      <c r="D2868" s="71" t="s">
        <v>160</v>
      </c>
      <c r="F2868" s="70">
        <f t="shared" si="88"/>
        <v>2015</v>
      </c>
      <c r="G2868" s="70" t="s">
        <v>159</v>
      </c>
      <c r="H2868" s="70" t="str">
        <f t="shared" si="89"/>
        <v>CKO</v>
      </c>
    </row>
    <row r="2869" spans="1:8" ht="15" x14ac:dyDescent="0.25">
      <c r="A2869" s="68" t="s">
        <v>168</v>
      </c>
      <c r="B2869" s="68">
        <v>2015</v>
      </c>
      <c r="C2869" s="76" t="s">
        <v>169</v>
      </c>
      <c r="D2869" s="71" t="s">
        <v>160</v>
      </c>
      <c r="F2869" s="70">
        <f t="shared" si="88"/>
        <v>2015</v>
      </c>
      <c r="G2869" s="70" t="s">
        <v>159</v>
      </c>
      <c r="H2869" s="70" t="str">
        <f t="shared" si="89"/>
        <v>CKO</v>
      </c>
    </row>
    <row r="2870" spans="1:8" ht="15" x14ac:dyDescent="0.25">
      <c r="A2870" s="68" t="s">
        <v>168</v>
      </c>
      <c r="B2870" s="68">
        <v>2016</v>
      </c>
      <c r="C2870" s="76" t="s">
        <v>167</v>
      </c>
      <c r="D2870" s="71" t="s">
        <v>160</v>
      </c>
      <c r="F2870" s="70">
        <f t="shared" si="88"/>
        <v>2016</v>
      </c>
      <c r="G2870" s="70" t="s">
        <v>159</v>
      </c>
      <c r="H2870" s="70" t="str">
        <f t="shared" si="89"/>
        <v>CKO</v>
      </c>
    </row>
    <row r="2871" spans="1:8" ht="15" x14ac:dyDescent="0.25">
      <c r="A2871" s="75" t="s">
        <v>164</v>
      </c>
      <c r="B2871" s="75">
        <v>2019</v>
      </c>
      <c r="C2871" s="74" t="s">
        <v>166</v>
      </c>
      <c r="D2871" s="71" t="s">
        <v>160</v>
      </c>
      <c r="F2871" s="70">
        <f t="shared" si="88"/>
        <v>2019</v>
      </c>
      <c r="G2871" s="70" t="s">
        <v>159</v>
      </c>
      <c r="H2871" s="70" t="str">
        <f t="shared" si="89"/>
        <v>NIC</v>
      </c>
    </row>
    <row r="2872" spans="1:8" ht="15" x14ac:dyDescent="0.25">
      <c r="A2872" s="73" t="s">
        <v>164</v>
      </c>
      <c r="B2872" s="73">
        <v>2019</v>
      </c>
      <c r="C2872" s="72" t="s">
        <v>165</v>
      </c>
      <c r="D2872" s="71" t="s">
        <v>160</v>
      </c>
      <c r="F2872" s="70">
        <f t="shared" si="88"/>
        <v>2019</v>
      </c>
      <c r="G2872" s="70" t="s">
        <v>159</v>
      </c>
      <c r="H2872" s="70" t="str">
        <f t="shared" si="89"/>
        <v>NIC</v>
      </c>
    </row>
    <row r="2873" spans="1:8" ht="15" x14ac:dyDescent="0.25">
      <c r="A2873" s="73" t="s">
        <v>164</v>
      </c>
      <c r="B2873" s="73">
        <v>2019</v>
      </c>
      <c r="C2873" s="72" t="s">
        <v>163</v>
      </c>
      <c r="D2873" s="71" t="s">
        <v>160</v>
      </c>
      <c r="F2873" s="70">
        <f t="shared" si="88"/>
        <v>2019</v>
      </c>
      <c r="G2873" s="70" t="s">
        <v>159</v>
      </c>
      <c r="H2873" s="70" t="str">
        <f t="shared" si="89"/>
        <v>NIC</v>
      </c>
    </row>
    <row r="2874" spans="1:8" ht="15" x14ac:dyDescent="0.25">
      <c r="A2874" s="73" t="s">
        <v>162</v>
      </c>
      <c r="B2874" s="73">
        <v>2019</v>
      </c>
      <c r="C2874" s="72" t="s">
        <v>161</v>
      </c>
      <c r="D2874" s="71" t="s">
        <v>160</v>
      </c>
      <c r="F2874" s="70">
        <f t="shared" si="88"/>
        <v>2019</v>
      </c>
      <c r="G2874" s="70" t="s">
        <v>159</v>
      </c>
      <c r="H2874" s="70" t="str">
        <f t="shared" si="89"/>
        <v>SHU</v>
      </c>
    </row>
  </sheetData>
  <autoFilter ref="A7:H2874" xr:uid="{00000000-0009-0000-0000-000007000000}"/>
  <pageMargins left="0.75" right="0.75" top="1" bottom="1" header="0.5" footer="0.5"/>
  <pageSetup orientation="portrait" r:id="rId1"/>
  <headerFooter alignWithMargins="0">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Esc by age data</vt:lpstr>
      <vt:lpstr>Corrected Esc by age</vt:lpstr>
      <vt:lpstr>Esc Age for Study Design</vt:lpstr>
      <vt:lpstr>Scale-CWT correction factors</vt:lpstr>
      <vt:lpstr>Age-specific Escapement Sum</vt:lpstr>
      <vt:lpstr>Notes</vt:lpstr>
      <vt:lpstr>Sheet1</vt:lpstr>
      <vt:lpstr>Cdn CWTs for ERA in 2021</vt:lpstr>
    </vt:vector>
  </TitlesOfParts>
  <Company>dfo-mpo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DFO</dc:creator>
  <cp:lastModifiedBy>Bailey, Colin (DFO/MPO)</cp:lastModifiedBy>
  <dcterms:created xsi:type="dcterms:W3CDTF">2013-02-27T23:11:53Z</dcterms:created>
  <dcterms:modified xsi:type="dcterms:W3CDTF">2025-12-16T16:33:16Z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2025-12-16T16:33:03Z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18517a29-bb4e-433a-befb-d92215ab11d0</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