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Github\FIA-CN-FSRR-FSAR\data\ctc\"/>
    </mc:Choice>
  </mc:AlternateContent>
  <xr:revisionPtr revIDLastSave="0" documentId="13_ncr:1_{45B7AA9A-E74D-4FD2-9597-908523718E7E}" xr6:coauthVersionLast="47" xr6:coauthVersionMax="47" xr10:uidLastSave="{00000000-0000-0000-0000-000000000000}"/>
  <bookViews>
    <workbookView xWindow="-108" yWindow="-108" windowWidth="23256" windowHeight="12456" activeTab="5" xr2:uid="{0D881A0E-FFD4-4CC3-9854-94C1AF18330E}"/>
  </bookViews>
  <sheets>
    <sheet name="Chilliwack (CHI)" sheetId="1" r:id="rId1"/>
    <sheet name="Harrison (HAR)" sheetId="2" r:id="rId2"/>
    <sheet name="Nicola (NIC)" sheetId="3" r:id="rId3"/>
    <sheet name="Lower Shuswap (SHU)" sheetId="4" r:id="rId4"/>
    <sheet name="Middle Shuswap (MSH)" sheetId="5" r:id="rId5"/>
    <sheet name="Dome (DOM)"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9" i="5" l="1"/>
  <c r="D99" i="5"/>
  <c r="E99" i="5"/>
  <c r="F99" i="5"/>
  <c r="G99" i="5"/>
  <c r="H99" i="5"/>
  <c r="I99" i="5"/>
  <c r="J99" i="5"/>
  <c r="K99" i="5"/>
  <c r="L99" i="5"/>
  <c r="M99" i="5"/>
  <c r="N99" i="5"/>
  <c r="O99" i="5"/>
  <c r="P99" i="5"/>
  <c r="Q99" i="5"/>
  <c r="R99" i="5"/>
  <c r="S99" i="5"/>
  <c r="T99" i="5"/>
  <c r="U99" i="5"/>
  <c r="V99" i="5"/>
  <c r="W99" i="5"/>
  <c r="X99" i="5"/>
  <c r="Y99" i="5"/>
  <c r="Z99" i="5"/>
  <c r="AA99" i="5"/>
  <c r="AB99" i="5"/>
  <c r="AC99" i="5"/>
  <c r="C100" i="5"/>
  <c r="D100" i="5"/>
  <c r="E100" i="5"/>
  <c r="F100" i="5"/>
  <c r="G100" i="5"/>
  <c r="H100" i="5"/>
  <c r="I100" i="5"/>
  <c r="J100" i="5"/>
  <c r="K100" i="5"/>
  <c r="L100" i="5"/>
  <c r="M100" i="5"/>
  <c r="N100" i="5"/>
  <c r="O100" i="5"/>
  <c r="P100" i="5"/>
  <c r="Q100" i="5"/>
  <c r="R100" i="5"/>
  <c r="S100" i="5"/>
  <c r="T100" i="5"/>
  <c r="U100" i="5"/>
  <c r="V100" i="5"/>
  <c r="W100" i="5"/>
  <c r="X100" i="5"/>
  <c r="Y100" i="5"/>
  <c r="Z100" i="5"/>
  <c r="AA100" i="5"/>
  <c r="AB100" i="5"/>
  <c r="AC100" i="5"/>
  <c r="C101" i="5"/>
  <c r="D101" i="5"/>
  <c r="E101" i="5"/>
  <c r="F101" i="5"/>
  <c r="G101" i="5"/>
  <c r="H101" i="5"/>
  <c r="I101" i="5"/>
  <c r="J101" i="5"/>
  <c r="K101" i="5"/>
  <c r="L101" i="5"/>
  <c r="M101" i="5"/>
  <c r="N101" i="5"/>
  <c r="O101" i="5"/>
  <c r="P101" i="5"/>
  <c r="Q101" i="5"/>
  <c r="R101" i="5"/>
  <c r="S101" i="5"/>
  <c r="T101" i="5"/>
  <c r="U101" i="5"/>
  <c r="V101" i="5"/>
  <c r="W101" i="5"/>
  <c r="X101" i="5"/>
  <c r="Y101" i="5"/>
  <c r="Z101" i="5"/>
  <c r="AA101" i="5"/>
  <c r="AB101" i="5"/>
  <c r="AC101" i="5"/>
  <c r="C102" i="5"/>
  <c r="D102" i="5"/>
  <c r="E102" i="5"/>
  <c r="F102" i="5"/>
  <c r="G102" i="5"/>
  <c r="H102" i="5"/>
  <c r="I102" i="5"/>
  <c r="J102" i="5"/>
  <c r="K102" i="5"/>
  <c r="L102" i="5"/>
  <c r="M102" i="5"/>
  <c r="N102" i="5"/>
  <c r="O102" i="5"/>
  <c r="P102" i="5"/>
  <c r="Q102" i="5"/>
  <c r="R102" i="5"/>
  <c r="S102" i="5"/>
  <c r="T102" i="5"/>
  <c r="U102" i="5"/>
  <c r="V102" i="5"/>
  <c r="W102" i="5"/>
  <c r="X102" i="5"/>
  <c r="Y102" i="5"/>
  <c r="Z102" i="5"/>
  <c r="AA102" i="5"/>
  <c r="AB102" i="5"/>
  <c r="AC102" i="5"/>
  <c r="C103" i="5"/>
  <c r="D103" i="5"/>
  <c r="E103" i="5"/>
  <c r="F103" i="5"/>
  <c r="G103" i="5"/>
  <c r="H103" i="5"/>
  <c r="I103" i="5"/>
  <c r="J103" i="5"/>
  <c r="K103" i="5"/>
  <c r="L103" i="5"/>
  <c r="M103" i="5"/>
  <c r="N103" i="5"/>
  <c r="O103" i="5"/>
  <c r="P103" i="5"/>
  <c r="Q103" i="5"/>
  <c r="R103" i="5"/>
  <c r="S103" i="5"/>
  <c r="T103" i="5"/>
  <c r="U103" i="5"/>
  <c r="V103" i="5"/>
  <c r="W103" i="5"/>
  <c r="X103" i="5"/>
  <c r="Y103" i="5"/>
  <c r="Z103" i="5"/>
  <c r="AA103" i="5"/>
  <c r="AB103" i="5"/>
  <c r="AC103" i="5"/>
  <c r="C104" i="5"/>
  <c r="D104" i="5"/>
  <c r="E104" i="5"/>
  <c r="F104" i="5"/>
  <c r="G104" i="5"/>
  <c r="H104" i="5"/>
  <c r="I104" i="5"/>
  <c r="J104" i="5"/>
  <c r="K104" i="5"/>
  <c r="L104" i="5"/>
  <c r="M104" i="5"/>
  <c r="N104" i="5"/>
  <c r="O104" i="5"/>
  <c r="P104" i="5"/>
  <c r="Q104" i="5"/>
  <c r="R104" i="5"/>
  <c r="S104" i="5"/>
  <c r="T104" i="5"/>
  <c r="U104" i="5"/>
  <c r="V104" i="5"/>
  <c r="W104" i="5"/>
  <c r="X104" i="5"/>
  <c r="Y104" i="5"/>
  <c r="Z104" i="5"/>
  <c r="AA104" i="5"/>
  <c r="AB104" i="5"/>
  <c r="AC104" i="5"/>
  <c r="C105" i="5"/>
  <c r="D105" i="5"/>
  <c r="E105" i="5"/>
  <c r="F105" i="5"/>
  <c r="G105" i="5"/>
  <c r="H105" i="5"/>
  <c r="I105" i="5"/>
  <c r="J105" i="5"/>
  <c r="K105" i="5"/>
  <c r="L105" i="5"/>
  <c r="M105" i="5"/>
  <c r="N105" i="5"/>
  <c r="O105" i="5"/>
  <c r="P105" i="5"/>
  <c r="Q105" i="5"/>
  <c r="R105" i="5"/>
  <c r="S105" i="5"/>
  <c r="T105" i="5"/>
  <c r="U105" i="5"/>
  <c r="V105" i="5"/>
  <c r="W105" i="5"/>
  <c r="X105" i="5"/>
  <c r="Y105" i="5"/>
  <c r="Z105" i="5"/>
  <c r="AA105" i="5"/>
  <c r="AB105" i="5"/>
  <c r="AC105" i="5"/>
  <c r="C106" i="5"/>
  <c r="D106" i="5"/>
  <c r="E106" i="5"/>
  <c r="F106" i="5"/>
  <c r="G106" i="5"/>
  <c r="H106" i="5"/>
  <c r="I106" i="5"/>
  <c r="J106" i="5"/>
  <c r="K106" i="5"/>
  <c r="L106" i="5"/>
  <c r="M106" i="5"/>
  <c r="N106" i="5"/>
  <c r="O106" i="5"/>
  <c r="P106" i="5"/>
  <c r="Q106" i="5"/>
  <c r="R106" i="5"/>
  <c r="S106" i="5"/>
  <c r="T106" i="5"/>
  <c r="U106" i="5"/>
  <c r="V106" i="5"/>
  <c r="W106" i="5"/>
  <c r="X106" i="5"/>
  <c r="Y106" i="5"/>
  <c r="Z106" i="5"/>
  <c r="AA106" i="5"/>
  <c r="AB106" i="5"/>
  <c r="AC106" i="5"/>
  <c r="C107" i="5"/>
  <c r="D107" i="5"/>
  <c r="E107" i="5"/>
  <c r="F107" i="5"/>
  <c r="G107" i="5"/>
  <c r="H107" i="5"/>
  <c r="I107" i="5"/>
  <c r="J107" i="5"/>
  <c r="K107" i="5"/>
  <c r="L107" i="5"/>
  <c r="M107" i="5"/>
  <c r="N107" i="5"/>
  <c r="O107" i="5"/>
  <c r="P107" i="5"/>
  <c r="Q107" i="5"/>
  <c r="R107" i="5"/>
  <c r="S107" i="5"/>
  <c r="T107" i="5"/>
  <c r="U107" i="5"/>
  <c r="V107" i="5"/>
  <c r="W107" i="5"/>
  <c r="X107" i="5"/>
  <c r="Y107" i="5"/>
  <c r="Z107" i="5"/>
  <c r="AA107" i="5"/>
  <c r="AB107" i="5"/>
  <c r="AC107" i="5"/>
  <c r="C108" i="5"/>
  <c r="D108" i="5"/>
  <c r="E108" i="5"/>
  <c r="F108" i="5"/>
  <c r="G108" i="5"/>
  <c r="H108" i="5"/>
  <c r="I108" i="5"/>
  <c r="J108" i="5"/>
  <c r="K108" i="5"/>
  <c r="L108" i="5"/>
  <c r="M108" i="5"/>
  <c r="N108" i="5"/>
  <c r="O108" i="5"/>
  <c r="P108" i="5"/>
  <c r="Q108" i="5"/>
  <c r="R108" i="5"/>
  <c r="S108" i="5"/>
  <c r="T108" i="5"/>
  <c r="U108" i="5"/>
  <c r="V108" i="5"/>
  <c r="W108" i="5"/>
  <c r="X108" i="5"/>
  <c r="Y108" i="5"/>
  <c r="Z108" i="5"/>
  <c r="AA108" i="5"/>
  <c r="AB108" i="5"/>
  <c r="AC108" i="5"/>
  <c r="C109" i="5"/>
  <c r="D109" i="5"/>
  <c r="E109" i="5"/>
  <c r="F109" i="5"/>
  <c r="G109" i="5"/>
  <c r="H109" i="5"/>
  <c r="I109" i="5"/>
  <c r="J109" i="5"/>
  <c r="K109" i="5"/>
  <c r="L109" i="5"/>
  <c r="M109" i="5"/>
  <c r="N109" i="5"/>
  <c r="O109" i="5"/>
  <c r="P109" i="5"/>
  <c r="Q109" i="5"/>
  <c r="R109" i="5"/>
  <c r="S109" i="5"/>
  <c r="T109" i="5"/>
  <c r="U109" i="5"/>
  <c r="V109" i="5"/>
  <c r="W109" i="5"/>
  <c r="X109" i="5"/>
  <c r="Y109" i="5"/>
  <c r="Z109" i="5"/>
  <c r="AA109" i="5"/>
  <c r="AB109" i="5"/>
  <c r="AC109" i="5"/>
  <c r="C110" i="5"/>
  <c r="D110" i="5"/>
  <c r="E110" i="5"/>
  <c r="F110" i="5"/>
  <c r="G110" i="5"/>
  <c r="H110" i="5"/>
  <c r="I110" i="5"/>
  <c r="J110" i="5"/>
  <c r="K110" i="5"/>
  <c r="L110" i="5"/>
  <c r="M110" i="5"/>
  <c r="N110" i="5"/>
  <c r="O110" i="5"/>
  <c r="P110" i="5"/>
  <c r="Q110" i="5"/>
  <c r="R110" i="5"/>
  <c r="S110" i="5"/>
  <c r="T110" i="5"/>
  <c r="U110" i="5"/>
  <c r="V110" i="5"/>
  <c r="W110" i="5"/>
  <c r="X110" i="5"/>
  <c r="Y110" i="5"/>
  <c r="Z110" i="5"/>
  <c r="AA110" i="5"/>
  <c r="AB110" i="5"/>
  <c r="AC110" i="5"/>
  <c r="C111" i="5"/>
  <c r="D111" i="5"/>
  <c r="E111" i="5"/>
  <c r="F111" i="5"/>
  <c r="G111" i="5"/>
  <c r="H111" i="5"/>
  <c r="I111" i="5"/>
  <c r="J111" i="5"/>
  <c r="K111" i="5"/>
  <c r="L111" i="5"/>
  <c r="M111" i="5"/>
  <c r="N111" i="5"/>
  <c r="O111" i="5"/>
  <c r="P111" i="5"/>
  <c r="Q111" i="5"/>
  <c r="R111" i="5"/>
  <c r="S111" i="5"/>
  <c r="T111" i="5"/>
  <c r="U111" i="5"/>
  <c r="V111" i="5"/>
  <c r="W111" i="5"/>
  <c r="X111" i="5"/>
  <c r="Y111" i="5"/>
  <c r="Z111" i="5"/>
  <c r="AA111" i="5"/>
  <c r="AB111" i="5"/>
  <c r="AC111" i="5"/>
  <c r="C112" i="5"/>
  <c r="D112" i="5"/>
  <c r="E112" i="5"/>
  <c r="F112" i="5"/>
  <c r="G112" i="5"/>
  <c r="H112" i="5"/>
  <c r="I112" i="5"/>
  <c r="J112" i="5"/>
  <c r="K112" i="5"/>
  <c r="L112" i="5"/>
  <c r="M112" i="5"/>
  <c r="N112" i="5"/>
  <c r="O112" i="5"/>
  <c r="P112" i="5"/>
  <c r="Q112" i="5"/>
  <c r="R112" i="5"/>
  <c r="S112" i="5"/>
  <c r="T112" i="5"/>
  <c r="U112" i="5"/>
  <c r="V112" i="5"/>
  <c r="W112" i="5"/>
  <c r="X112" i="5"/>
  <c r="Y112" i="5"/>
  <c r="Z112" i="5"/>
  <c r="AA112" i="5"/>
  <c r="AB112" i="5"/>
  <c r="AC112" i="5"/>
  <c r="C113" i="5"/>
  <c r="D113" i="5"/>
  <c r="E113" i="5"/>
  <c r="F113" i="5"/>
  <c r="G113" i="5"/>
  <c r="H113" i="5"/>
  <c r="I113" i="5"/>
  <c r="J113" i="5"/>
  <c r="K113" i="5"/>
  <c r="L113" i="5"/>
  <c r="M113" i="5"/>
  <c r="N113" i="5"/>
  <c r="O113" i="5"/>
  <c r="P113" i="5"/>
  <c r="Q113" i="5"/>
  <c r="R113" i="5"/>
  <c r="S113" i="5"/>
  <c r="T113" i="5"/>
  <c r="U113" i="5"/>
  <c r="V113" i="5"/>
  <c r="W113" i="5"/>
  <c r="X113" i="5"/>
  <c r="Y113" i="5"/>
  <c r="Z113" i="5"/>
  <c r="AA113" i="5"/>
  <c r="AB113" i="5"/>
  <c r="AC113" i="5"/>
  <c r="C114" i="5"/>
  <c r="D114" i="5"/>
  <c r="E114" i="5"/>
  <c r="F114" i="5"/>
  <c r="G114" i="5"/>
  <c r="H114" i="5"/>
  <c r="I114" i="5"/>
  <c r="J114" i="5"/>
  <c r="K114" i="5"/>
  <c r="L114" i="5"/>
  <c r="M114" i="5"/>
  <c r="N114" i="5"/>
  <c r="O114" i="5"/>
  <c r="P114" i="5"/>
  <c r="Q114" i="5"/>
  <c r="R114" i="5"/>
  <c r="S114" i="5"/>
  <c r="T114" i="5"/>
  <c r="U114" i="5"/>
  <c r="V114" i="5"/>
  <c r="W114" i="5"/>
  <c r="X114" i="5"/>
  <c r="Y114" i="5"/>
  <c r="Z114" i="5"/>
  <c r="AA114" i="5"/>
  <c r="AB114" i="5"/>
  <c r="AC114" i="5"/>
  <c r="C120" i="5"/>
  <c r="D120" i="5"/>
  <c r="E120" i="5"/>
  <c r="F120" i="5"/>
  <c r="G120" i="5"/>
  <c r="H120" i="5"/>
  <c r="I120" i="5"/>
  <c r="J120" i="5"/>
  <c r="K120" i="5"/>
  <c r="L120" i="5"/>
  <c r="M120" i="5"/>
  <c r="N120" i="5"/>
  <c r="O120" i="5"/>
  <c r="P120" i="5"/>
  <c r="Q120" i="5"/>
  <c r="R120" i="5"/>
  <c r="S120" i="5"/>
  <c r="T120" i="5"/>
  <c r="U120" i="5"/>
  <c r="V120" i="5"/>
  <c r="W120" i="5"/>
  <c r="X120" i="5"/>
  <c r="Y120" i="5"/>
  <c r="Z120" i="5"/>
  <c r="AA120" i="5"/>
  <c r="AB120" i="5"/>
  <c r="AC120" i="5"/>
  <c r="C121" i="5"/>
  <c r="D121" i="5"/>
  <c r="E121" i="5"/>
  <c r="F121" i="5"/>
  <c r="G121" i="5"/>
  <c r="H121" i="5"/>
  <c r="I121" i="5"/>
  <c r="J121" i="5"/>
  <c r="K121" i="5"/>
  <c r="L121" i="5"/>
  <c r="M121" i="5"/>
  <c r="N121" i="5"/>
  <c r="O121" i="5"/>
  <c r="P121" i="5"/>
  <c r="Q121" i="5"/>
  <c r="R121" i="5"/>
  <c r="S121" i="5"/>
  <c r="T121" i="5"/>
  <c r="U121" i="5"/>
  <c r="V121" i="5"/>
  <c r="W121" i="5"/>
  <c r="X121" i="5"/>
  <c r="Y121" i="5"/>
  <c r="Z121" i="5"/>
  <c r="AA121" i="5"/>
  <c r="AB121" i="5"/>
  <c r="AC121" i="5"/>
  <c r="C122" i="5"/>
  <c r="D122" i="5"/>
  <c r="E122" i="5"/>
  <c r="F122" i="5"/>
  <c r="G122" i="5"/>
  <c r="H122" i="5"/>
  <c r="I122" i="5"/>
  <c r="J122" i="5"/>
  <c r="K122" i="5"/>
  <c r="L122" i="5"/>
  <c r="M122" i="5"/>
  <c r="N122" i="5"/>
  <c r="O122" i="5"/>
  <c r="P122" i="5"/>
  <c r="Q122" i="5"/>
  <c r="R122" i="5"/>
  <c r="S122" i="5"/>
  <c r="T122" i="5"/>
  <c r="U122" i="5"/>
  <c r="V122" i="5"/>
  <c r="W122" i="5"/>
  <c r="X122" i="5"/>
  <c r="Y122" i="5"/>
  <c r="Z122" i="5"/>
  <c r="AA122" i="5"/>
  <c r="AB122" i="5"/>
  <c r="AC122" i="5"/>
  <c r="C123" i="5"/>
  <c r="D123" i="5"/>
  <c r="E123" i="5"/>
  <c r="F123" i="5"/>
  <c r="G123" i="5"/>
  <c r="H123" i="5"/>
  <c r="I123" i="5"/>
  <c r="J123" i="5"/>
  <c r="K123" i="5"/>
  <c r="L123" i="5"/>
  <c r="M123" i="5"/>
  <c r="N123" i="5"/>
  <c r="O123" i="5"/>
  <c r="P123" i="5"/>
  <c r="Q123" i="5"/>
  <c r="R123" i="5"/>
  <c r="S123" i="5"/>
  <c r="T123" i="5"/>
  <c r="U123" i="5"/>
  <c r="V123" i="5"/>
  <c r="W123" i="5"/>
  <c r="X123" i="5"/>
  <c r="Y123" i="5"/>
  <c r="Z123" i="5"/>
  <c r="AA123" i="5"/>
  <c r="AB123" i="5"/>
  <c r="AC123" i="5"/>
  <c r="C124" i="5"/>
  <c r="D124" i="5"/>
  <c r="E124" i="5"/>
  <c r="F124" i="5"/>
  <c r="G124" i="5"/>
  <c r="H124" i="5"/>
  <c r="I124" i="5"/>
  <c r="J124" i="5"/>
  <c r="K124" i="5"/>
  <c r="L124" i="5"/>
  <c r="M124" i="5"/>
  <c r="N124" i="5"/>
  <c r="O124" i="5"/>
  <c r="P124" i="5"/>
  <c r="Q124" i="5"/>
  <c r="R124" i="5"/>
  <c r="S124" i="5"/>
  <c r="T124" i="5"/>
  <c r="U124" i="5"/>
  <c r="V124" i="5"/>
  <c r="W124" i="5"/>
  <c r="X124" i="5"/>
  <c r="Y124" i="5"/>
  <c r="Z124" i="5"/>
  <c r="AA124" i="5"/>
  <c r="AB124" i="5"/>
  <c r="AC124" i="5"/>
  <c r="C125" i="5"/>
  <c r="D125" i="5"/>
  <c r="E125" i="5"/>
  <c r="F125" i="5"/>
  <c r="G125" i="5"/>
  <c r="H125" i="5"/>
  <c r="I125" i="5"/>
  <c r="J125" i="5"/>
  <c r="K125" i="5"/>
  <c r="L125" i="5"/>
  <c r="M125" i="5"/>
  <c r="N125" i="5"/>
  <c r="O125" i="5"/>
  <c r="P125" i="5"/>
  <c r="Q125" i="5"/>
  <c r="R125" i="5"/>
  <c r="S125" i="5"/>
  <c r="T125" i="5"/>
  <c r="U125" i="5"/>
  <c r="V125" i="5"/>
  <c r="W125" i="5"/>
  <c r="X125" i="5"/>
  <c r="Y125" i="5"/>
  <c r="Z125" i="5"/>
  <c r="AA125" i="5"/>
  <c r="AB125" i="5"/>
  <c r="AC125" i="5"/>
  <c r="C126" i="5"/>
  <c r="D126" i="5"/>
  <c r="E126" i="5"/>
  <c r="F126" i="5"/>
  <c r="G126" i="5"/>
  <c r="H126" i="5"/>
  <c r="I126" i="5"/>
  <c r="J126" i="5"/>
  <c r="K126" i="5"/>
  <c r="L126" i="5"/>
  <c r="M126" i="5"/>
  <c r="N126" i="5"/>
  <c r="O126" i="5"/>
  <c r="P126" i="5"/>
  <c r="Q126" i="5"/>
  <c r="R126" i="5"/>
  <c r="S126" i="5"/>
  <c r="T126" i="5"/>
  <c r="U126" i="5"/>
  <c r="V126" i="5"/>
  <c r="W126" i="5"/>
  <c r="X126" i="5"/>
  <c r="Y126" i="5"/>
  <c r="Z126" i="5"/>
  <c r="AA126" i="5"/>
  <c r="AB126" i="5"/>
  <c r="AC126" i="5"/>
  <c r="C127" i="5"/>
  <c r="D127" i="5"/>
  <c r="E127" i="5"/>
  <c r="F127" i="5"/>
  <c r="G127" i="5"/>
  <c r="H127" i="5"/>
  <c r="I127" i="5"/>
  <c r="J127" i="5"/>
  <c r="K127" i="5"/>
  <c r="L127" i="5"/>
  <c r="M127" i="5"/>
  <c r="N127" i="5"/>
  <c r="O127" i="5"/>
  <c r="P127" i="5"/>
  <c r="Q127" i="5"/>
  <c r="R127" i="5"/>
  <c r="S127" i="5"/>
  <c r="T127" i="5"/>
  <c r="U127" i="5"/>
  <c r="V127" i="5"/>
  <c r="W127" i="5"/>
  <c r="X127" i="5"/>
  <c r="Y127" i="5"/>
  <c r="Z127" i="5"/>
  <c r="AA127" i="5"/>
  <c r="AB127" i="5"/>
  <c r="AC127" i="5"/>
  <c r="C128" i="5"/>
  <c r="D128" i="5"/>
  <c r="E128" i="5"/>
  <c r="F128" i="5"/>
  <c r="G128" i="5"/>
  <c r="H128" i="5"/>
  <c r="I128" i="5"/>
  <c r="J128" i="5"/>
  <c r="K128" i="5"/>
  <c r="L128" i="5"/>
  <c r="M128" i="5"/>
  <c r="N128" i="5"/>
  <c r="O128" i="5"/>
  <c r="P128" i="5"/>
  <c r="Q128" i="5"/>
  <c r="R128" i="5"/>
  <c r="S128" i="5"/>
  <c r="T128" i="5"/>
  <c r="U128" i="5"/>
  <c r="V128" i="5"/>
  <c r="W128" i="5"/>
  <c r="X128" i="5"/>
  <c r="Y128" i="5"/>
  <c r="Z128" i="5"/>
  <c r="AA128" i="5"/>
  <c r="AB128" i="5"/>
  <c r="AC128" i="5"/>
  <c r="C129" i="5"/>
  <c r="D129" i="5"/>
  <c r="E129" i="5"/>
  <c r="F129" i="5"/>
  <c r="G129" i="5"/>
  <c r="H129" i="5"/>
  <c r="I129" i="5"/>
  <c r="J129" i="5"/>
  <c r="K129" i="5"/>
  <c r="L129" i="5"/>
  <c r="M129" i="5"/>
  <c r="N129" i="5"/>
  <c r="O129" i="5"/>
  <c r="P129" i="5"/>
  <c r="Q129" i="5"/>
  <c r="R129" i="5"/>
  <c r="S129" i="5"/>
  <c r="T129" i="5"/>
  <c r="U129" i="5"/>
  <c r="V129" i="5"/>
  <c r="W129" i="5"/>
  <c r="X129" i="5"/>
  <c r="Y129" i="5"/>
  <c r="Z129" i="5"/>
  <c r="AA129" i="5"/>
  <c r="AB129" i="5"/>
  <c r="AC129" i="5"/>
  <c r="C130" i="5"/>
  <c r="D130" i="5"/>
  <c r="E130" i="5"/>
  <c r="F130" i="5"/>
  <c r="G130" i="5"/>
  <c r="H130" i="5"/>
  <c r="I130" i="5"/>
  <c r="J130" i="5"/>
  <c r="K130" i="5"/>
  <c r="L130" i="5"/>
  <c r="M130" i="5"/>
  <c r="N130" i="5"/>
  <c r="O130" i="5"/>
  <c r="P130" i="5"/>
  <c r="Q130" i="5"/>
  <c r="R130" i="5"/>
  <c r="S130" i="5"/>
  <c r="T130" i="5"/>
  <c r="U130" i="5"/>
  <c r="V130" i="5"/>
  <c r="W130" i="5"/>
  <c r="X130" i="5"/>
  <c r="Y130" i="5"/>
  <c r="Z130" i="5"/>
  <c r="AA130" i="5"/>
  <c r="AB130" i="5"/>
  <c r="AC130" i="5"/>
  <c r="C131" i="5"/>
  <c r="D131" i="5"/>
  <c r="E131" i="5"/>
  <c r="F131" i="5"/>
  <c r="G131" i="5"/>
  <c r="H131" i="5"/>
  <c r="I131" i="5"/>
  <c r="J131" i="5"/>
  <c r="K131" i="5"/>
  <c r="L131" i="5"/>
  <c r="M131" i="5"/>
  <c r="N131" i="5"/>
  <c r="O131" i="5"/>
  <c r="P131" i="5"/>
  <c r="Q131" i="5"/>
  <c r="R131" i="5"/>
  <c r="S131" i="5"/>
  <c r="T131" i="5"/>
  <c r="U131" i="5"/>
  <c r="V131" i="5"/>
  <c r="W131" i="5"/>
  <c r="X131" i="5"/>
  <c r="Y131" i="5"/>
  <c r="Z131" i="5"/>
  <c r="AA131" i="5"/>
  <c r="AB131" i="5"/>
  <c r="AC131" i="5"/>
  <c r="C132" i="5"/>
  <c r="D132" i="5"/>
  <c r="E132" i="5"/>
  <c r="F132" i="5"/>
  <c r="G132" i="5"/>
  <c r="H132" i="5"/>
  <c r="I132" i="5"/>
  <c r="J132" i="5"/>
  <c r="K132" i="5"/>
  <c r="L132" i="5"/>
  <c r="M132" i="5"/>
  <c r="N132" i="5"/>
  <c r="O132" i="5"/>
  <c r="P132" i="5"/>
  <c r="Q132" i="5"/>
  <c r="R132" i="5"/>
  <c r="S132" i="5"/>
  <c r="T132" i="5"/>
  <c r="U132" i="5"/>
  <c r="V132" i="5"/>
  <c r="W132" i="5"/>
  <c r="X132" i="5"/>
  <c r="Y132" i="5"/>
  <c r="Z132" i="5"/>
  <c r="AA132" i="5"/>
  <c r="AB132" i="5"/>
  <c r="AC132" i="5"/>
  <c r="C133" i="5"/>
  <c r="D133" i="5"/>
  <c r="E133" i="5"/>
  <c r="F133" i="5"/>
  <c r="G133" i="5"/>
  <c r="H133" i="5"/>
  <c r="I133" i="5"/>
  <c r="J133" i="5"/>
  <c r="K133" i="5"/>
  <c r="L133" i="5"/>
  <c r="M133" i="5"/>
  <c r="N133" i="5"/>
  <c r="O133" i="5"/>
  <c r="P133" i="5"/>
  <c r="Q133" i="5"/>
  <c r="R133" i="5"/>
  <c r="S133" i="5"/>
  <c r="T133" i="5"/>
  <c r="U133" i="5"/>
  <c r="V133" i="5"/>
  <c r="W133" i="5"/>
  <c r="X133" i="5"/>
  <c r="Y133" i="5"/>
  <c r="Z133" i="5"/>
  <c r="AA133" i="5"/>
  <c r="AB133" i="5"/>
  <c r="AC133" i="5"/>
  <c r="D98" i="5"/>
  <c r="E98" i="5"/>
  <c r="F98" i="5"/>
  <c r="G98" i="5"/>
  <c r="H98" i="5"/>
  <c r="I98" i="5"/>
  <c r="J98" i="5"/>
  <c r="K98" i="5"/>
  <c r="L98" i="5"/>
  <c r="M98" i="5"/>
  <c r="N98" i="5"/>
  <c r="O98" i="5"/>
  <c r="P98" i="5"/>
  <c r="Q98" i="5"/>
  <c r="R98" i="5"/>
  <c r="S98" i="5"/>
  <c r="T98" i="5"/>
  <c r="U98" i="5"/>
  <c r="V98" i="5"/>
  <c r="W98" i="5"/>
  <c r="X98" i="5"/>
  <c r="Y98" i="5"/>
  <c r="Z98" i="5"/>
  <c r="AA98" i="5"/>
  <c r="AB98" i="5"/>
  <c r="AC98" i="5"/>
  <c r="C98" i="5"/>
  <c r="C101" i="4"/>
  <c r="D101" i="4"/>
  <c r="E101" i="4"/>
  <c r="F101" i="4"/>
  <c r="G101" i="4"/>
  <c r="H101" i="4"/>
  <c r="I101" i="4"/>
  <c r="J101" i="4"/>
  <c r="K101" i="4"/>
  <c r="L101" i="4"/>
  <c r="M101" i="4"/>
  <c r="N101" i="4"/>
  <c r="O101" i="4"/>
  <c r="P101" i="4"/>
  <c r="Q101" i="4"/>
  <c r="R101" i="4"/>
  <c r="S101" i="4"/>
  <c r="T101" i="4"/>
  <c r="U101" i="4"/>
  <c r="V101" i="4"/>
  <c r="W101" i="4"/>
  <c r="X101" i="4"/>
  <c r="Y101" i="4"/>
  <c r="Z101" i="4"/>
  <c r="AA101" i="4"/>
  <c r="AB101" i="4"/>
  <c r="AC101" i="4"/>
  <c r="C102" i="4"/>
  <c r="D102" i="4"/>
  <c r="E102" i="4"/>
  <c r="F102" i="4"/>
  <c r="G102" i="4"/>
  <c r="H102" i="4"/>
  <c r="I102" i="4"/>
  <c r="J102" i="4"/>
  <c r="K102" i="4"/>
  <c r="L102" i="4"/>
  <c r="M102" i="4"/>
  <c r="N102" i="4"/>
  <c r="O102" i="4"/>
  <c r="P102" i="4"/>
  <c r="Q102" i="4"/>
  <c r="R102" i="4"/>
  <c r="S102" i="4"/>
  <c r="T102" i="4"/>
  <c r="U102" i="4"/>
  <c r="V102" i="4"/>
  <c r="W102" i="4"/>
  <c r="X102" i="4"/>
  <c r="Y102" i="4"/>
  <c r="Z102" i="4"/>
  <c r="AA102" i="4"/>
  <c r="AB102" i="4"/>
  <c r="AC102" i="4"/>
  <c r="C103" i="4"/>
  <c r="D103" i="4"/>
  <c r="E103" i="4"/>
  <c r="F103" i="4"/>
  <c r="G103" i="4"/>
  <c r="H103" i="4"/>
  <c r="I103" i="4"/>
  <c r="J103" i="4"/>
  <c r="K103" i="4"/>
  <c r="L103" i="4"/>
  <c r="M103" i="4"/>
  <c r="N103" i="4"/>
  <c r="O103" i="4"/>
  <c r="P103" i="4"/>
  <c r="Q103" i="4"/>
  <c r="R103" i="4"/>
  <c r="S103" i="4"/>
  <c r="T103" i="4"/>
  <c r="U103" i="4"/>
  <c r="V103" i="4"/>
  <c r="W103" i="4"/>
  <c r="X103" i="4"/>
  <c r="Y103" i="4"/>
  <c r="Z103" i="4"/>
  <c r="AA103" i="4"/>
  <c r="AB103" i="4"/>
  <c r="AC103" i="4"/>
  <c r="C104" i="4"/>
  <c r="D104" i="4"/>
  <c r="E104" i="4"/>
  <c r="F104" i="4"/>
  <c r="G104" i="4"/>
  <c r="H104" i="4"/>
  <c r="I104" i="4"/>
  <c r="J104" i="4"/>
  <c r="K104" i="4"/>
  <c r="L104" i="4"/>
  <c r="M104" i="4"/>
  <c r="N104" i="4"/>
  <c r="O104" i="4"/>
  <c r="P104" i="4"/>
  <c r="Q104" i="4"/>
  <c r="R104" i="4"/>
  <c r="S104" i="4"/>
  <c r="T104" i="4"/>
  <c r="U104" i="4"/>
  <c r="V104" i="4"/>
  <c r="W104" i="4"/>
  <c r="X104" i="4"/>
  <c r="Y104" i="4"/>
  <c r="Z104" i="4"/>
  <c r="AA104" i="4"/>
  <c r="AB104" i="4"/>
  <c r="AC104" i="4"/>
  <c r="C105" i="4"/>
  <c r="D105" i="4"/>
  <c r="E105" i="4"/>
  <c r="F105" i="4"/>
  <c r="G105" i="4"/>
  <c r="H105" i="4"/>
  <c r="I105" i="4"/>
  <c r="J105" i="4"/>
  <c r="K105" i="4"/>
  <c r="L105" i="4"/>
  <c r="M105" i="4"/>
  <c r="N105" i="4"/>
  <c r="O105" i="4"/>
  <c r="P105" i="4"/>
  <c r="Q105" i="4"/>
  <c r="R105" i="4"/>
  <c r="S105" i="4"/>
  <c r="T105" i="4"/>
  <c r="U105" i="4"/>
  <c r="V105" i="4"/>
  <c r="W105" i="4"/>
  <c r="X105" i="4"/>
  <c r="Y105" i="4"/>
  <c r="Z105" i="4"/>
  <c r="AA105" i="4"/>
  <c r="AB105" i="4"/>
  <c r="AC105" i="4"/>
  <c r="C106" i="4"/>
  <c r="D106" i="4"/>
  <c r="E106" i="4"/>
  <c r="F106" i="4"/>
  <c r="G106" i="4"/>
  <c r="H106" i="4"/>
  <c r="I106" i="4"/>
  <c r="J106" i="4"/>
  <c r="K106" i="4"/>
  <c r="L106" i="4"/>
  <c r="M106" i="4"/>
  <c r="N106" i="4"/>
  <c r="O106" i="4"/>
  <c r="P106" i="4"/>
  <c r="Q106" i="4"/>
  <c r="R106" i="4"/>
  <c r="S106" i="4"/>
  <c r="T106" i="4"/>
  <c r="U106" i="4"/>
  <c r="V106" i="4"/>
  <c r="W106" i="4"/>
  <c r="X106" i="4"/>
  <c r="Y106" i="4"/>
  <c r="Z106" i="4"/>
  <c r="AA106" i="4"/>
  <c r="AB106" i="4"/>
  <c r="AC106" i="4"/>
  <c r="C107" i="4"/>
  <c r="D107" i="4"/>
  <c r="E107" i="4"/>
  <c r="F107" i="4"/>
  <c r="G107" i="4"/>
  <c r="H107" i="4"/>
  <c r="I107" i="4"/>
  <c r="J107" i="4"/>
  <c r="K107" i="4"/>
  <c r="L107" i="4"/>
  <c r="M107" i="4"/>
  <c r="N107" i="4"/>
  <c r="O107" i="4"/>
  <c r="P107" i="4"/>
  <c r="Q107" i="4"/>
  <c r="R107" i="4"/>
  <c r="S107" i="4"/>
  <c r="T107" i="4"/>
  <c r="U107" i="4"/>
  <c r="V107" i="4"/>
  <c r="W107" i="4"/>
  <c r="X107" i="4"/>
  <c r="Y107" i="4"/>
  <c r="Z107" i="4"/>
  <c r="AA107" i="4"/>
  <c r="AB107" i="4"/>
  <c r="AC107" i="4"/>
  <c r="C108" i="4"/>
  <c r="D108" i="4"/>
  <c r="E108" i="4"/>
  <c r="F108" i="4"/>
  <c r="G108" i="4"/>
  <c r="H108" i="4"/>
  <c r="I108" i="4"/>
  <c r="J108" i="4"/>
  <c r="K108" i="4"/>
  <c r="L108" i="4"/>
  <c r="M108" i="4"/>
  <c r="N108" i="4"/>
  <c r="O108" i="4"/>
  <c r="P108" i="4"/>
  <c r="Q108" i="4"/>
  <c r="R108" i="4"/>
  <c r="S108" i="4"/>
  <c r="T108" i="4"/>
  <c r="U108" i="4"/>
  <c r="V108" i="4"/>
  <c r="W108" i="4"/>
  <c r="X108" i="4"/>
  <c r="Y108" i="4"/>
  <c r="Z108" i="4"/>
  <c r="AA108" i="4"/>
  <c r="AB108" i="4"/>
  <c r="AC108" i="4"/>
  <c r="C109" i="4"/>
  <c r="D109" i="4"/>
  <c r="E109" i="4"/>
  <c r="F109" i="4"/>
  <c r="G109" i="4"/>
  <c r="H109" i="4"/>
  <c r="I109" i="4"/>
  <c r="J109" i="4"/>
  <c r="K109" i="4"/>
  <c r="L109" i="4"/>
  <c r="M109" i="4"/>
  <c r="N109" i="4"/>
  <c r="O109" i="4"/>
  <c r="P109" i="4"/>
  <c r="Q109" i="4"/>
  <c r="R109" i="4"/>
  <c r="S109" i="4"/>
  <c r="T109" i="4"/>
  <c r="U109" i="4"/>
  <c r="V109" i="4"/>
  <c r="W109" i="4"/>
  <c r="X109" i="4"/>
  <c r="Y109" i="4"/>
  <c r="Z109" i="4"/>
  <c r="AA109" i="4"/>
  <c r="AB109" i="4"/>
  <c r="AC109" i="4"/>
  <c r="C110" i="4"/>
  <c r="D110" i="4"/>
  <c r="E110" i="4"/>
  <c r="F110" i="4"/>
  <c r="G110" i="4"/>
  <c r="H110" i="4"/>
  <c r="I110" i="4"/>
  <c r="J110" i="4"/>
  <c r="K110" i="4"/>
  <c r="L110" i="4"/>
  <c r="M110" i="4"/>
  <c r="N110" i="4"/>
  <c r="O110" i="4"/>
  <c r="P110" i="4"/>
  <c r="Q110" i="4"/>
  <c r="R110" i="4"/>
  <c r="S110" i="4"/>
  <c r="T110" i="4"/>
  <c r="U110" i="4"/>
  <c r="V110" i="4"/>
  <c r="W110" i="4"/>
  <c r="X110" i="4"/>
  <c r="Y110" i="4"/>
  <c r="Z110" i="4"/>
  <c r="AA110" i="4"/>
  <c r="AB110" i="4"/>
  <c r="AC110" i="4"/>
  <c r="C111" i="4"/>
  <c r="D111" i="4"/>
  <c r="E111" i="4"/>
  <c r="F111" i="4"/>
  <c r="G111" i="4"/>
  <c r="H111" i="4"/>
  <c r="I111" i="4"/>
  <c r="J111" i="4"/>
  <c r="K111" i="4"/>
  <c r="L111" i="4"/>
  <c r="M111" i="4"/>
  <c r="N111" i="4"/>
  <c r="O111" i="4"/>
  <c r="P111" i="4"/>
  <c r="Q111" i="4"/>
  <c r="R111" i="4"/>
  <c r="S111" i="4"/>
  <c r="T111" i="4"/>
  <c r="U111" i="4"/>
  <c r="V111" i="4"/>
  <c r="W111" i="4"/>
  <c r="X111" i="4"/>
  <c r="Y111" i="4"/>
  <c r="Z111" i="4"/>
  <c r="AA111" i="4"/>
  <c r="AB111" i="4"/>
  <c r="AC111" i="4"/>
  <c r="C112" i="4"/>
  <c r="D112" i="4"/>
  <c r="E112" i="4"/>
  <c r="F112" i="4"/>
  <c r="G112" i="4"/>
  <c r="H112" i="4"/>
  <c r="I112" i="4"/>
  <c r="J112" i="4"/>
  <c r="K112" i="4"/>
  <c r="L112" i="4"/>
  <c r="M112" i="4"/>
  <c r="N112" i="4"/>
  <c r="O112" i="4"/>
  <c r="P112" i="4"/>
  <c r="Q112" i="4"/>
  <c r="R112" i="4"/>
  <c r="S112" i="4"/>
  <c r="T112" i="4"/>
  <c r="U112" i="4"/>
  <c r="V112" i="4"/>
  <c r="W112" i="4"/>
  <c r="X112" i="4"/>
  <c r="Y112" i="4"/>
  <c r="Z112" i="4"/>
  <c r="AA112" i="4"/>
  <c r="AB112" i="4"/>
  <c r="AC112" i="4"/>
  <c r="C113" i="4"/>
  <c r="D113" i="4"/>
  <c r="E113" i="4"/>
  <c r="F113" i="4"/>
  <c r="G113" i="4"/>
  <c r="H113" i="4"/>
  <c r="I113" i="4"/>
  <c r="J113" i="4"/>
  <c r="K113" i="4"/>
  <c r="L113" i="4"/>
  <c r="M113" i="4"/>
  <c r="N113" i="4"/>
  <c r="O113" i="4"/>
  <c r="P113" i="4"/>
  <c r="Q113" i="4"/>
  <c r="R113" i="4"/>
  <c r="S113" i="4"/>
  <c r="T113" i="4"/>
  <c r="U113" i="4"/>
  <c r="V113" i="4"/>
  <c r="W113" i="4"/>
  <c r="X113" i="4"/>
  <c r="Y113" i="4"/>
  <c r="Z113" i="4"/>
  <c r="AA113" i="4"/>
  <c r="AB113" i="4"/>
  <c r="AC113" i="4"/>
  <c r="C114" i="4"/>
  <c r="D114" i="4"/>
  <c r="E114" i="4"/>
  <c r="F114" i="4"/>
  <c r="G114" i="4"/>
  <c r="H114" i="4"/>
  <c r="I114" i="4"/>
  <c r="J114" i="4"/>
  <c r="K114" i="4"/>
  <c r="L114" i="4"/>
  <c r="M114" i="4"/>
  <c r="N114" i="4"/>
  <c r="O114" i="4"/>
  <c r="P114" i="4"/>
  <c r="Q114" i="4"/>
  <c r="R114" i="4"/>
  <c r="S114" i="4"/>
  <c r="T114" i="4"/>
  <c r="U114" i="4"/>
  <c r="V114" i="4"/>
  <c r="W114" i="4"/>
  <c r="X114" i="4"/>
  <c r="Y114" i="4"/>
  <c r="Z114" i="4"/>
  <c r="AA114" i="4"/>
  <c r="AB114" i="4"/>
  <c r="AC114" i="4"/>
  <c r="C115" i="4"/>
  <c r="D115" i="4"/>
  <c r="E115" i="4"/>
  <c r="F115" i="4"/>
  <c r="G115" i="4"/>
  <c r="H115" i="4"/>
  <c r="I115" i="4"/>
  <c r="J115" i="4"/>
  <c r="K115" i="4"/>
  <c r="L115" i="4"/>
  <c r="M115" i="4"/>
  <c r="N115" i="4"/>
  <c r="O115" i="4"/>
  <c r="P115" i="4"/>
  <c r="Q115" i="4"/>
  <c r="R115" i="4"/>
  <c r="S115" i="4"/>
  <c r="T115" i="4"/>
  <c r="U115" i="4"/>
  <c r="V115" i="4"/>
  <c r="W115" i="4"/>
  <c r="X115" i="4"/>
  <c r="Y115" i="4"/>
  <c r="Z115" i="4"/>
  <c r="AA115" i="4"/>
  <c r="AB115" i="4"/>
  <c r="AC115" i="4"/>
  <c r="C116" i="4"/>
  <c r="D116" i="4"/>
  <c r="E116" i="4"/>
  <c r="F116" i="4"/>
  <c r="G116" i="4"/>
  <c r="H116" i="4"/>
  <c r="I116" i="4"/>
  <c r="J116" i="4"/>
  <c r="K116" i="4"/>
  <c r="L116" i="4"/>
  <c r="M116" i="4"/>
  <c r="N116" i="4"/>
  <c r="O116" i="4"/>
  <c r="P116" i="4"/>
  <c r="Q116" i="4"/>
  <c r="R116" i="4"/>
  <c r="S116" i="4"/>
  <c r="T116" i="4"/>
  <c r="U116" i="4"/>
  <c r="V116" i="4"/>
  <c r="W116" i="4"/>
  <c r="X116" i="4"/>
  <c r="Y116" i="4"/>
  <c r="Z116" i="4"/>
  <c r="AA116" i="4"/>
  <c r="AB116" i="4"/>
  <c r="AC116" i="4"/>
  <c r="C117" i="4"/>
  <c r="D117" i="4"/>
  <c r="E117" i="4"/>
  <c r="F117" i="4"/>
  <c r="G117" i="4"/>
  <c r="H117" i="4"/>
  <c r="I117" i="4"/>
  <c r="J117" i="4"/>
  <c r="K117" i="4"/>
  <c r="L117" i="4"/>
  <c r="M117" i="4"/>
  <c r="N117" i="4"/>
  <c r="O117" i="4"/>
  <c r="P117" i="4"/>
  <c r="Q117" i="4"/>
  <c r="R117" i="4"/>
  <c r="S117" i="4"/>
  <c r="T117" i="4"/>
  <c r="U117" i="4"/>
  <c r="V117" i="4"/>
  <c r="W117" i="4"/>
  <c r="X117" i="4"/>
  <c r="Y117" i="4"/>
  <c r="Z117" i="4"/>
  <c r="AA117" i="4"/>
  <c r="AB117" i="4"/>
  <c r="AC117" i="4"/>
  <c r="C118" i="4"/>
  <c r="D118" i="4"/>
  <c r="E118" i="4"/>
  <c r="F118" i="4"/>
  <c r="G118" i="4"/>
  <c r="H118" i="4"/>
  <c r="I118" i="4"/>
  <c r="J118" i="4"/>
  <c r="K118" i="4"/>
  <c r="L118" i="4"/>
  <c r="M118" i="4"/>
  <c r="N118" i="4"/>
  <c r="O118" i="4"/>
  <c r="P118" i="4"/>
  <c r="Q118" i="4"/>
  <c r="R118" i="4"/>
  <c r="S118" i="4"/>
  <c r="T118" i="4"/>
  <c r="U118" i="4"/>
  <c r="V118" i="4"/>
  <c r="W118" i="4"/>
  <c r="X118" i="4"/>
  <c r="Y118" i="4"/>
  <c r="Z118" i="4"/>
  <c r="AA118" i="4"/>
  <c r="AB118" i="4"/>
  <c r="AC118" i="4"/>
  <c r="C119" i="4"/>
  <c r="D119" i="4"/>
  <c r="E119" i="4"/>
  <c r="F119" i="4"/>
  <c r="G119" i="4"/>
  <c r="H119" i="4"/>
  <c r="I119" i="4"/>
  <c r="J119" i="4"/>
  <c r="K119" i="4"/>
  <c r="L119" i="4"/>
  <c r="M119" i="4"/>
  <c r="N119" i="4"/>
  <c r="O119" i="4"/>
  <c r="P119" i="4"/>
  <c r="Q119" i="4"/>
  <c r="R119" i="4"/>
  <c r="S119" i="4"/>
  <c r="T119" i="4"/>
  <c r="U119" i="4"/>
  <c r="V119" i="4"/>
  <c r="W119" i="4"/>
  <c r="X119" i="4"/>
  <c r="Y119" i="4"/>
  <c r="Z119" i="4"/>
  <c r="AA119" i="4"/>
  <c r="AB119" i="4"/>
  <c r="AC119" i="4"/>
  <c r="C120" i="4"/>
  <c r="D120" i="4"/>
  <c r="E120" i="4"/>
  <c r="F120" i="4"/>
  <c r="G120" i="4"/>
  <c r="H120" i="4"/>
  <c r="I120" i="4"/>
  <c r="J120" i="4"/>
  <c r="K120" i="4"/>
  <c r="L120" i="4"/>
  <c r="M120" i="4"/>
  <c r="N120" i="4"/>
  <c r="O120" i="4"/>
  <c r="P120" i="4"/>
  <c r="Q120" i="4"/>
  <c r="R120" i="4"/>
  <c r="S120" i="4"/>
  <c r="T120" i="4"/>
  <c r="U120" i="4"/>
  <c r="V120" i="4"/>
  <c r="W120" i="4"/>
  <c r="X120" i="4"/>
  <c r="Y120" i="4"/>
  <c r="Z120" i="4"/>
  <c r="AA120" i="4"/>
  <c r="AB120" i="4"/>
  <c r="AC120" i="4"/>
  <c r="C121" i="4"/>
  <c r="D121" i="4"/>
  <c r="E121" i="4"/>
  <c r="F121" i="4"/>
  <c r="G121" i="4"/>
  <c r="H121" i="4"/>
  <c r="I121" i="4"/>
  <c r="J121" i="4"/>
  <c r="K121" i="4"/>
  <c r="L121" i="4"/>
  <c r="M121" i="4"/>
  <c r="N121" i="4"/>
  <c r="O121" i="4"/>
  <c r="P121" i="4"/>
  <c r="Q121" i="4"/>
  <c r="R121" i="4"/>
  <c r="S121" i="4"/>
  <c r="T121" i="4"/>
  <c r="U121" i="4"/>
  <c r="V121" i="4"/>
  <c r="W121" i="4"/>
  <c r="X121" i="4"/>
  <c r="Y121" i="4"/>
  <c r="Z121" i="4"/>
  <c r="AA121" i="4"/>
  <c r="AB121" i="4"/>
  <c r="AC121" i="4"/>
  <c r="C122" i="4"/>
  <c r="D122" i="4"/>
  <c r="E122" i="4"/>
  <c r="F122" i="4"/>
  <c r="G122" i="4"/>
  <c r="H122" i="4"/>
  <c r="I122" i="4"/>
  <c r="J122" i="4"/>
  <c r="K122" i="4"/>
  <c r="L122" i="4"/>
  <c r="M122" i="4"/>
  <c r="N122" i="4"/>
  <c r="O122" i="4"/>
  <c r="P122" i="4"/>
  <c r="Q122" i="4"/>
  <c r="R122" i="4"/>
  <c r="S122" i="4"/>
  <c r="T122" i="4"/>
  <c r="U122" i="4"/>
  <c r="V122" i="4"/>
  <c r="W122" i="4"/>
  <c r="X122" i="4"/>
  <c r="Y122" i="4"/>
  <c r="Z122" i="4"/>
  <c r="AA122" i="4"/>
  <c r="AB122" i="4"/>
  <c r="AC122" i="4"/>
  <c r="C123" i="4"/>
  <c r="D123" i="4"/>
  <c r="E123" i="4"/>
  <c r="F123" i="4"/>
  <c r="G123" i="4"/>
  <c r="H123" i="4"/>
  <c r="I123" i="4"/>
  <c r="J123" i="4"/>
  <c r="K123" i="4"/>
  <c r="L123" i="4"/>
  <c r="M123" i="4"/>
  <c r="N123" i="4"/>
  <c r="O123" i="4"/>
  <c r="P123" i="4"/>
  <c r="Q123" i="4"/>
  <c r="R123" i="4"/>
  <c r="S123" i="4"/>
  <c r="T123" i="4"/>
  <c r="U123" i="4"/>
  <c r="V123" i="4"/>
  <c r="W123" i="4"/>
  <c r="X123" i="4"/>
  <c r="Y123" i="4"/>
  <c r="Z123" i="4"/>
  <c r="AA123" i="4"/>
  <c r="AB123" i="4"/>
  <c r="AC123" i="4"/>
  <c r="C124" i="4"/>
  <c r="D124" i="4"/>
  <c r="E124" i="4"/>
  <c r="F124" i="4"/>
  <c r="G124" i="4"/>
  <c r="H124" i="4"/>
  <c r="I124" i="4"/>
  <c r="J124" i="4"/>
  <c r="K124" i="4"/>
  <c r="L124" i="4"/>
  <c r="M124" i="4"/>
  <c r="N124" i="4"/>
  <c r="O124" i="4"/>
  <c r="P124" i="4"/>
  <c r="Q124" i="4"/>
  <c r="R124" i="4"/>
  <c r="S124" i="4"/>
  <c r="T124" i="4"/>
  <c r="U124" i="4"/>
  <c r="V124" i="4"/>
  <c r="W124" i="4"/>
  <c r="X124" i="4"/>
  <c r="Y124" i="4"/>
  <c r="Z124" i="4"/>
  <c r="AA124" i="4"/>
  <c r="AB124" i="4"/>
  <c r="AC124" i="4"/>
  <c r="C125" i="4"/>
  <c r="D125" i="4"/>
  <c r="E125" i="4"/>
  <c r="F125" i="4"/>
  <c r="G125" i="4"/>
  <c r="H125" i="4"/>
  <c r="I125" i="4"/>
  <c r="J125" i="4"/>
  <c r="K125" i="4"/>
  <c r="L125" i="4"/>
  <c r="M125" i="4"/>
  <c r="N125" i="4"/>
  <c r="O125" i="4"/>
  <c r="P125" i="4"/>
  <c r="Q125" i="4"/>
  <c r="R125" i="4"/>
  <c r="S125" i="4"/>
  <c r="T125" i="4"/>
  <c r="U125" i="4"/>
  <c r="V125" i="4"/>
  <c r="W125" i="4"/>
  <c r="X125" i="4"/>
  <c r="Y125" i="4"/>
  <c r="Z125" i="4"/>
  <c r="AA125" i="4"/>
  <c r="AB125" i="4"/>
  <c r="AC125" i="4"/>
  <c r="C126" i="4"/>
  <c r="D126" i="4"/>
  <c r="E126" i="4"/>
  <c r="F126" i="4"/>
  <c r="G126" i="4"/>
  <c r="H126" i="4"/>
  <c r="I126" i="4"/>
  <c r="J126" i="4"/>
  <c r="K126" i="4"/>
  <c r="L126" i="4"/>
  <c r="M126" i="4"/>
  <c r="N126" i="4"/>
  <c r="O126" i="4"/>
  <c r="P126" i="4"/>
  <c r="Q126" i="4"/>
  <c r="R126" i="4"/>
  <c r="S126" i="4"/>
  <c r="T126" i="4"/>
  <c r="U126" i="4"/>
  <c r="V126" i="4"/>
  <c r="W126" i="4"/>
  <c r="X126" i="4"/>
  <c r="Y126" i="4"/>
  <c r="Z126" i="4"/>
  <c r="AA126" i="4"/>
  <c r="AB126" i="4"/>
  <c r="AC126" i="4"/>
  <c r="C127" i="4"/>
  <c r="D127" i="4"/>
  <c r="E127" i="4"/>
  <c r="F127" i="4"/>
  <c r="G127" i="4"/>
  <c r="H127" i="4"/>
  <c r="I127" i="4"/>
  <c r="J127" i="4"/>
  <c r="K127" i="4"/>
  <c r="L127" i="4"/>
  <c r="M127" i="4"/>
  <c r="N127" i="4"/>
  <c r="O127" i="4"/>
  <c r="P127" i="4"/>
  <c r="Q127" i="4"/>
  <c r="R127" i="4"/>
  <c r="S127" i="4"/>
  <c r="T127" i="4"/>
  <c r="U127" i="4"/>
  <c r="V127" i="4"/>
  <c r="W127" i="4"/>
  <c r="X127" i="4"/>
  <c r="Y127" i="4"/>
  <c r="Z127" i="4"/>
  <c r="AA127" i="4"/>
  <c r="AB127" i="4"/>
  <c r="AC127" i="4"/>
  <c r="C128" i="4"/>
  <c r="D128" i="4"/>
  <c r="E128" i="4"/>
  <c r="F128" i="4"/>
  <c r="G128" i="4"/>
  <c r="H128" i="4"/>
  <c r="I128" i="4"/>
  <c r="J128" i="4"/>
  <c r="K128" i="4"/>
  <c r="L128" i="4"/>
  <c r="M128" i="4"/>
  <c r="N128" i="4"/>
  <c r="O128" i="4"/>
  <c r="P128" i="4"/>
  <c r="Q128" i="4"/>
  <c r="R128" i="4"/>
  <c r="S128" i="4"/>
  <c r="T128" i="4"/>
  <c r="U128" i="4"/>
  <c r="V128" i="4"/>
  <c r="W128" i="4"/>
  <c r="X128" i="4"/>
  <c r="Y128" i="4"/>
  <c r="Z128" i="4"/>
  <c r="AA128" i="4"/>
  <c r="AB128" i="4"/>
  <c r="AC128" i="4"/>
  <c r="C129" i="4"/>
  <c r="D129" i="4"/>
  <c r="E129" i="4"/>
  <c r="F129" i="4"/>
  <c r="G129" i="4"/>
  <c r="H129" i="4"/>
  <c r="I129" i="4"/>
  <c r="J129" i="4"/>
  <c r="K129" i="4"/>
  <c r="L129" i="4"/>
  <c r="M129" i="4"/>
  <c r="N129" i="4"/>
  <c r="O129" i="4"/>
  <c r="P129" i="4"/>
  <c r="Q129" i="4"/>
  <c r="R129" i="4"/>
  <c r="S129" i="4"/>
  <c r="T129" i="4"/>
  <c r="U129" i="4"/>
  <c r="V129" i="4"/>
  <c r="W129" i="4"/>
  <c r="X129" i="4"/>
  <c r="Y129" i="4"/>
  <c r="Z129" i="4"/>
  <c r="AA129" i="4"/>
  <c r="AB129" i="4"/>
  <c r="AC129" i="4"/>
  <c r="C130" i="4"/>
  <c r="D130" i="4"/>
  <c r="E130" i="4"/>
  <c r="F130" i="4"/>
  <c r="G130" i="4"/>
  <c r="H130" i="4"/>
  <c r="I130" i="4"/>
  <c r="J130" i="4"/>
  <c r="K130" i="4"/>
  <c r="L130" i="4"/>
  <c r="M130" i="4"/>
  <c r="N130" i="4"/>
  <c r="O130" i="4"/>
  <c r="P130" i="4"/>
  <c r="Q130" i="4"/>
  <c r="R130" i="4"/>
  <c r="S130" i="4"/>
  <c r="T130" i="4"/>
  <c r="U130" i="4"/>
  <c r="V130" i="4"/>
  <c r="W130" i="4"/>
  <c r="X130" i="4"/>
  <c r="Y130" i="4"/>
  <c r="Z130" i="4"/>
  <c r="AA130" i="4"/>
  <c r="AB130" i="4"/>
  <c r="AC130" i="4"/>
  <c r="C131" i="4"/>
  <c r="D131" i="4"/>
  <c r="E131" i="4"/>
  <c r="F131" i="4"/>
  <c r="G131" i="4"/>
  <c r="H131" i="4"/>
  <c r="I131" i="4"/>
  <c r="J131" i="4"/>
  <c r="K131" i="4"/>
  <c r="L131" i="4"/>
  <c r="M131" i="4"/>
  <c r="N131" i="4"/>
  <c r="O131" i="4"/>
  <c r="P131" i="4"/>
  <c r="Q131" i="4"/>
  <c r="R131" i="4"/>
  <c r="S131" i="4"/>
  <c r="T131" i="4"/>
  <c r="U131" i="4"/>
  <c r="V131" i="4"/>
  <c r="W131" i="4"/>
  <c r="X131" i="4"/>
  <c r="Y131" i="4"/>
  <c r="Z131" i="4"/>
  <c r="AA131" i="4"/>
  <c r="AB131" i="4"/>
  <c r="AC131" i="4"/>
  <c r="C132" i="4"/>
  <c r="D132" i="4"/>
  <c r="E132" i="4"/>
  <c r="F132" i="4"/>
  <c r="G132" i="4"/>
  <c r="H132" i="4"/>
  <c r="I132" i="4"/>
  <c r="J132" i="4"/>
  <c r="K132" i="4"/>
  <c r="L132" i="4"/>
  <c r="M132" i="4"/>
  <c r="N132" i="4"/>
  <c r="O132" i="4"/>
  <c r="P132" i="4"/>
  <c r="Q132" i="4"/>
  <c r="R132" i="4"/>
  <c r="S132" i="4"/>
  <c r="T132" i="4"/>
  <c r="U132" i="4"/>
  <c r="V132" i="4"/>
  <c r="W132" i="4"/>
  <c r="X132" i="4"/>
  <c r="Y132" i="4"/>
  <c r="Z132" i="4"/>
  <c r="AA132" i="4"/>
  <c r="AB132" i="4"/>
  <c r="AC132" i="4"/>
  <c r="C133" i="4"/>
  <c r="D133" i="4"/>
  <c r="E133" i="4"/>
  <c r="F133" i="4"/>
  <c r="G133" i="4"/>
  <c r="H133" i="4"/>
  <c r="I133" i="4"/>
  <c r="J133" i="4"/>
  <c r="K133" i="4"/>
  <c r="L133" i="4"/>
  <c r="M133" i="4"/>
  <c r="N133" i="4"/>
  <c r="O133" i="4"/>
  <c r="P133" i="4"/>
  <c r="Q133" i="4"/>
  <c r="R133" i="4"/>
  <c r="S133" i="4"/>
  <c r="T133" i="4"/>
  <c r="U133" i="4"/>
  <c r="V133" i="4"/>
  <c r="W133" i="4"/>
  <c r="X133" i="4"/>
  <c r="Y133" i="4"/>
  <c r="Z133" i="4"/>
  <c r="AA133" i="4"/>
  <c r="AB133" i="4"/>
  <c r="AC133" i="4"/>
  <c r="C134" i="4"/>
  <c r="D134" i="4"/>
  <c r="E134" i="4"/>
  <c r="F134" i="4"/>
  <c r="G134" i="4"/>
  <c r="H134" i="4"/>
  <c r="I134" i="4"/>
  <c r="J134" i="4"/>
  <c r="K134" i="4"/>
  <c r="L134" i="4"/>
  <c r="M134" i="4"/>
  <c r="N134" i="4"/>
  <c r="O134" i="4"/>
  <c r="P134" i="4"/>
  <c r="Q134" i="4"/>
  <c r="R134" i="4"/>
  <c r="S134" i="4"/>
  <c r="T134" i="4"/>
  <c r="U134" i="4"/>
  <c r="V134" i="4"/>
  <c r="W134" i="4"/>
  <c r="X134" i="4"/>
  <c r="Y134" i="4"/>
  <c r="Z134" i="4"/>
  <c r="AA134" i="4"/>
  <c r="AB134" i="4"/>
  <c r="AC134" i="4"/>
  <c r="C135" i="4"/>
  <c r="D135" i="4"/>
  <c r="E135" i="4"/>
  <c r="F135" i="4"/>
  <c r="G135" i="4"/>
  <c r="H135" i="4"/>
  <c r="I135" i="4"/>
  <c r="J135" i="4"/>
  <c r="K135" i="4"/>
  <c r="L135" i="4"/>
  <c r="M135" i="4"/>
  <c r="N135" i="4"/>
  <c r="O135" i="4"/>
  <c r="P135" i="4"/>
  <c r="Q135" i="4"/>
  <c r="R135" i="4"/>
  <c r="S135" i="4"/>
  <c r="T135" i="4"/>
  <c r="U135" i="4"/>
  <c r="V135" i="4"/>
  <c r="W135" i="4"/>
  <c r="X135" i="4"/>
  <c r="Y135" i="4"/>
  <c r="Z135" i="4"/>
  <c r="AA135" i="4"/>
  <c r="AB135" i="4"/>
  <c r="AC135" i="4"/>
  <c r="C136" i="4"/>
  <c r="D136" i="4"/>
  <c r="E136" i="4"/>
  <c r="F136" i="4"/>
  <c r="G136" i="4"/>
  <c r="H136" i="4"/>
  <c r="I136" i="4"/>
  <c r="J136" i="4"/>
  <c r="K136" i="4"/>
  <c r="L136" i="4"/>
  <c r="M136" i="4"/>
  <c r="N136" i="4"/>
  <c r="O136" i="4"/>
  <c r="P136" i="4"/>
  <c r="Q136" i="4"/>
  <c r="R136" i="4"/>
  <c r="S136" i="4"/>
  <c r="T136" i="4"/>
  <c r="U136" i="4"/>
  <c r="V136" i="4"/>
  <c r="W136" i="4"/>
  <c r="X136" i="4"/>
  <c r="Y136" i="4"/>
  <c r="Z136" i="4"/>
  <c r="AA136" i="4"/>
  <c r="AB136" i="4"/>
  <c r="AC136" i="4"/>
  <c r="D100" i="4"/>
  <c r="E100" i="4"/>
  <c r="F100" i="4"/>
  <c r="G100" i="4"/>
  <c r="H100" i="4"/>
  <c r="I100" i="4"/>
  <c r="J100" i="4"/>
  <c r="K100" i="4"/>
  <c r="L100" i="4"/>
  <c r="M100" i="4"/>
  <c r="N100" i="4"/>
  <c r="O100" i="4"/>
  <c r="P100" i="4"/>
  <c r="Q100" i="4"/>
  <c r="R100" i="4"/>
  <c r="S100" i="4"/>
  <c r="T100" i="4"/>
  <c r="U100" i="4"/>
  <c r="V100" i="4"/>
  <c r="W100" i="4"/>
  <c r="X100" i="4"/>
  <c r="Y100" i="4"/>
  <c r="Z100" i="4"/>
  <c r="AA100" i="4"/>
  <c r="AB100" i="4"/>
  <c r="AC100" i="4"/>
  <c r="C100" i="4"/>
  <c r="C99" i="3"/>
  <c r="D99" i="3"/>
  <c r="E99" i="3"/>
  <c r="F99" i="3"/>
  <c r="G99" i="3"/>
  <c r="H99" i="3"/>
  <c r="I99" i="3"/>
  <c r="J99" i="3"/>
  <c r="K99" i="3"/>
  <c r="L99" i="3"/>
  <c r="M99" i="3"/>
  <c r="N99" i="3"/>
  <c r="O99" i="3"/>
  <c r="P99" i="3"/>
  <c r="Q99" i="3"/>
  <c r="R99" i="3"/>
  <c r="S99" i="3"/>
  <c r="T99" i="3"/>
  <c r="U99" i="3"/>
  <c r="V99" i="3"/>
  <c r="W99" i="3"/>
  <c r="X99" i="3"/>
  <c r="Y99" i="3"/>
  <c r="Z99" i="3"/>
  <c r="AA99" i="3"/>
  <c r="AB99" i="3"/>
  <c r="C100" i="3"/>
  <c r="D100" i="3"/>
  <c r="E100" i="3"/>
  <c r="F100" i="3"/>
  <c r="G100" i="3"/>
  <c r="H100" i="3"/>
  <c r="I100" i="3"/>
  <c r="J100" i="3"/>
  <c r="K100" i="3"/>
  <c r="L100" i="3"/>
  <c r="M100" i="3"/>
  <c r="N100" i="3"/>
  <c r="O100" i="3"/>
  <c r="P100" i="3"/>
  <c r="Q100" i="3"/>
  <c r="R100" i="3"/>
  <c r="S100" i="3"/>
  <c r="T100" i="3"/>
  <c r="U100" i="3"/>
  <c r="V100" i="3"/>
  <c r="W100" i="3"/>
  <c r="X100" i="3"/>
  <c r="Y100" i="3"/>
  <c r="Z100" i="3"/>
  <c r="AA100" i="3"/>
  <c r="AB100" i="3"/>
  <c r="C101" i="3"/>
  <c r="D101" i="3"/>
  <c r="E101" i="3"/>
  <c r="F101" i="3"/>
  <c r="G101" i="3"/>
  <c r="H101" i="3"/>
  <c r="I101" i="3"/>
  <c r="J101" i="3"/>
  <c r="K101" i="3"/>
  <c r="L101" i="3"/>
  <c r="M101" i="3"/>
  <c r="N101" i="3"/>
  <c r="O101" i="3"/>
  <c r="P101" i="3"/>
  <c r="Q101" i="3"/>
  <c r="R101" i="3"/>
  <c r="S101" i="3"/>
  <c r="T101" i="3"/>
  <c r="U101" i="3"/>
  <c r="V101" i="3"/>
  <c r="W101" i="3"/>
  <c r="X101" i="3"/>
  <c r="Y101" i="3"/>
  <c r="Z101" i="3"/>
  <c r="AA101" i="3"/>
  <c r="AB101" i="3"/>
  <c r="C102" i="3"/>
  <c r="D102" i="3"/>
  <c r="E102" i="3"/>
  <c r="F102" i="3"/>
  <c r="G102" i="3"/>
  <c r="H102" i="3"/>
  <c r="I102" i="3"/>
  <c r="J102" i="3"/>
  <c r="K102" i="3"/>
  <c r="L102" i="3"/>
  <c r="M102" i="3"/>
  <c r="N102" i="3"/>
  <c r="O102" i="3"/>
  <c r="P102" i="3"/>
  <c r="Q102" i="3"/>
  <c r="R102" i="3"/>
  <c r="S102" i="3"/>
  <c r="T102" i="3"/>
  <c r="U102" i="3"/>
  <c r="V102" i="3"/>
  <c r="W102" i="3"/>
  <c r="X102" i="3"/>
  <c r="Y102" i="3"/>
  <c r="Z102" i="3"/>
  <c r="AA102" i="3"/>
  <c r="AB102" i="3"/>
  <c r="C103" i="3"/>
  <c r="D103" i="3"/>
  <c r="E103" i="3"/>
  <c r="F103" i="3"/>
  <c r="G103" i="3"/>
  <c r="H103" i="3"/>
  <c r="I103" i="3"/>
  <c r="J103" i="3"/>
  <c r="K103" i="3"/>
  <c r="L103" i="3"/>
  <c r="M103" i="3"/>
  <c r="N103" i="3"/>
  <c r="O103" i="3"/>
  <c r="P103" i="3"/>
  <c r="Q103" i="3"/>
  <c r="R103" i="3"/>
  <c r="S103" i="3"/>
  <c r="T103" i="3"/>
  <c r="U103" i="3"/>
  <c r="V103" i="3"/>
  <c r="W103" i="3"/>
  <c r="X103" i="3"/>
  <c r="Y103" i="3"/>
  <c r="Z103" i="3"/>
  <c r="AA103" i="3"/>
  <c r="AB103" i="3"/>
  <c r="C104" i="3"/>
  <c r="D104" i="3"/>
  <c r="E104" i="3"/>
  <c r="F104" i="3"/>
  <c r="G104" i="3"/>
  <c r="H104" i="3"/>
  <c r="I104" i="3"/>
  <c r="J104" i="3"/>
  <c r="K104" i="3"/>
  <c r="L104" i="3"/>
  <c r="M104" i="3"/>
  <c r="N104" i="3"/>
  <c r="O104" i="3"/>
  <c r="P104" i="3"/>
  <c r="Q104" i="3"/>
  <c r="R104" i="3"/>
  <c r="S104" i="3"/>
  <c r="T104" i="3"/>
  <c r="U104" i="3"/>
  <c r="V104" i="3"/>
  <c r="W104" i="3"/>
  <c r="X104" i="3"/>
  <c r="Y104" i="3"/>
  <c r="Z104" i="3"/>
  <c r="AA104" i="3"/>
  <c r="AB104" i="3"/>
  <c r="C105" i="3"/>
  <c r="D105" i="3"/>
  <c r="E105" i="3"/>
  <c r="F105" i="3"/>
  <c r="G105" i="3"/>
  <c r="H105" i="3"/>
  <c r="I105" i="3"/>
  <c r="J105" i="3"/>
  <c r="K105" i="3"/>
  <c r="L105" i="3"/>
  <c r="M105" i="3"/>
  <c r="N105" i="3"/>
  <c r="O105" i="3"/>
  <c r="P105" i="3"/>
  <c r="Q105" i="3"/>
  <c r="R105" i="3"/>
  <c r="S105" i="3"/>
  <c r="T105" i="3"/>
  <c r="U105" i="3"/>
  <c r="V105" i="3"/>
  <c r="W105" i="3"/>
  <c r="X105" i="3"/>
  <c r="Y105" i="3"/>
  <c r="Z105" i="3"/>
  <c r="AA105" i="3"/>
  <c r="AB105" i="3"/>
  <c r="C106" i="3"/>
  <c r="D106" i="3"/>
  <c r="E106" i="3"/>
  <c r="F106" i="3"/>
  <c r="G106" i="3"/>
  <c r="H106" i="3"/>
  <c r="I106" i="3"/>
  <c r="J106" i="3"/>
  <c r="K106" i="3"/>
  <c r="L106" i="3"/>
  <c r="M106" i="3"/>
  <c r="N106" i="3"/>
  <c r="O106" i="3"/>
  <c r="P106" i="3"/>
  <c r="Q106" i="3"/>
  <c r="R106" i="3"/>
  <c r="S106" i="3"/>
  <c r="T106" i="3"/>
  <c r="U106" i="3"/>
  <c r="V106" i="3"/>
  <c r="W106" i="3"/>
  <c r="X106" i="3"/>
  <c r="Y106" i="3"/>
  <c r="Z106" i="3"/>
  <c r="AA106" i="3"/>
  <c r="AB106" i="3"/>
  <c r="C107" i="3"/>
  <c r="D107" i="3"/>
  <c r="E107" i="3"/>
  <c r="F107" i="3"/>
  <c r="G107" i="3"/>
  <c r="H107" i="3"/>
  <c r="I107" i="3"/>
  <c r="J107" i="3"/>
  <c r="K107" i="3"/>
  <c r="L107" i="3"/>
  <c r="M107" i="3"/>
  <c r="N107" i="3"/>
  <c r="O107" i="3"/>
  <c r="P107" i="3"/>
  <c r="Q107" i="3"/>
  <c r="R107" i="3"/>
  <c r="S107" i="3"/>
  <c r="T107" i="3"/>
  <c r="U107" i="3"/>
  <c r="V107" i="3"/>
  <c r="W107" i="3"/>
  <c r="X107" i="3"/>
  <c r="Y107" i="3"/>
  <c r="Z107" i="3"/>
  <c r="AA107" i="3"/>
  <c r="AB107" i="3"/>
  <c r="C108" i="3"/>
  <c r="D108" i="3"/>
  <c r="E108" i="3"/>
  <c r="F108" i="3"/>
  <c r="G108" i="3"/>
  <c r="H108" i="3"/>
  <c r="I108" i="3"/>
  <c r="J108" i="3"/>
  <c r="K108" i="3"/>
  <c r="L108" i="3"/>
  <c r="M108" i="3"/>
  <c r="N108" i="3"/>
  <c r="O108" i="3"/>
  <c r="P108" i="3"/>
  <c r="Q108" i="3"/>
  <c r="R108" i="3"/>
  <c r="S108" i="3"/>
  <c r="T108" i="3"/>
  <c r="U108" i="3"/>
  <c r="V108" i="3"/>
  <c r="W108" i="3"/>
  <c r="X108" i="3"/>
  <c r="Y108" i="3"/>
  <c r="Z108" i="3"/>
  <c r="AA108" i="3"/>
  <c r="AB108" i="3"/>
  <c r="C109" i="3"/>
  <c r="D109" i="3"/>
  <c r="E109" i="3"/>
  <c r="F109" i="3"/>
  <c r="G109" i="3"/>
  <c r="H109" i="3"/>
  <c r="I109" i="3"/>
  <c r="J109" i="3"/>
  <c r="K109" i="3"/>
  <c r="L109" i="3"/>
  <c r="M109" i="3"/>
  <c r="N109" i="3"/>
  <c r="O109" i="3"/>
  <c r="P109" i="3"/>
  <c r="Q109" i="3"/>
  <c r="R109" i="3"/>
  <c r="S109" i="3"/>
  <c r="T109" i="3"/>
  <c r="U109" i="3"/>
  <c r="V109" i="3"/>
  <c r="W109" i="3"/>
  <c r="X109" i="3"/>
  <c r="Y109" i="3"/>
  <c r="Z109" i="3"/>
  <c r="AA109" i="3"/>
  <c r="AB109" i="3"/>
  <c r="C110" i="3"/>
  <c r="D110" i="3"/>
  <c r="E110" i="3"/>
  <c r="F110" i="3"/>
  <c r="G110" i="3"/>
  <c r="H110" i="3"/>
  <c r="I110" i="3"/>
  <c r="J110" i="3"/>
  <c r="K110" i="3"/>
  <c r="L110" i="3"/>
  <c r="M110" i="3"/>
  <c r="N110" i="3"/>
  <c r="O110" i="3"/>
  <c r="P110" i="3"/>
  <c r="Q110" i="3"/>
  <c r="R110" i="3"/>
  <c r="S110" i="3"/>
  <c r="T110" i="3"/>
  <c r="U110" i="3"/>
  <c r="V110" i="3"/>
  <c r="W110" i="3"/>
  <c r="X110" i="3"/>
  <c r="Y110" i="3"/>
  <c r="Z110" i="3"/>
  <c r="AA110" i="3"/>
  <c r="AB110" i="3"/>
  <c r="C111" i="3"/>
  <c r="D111" i="3"/>
  <c r="E111" i="3"/>
  <c r="F111" i="3"/>
  <c r="G111" i="3"/>
  <c r="H111" i="3"/>
  <c r="I111" i="3"/>
  <c r="J111" i="3"/>
  <c r="K111" i="3"/>
  <c r="L111" i="3"/>
  <c r="M111" i="3"/>
  <c r="N111" i="3"/>
  <c r="O111" i="3"/>
  <c r="P111" i="3"/>
  <c r="Q111" i="3"/>
  <c r="R111" i="3"/>
  <c r="S111" i="3"/>
  <c r="T111" i="3"/>
  <c r="U111" i="3"/>
  <c r="V111" i="3"/>
  <c r="W111" i="3"/>
  <c r="X111" i="3"/>
  <c r="Y111" i="3"/>
  <c r="Z111" i="3"/>
  <c r="AA111" i="3"/>
  <c r="AB111" i="3"/>
  <c r="C112" i="3"/>
  <c r="D112" i="3"/>
  <c r="E112" i="3"/>
  <c r="F112" i="3"/>
  <c r="G112" i="3"/>
  <c r="H112" i="3"/>
  <c r="I112" i="3"/>
  <c r="J112" i="3"/>
  <c r="K112" i="3"/>
  <c r="L112" i="3"/>
  <c r="M112" i="3"/>
  <c r="N112" i="3"/>
  <c r="O112" i="3"/>
  <c r="P112" i="3"/>
  <c r="Q112" i="3"/>
  <c r="R112" i="3"/>
  <c r="S112" i="3"/>
  <c r="T112" i="3"/>
  <c r="U112" i="3"/>
  <c r="V112" i="3"/>
  <c r="W112" i="3"/>
  <c r="X112" i="3"/>
  <c r="Y112" i="3"/>
  <c r="Z112" i="3"/>
  <c r="AA112" i="3"/>
  <c r="AB112" i="3"/>
  <c r="C113" i="3"/>
  <c r="D113" i="3"/>
  <c r="E113" i="3"/>
  <c r="F113" i="3"/>
  <c r="G113" i="3"/>
  <c r="H113" i="3"/>
  <c r="I113" i="3"/>
  <c r="J113" i="3"/>
  <c r="K113" i="3"/>
  <c r="L113" i="3"/>
  <c r="M113" i="3"/>
  <c r="N113" i="3"/>
  <c r="O113" i="3"/>
  <c r="P113" i="3"/>
  <c r="Q113" i="3"/>
  <c r="R113" i="3"/>
  <c r="S113" i="3"/>
  <c r="T113" i="3"/>
  <c r="U113" i="3"/>
  <c r="V113" i="3"/>
  <c r="W113" i="3"/>
  <c r="X113" i="3"/>
  <c r="Y113" i="3"/>
  <c r="Z113" i="3"/>
  <c r="AA113" i="3"/>
  <c r="AB113" i="3"/>
  <c r="C114" i="3"/>
  <c r="D114" i="3"/>
  <c r="E114" i="3"/>
  <c r="F114" i="3"/>
  <c r="G114" i="3"/>
  <c r="H114" i="3"/>
  <c r="I114" i="3"/>
  <c r="J114" i="3"/>
  <c r="K114" i="3"/>
  <c r="L114" i="3"/>
  <c r="M114" i="3"/>
  <c r="N114" i="3"/>
  <c r="O114" i="3"/>
  <c r="P114" i="3"/>
  <c r="Q114" i="3"/>
  <c r="R114" i="3"/>
  <c r="S114" i="3"/>
  <c r="T114" i="3"/>
  <c r="U114" i="3"/>
  <c r="V114" i="3"/>
  <c r="W114" i="3"/>
  <c r="X114" i="3"/>
  <c r="Y114" i="3"/>
  <c r="Z114" i="3"/>
  <c r="AA114" i="3"/>
  <c r="AB114" i="3"/>
  <c r="C115" i="3"/>
  <c r="D115" i="3"/>
  <c r="E115" i="3"/>
  <c r="F115" i="3"/>
  <c r="G115" i="3"/>
  <c r="H115" i="3"/>
  <c r="I115" i="3"/>
  <c r="J115" i="3"/>
  <c r="K115" i="3"/>
  <c r="L115" i="3"/>
  <c r="M115" i="3"/>
  <c r="N115" i="3"/>
  <c r="O115" i="3"/>
  <c r="P115" i="3"/>
  <c r="Q115" i="3"/>
  <c r="R115" i="3"/>
  <c r="S115" i="3"/>
  <c r="T115" i="3"/>
  <c r="U115" i="3"/>
  <c r="V115" i="3"/>
  <c r="W115" i="3"/>
  <c r="X115" i="3"/>
  <c r="Y115" i="3"/>
  <c r="Z115" i="3"/>
  <c r="AA115" i="3"/>
  <c r="AB115" i="3"/>
  <c r="C116" i="3"/>
  <c r="D116" i="3"/>
  <c r="E116" i="3"/>
  <c r="F116" i="3"/>
  <c r="G116" i="3"/>
  <c r="H116" i="3"/>
  <c r="I116" i="3"/>
  <c r="J116" i="3"/>
  <c r="K116" i="3"/>
  <c r="L116" i="3"/>
  <c r="M116" i="3"/>
  <c r="N116" i="3"/>
  <c r="O116" i="3"/>
  <c r="P116" i="3"/>
  <c r="Q116" i="3"/>
  <c r="R116" i="3"/>
  <c r="S116" i="3"/>
  <c r="T116" i="3"/>
  <c r="U116" i="3"/>
  <c r="V116" i="3"/>
  <c r="W116" i="3"/>
  <c r="X116" i="3"/>
  <c r="Y116" i="3"/>
  <c r="Z116" i="3"/>
  <c r="AA116" i="3"/>
  <c r="AB116" i="3"/>
  <c r="C117" i="3"/>
  <c r="D117" i="3"/>
  <c r="E117" i="3"/>
  <c r="F117" i="3"/>
  <c r="G117" i="3"/>
  <c r="H117" i="3"/>
  <c r="I117" i="3"/>
  <c r="J117" i="3"/>
  <c r="K117" i="3"/>
  <c r="L117" i="3"/>
  <c r="M117" i="3"/>
  <c r="N117" i="3"/>
  <c r="O117" i="3"/>
  <c r="P117" i="3"/>
  <c r="Q117" i="3"/>
  <c r="R117" i="3"/>
  <c r="S117" i="3"/>
  <c r="T117" i="3"/>
  <c r="U117" i="3"/>
  <c r="V117" i="3"/>
  <c r="W117" i="3"/>
  <c r="X117" i="3"/>
  <c r="Y117" i="3"/>
  <c r="Z117" i="3"/>
  <c r="AA117" i="3"/>
  <c r="AB117" i="3"/>
  <c r="C118" i="3"/>
  <c r="D118" i="3"/>
  <c r="E118" i="3"/>
  <c r="F118" i="3"/>
  <c r="G118" i="3"/>
  <c r="H118" i="3"/>
  <c r="I118" i="3"/>
  <c r="J118" i="3"/>
  <c r="K118" i="3"/>
  <c r="L118" i="3"/>
  <c r="M118" i="3"/>
  <c r="N118" i="3"/>
  <c r="O118" i="3"/>
  <c r="P118" i="3"/>
  <c r="Q118" i="3"/>
  <c r="R118" i="3"/>
  <c r="S118" i="3"/>
  <c r="T118" i="3"/>
  <c r="U118" i="3"/>
  <c r="V118" i="3"/>
  <c r="W118" i="3"/>
  <c r="X118" i="3"/>
  <c r="Y118" i="3"/>
  <c r="Z118" i="3"/>
  <c r="AA118" i="3"/>
  <c r="AB118" i="3"/>
  <c r="C119" i="3"/>
  <c r="D119" i="3"/>
  <c r="E119" i="3"/>
  <c r="F119" i="3"/>
  <c r="G119" i="3"/>
  <c r="H119" i="3"/>
  <c r="I119" i="3"/>
  <c r="J119" i="3"/>
  <c r="K119" i="3"/>
  <c r="L119" i="3"/>
  <c r="M119" i="3"/>
  <c r="N119" i="3"/>
  <c r="O119" i="3"/>
  <c r="P119" i="3"/>
  <c r="Q119" i="3"/>
  <c r="R119" i="3"/>
  <c r="S119" i="3"/>
  <c r="T119" i="3"/>
  <c r="U119" i="3"/>
  <c r="V119" i="3"/>
  <c r="W119" i="3"/>
  <c r="X119" i="3"/>
  <c r="Y119" i="3"/>
  <c r="Z119" i="3"/>
  <c r="AA119" i="3"/>
  <c r="AB119" i="3"/>
  <c r="C120" i="3"/>
  <c r="D120" i="3"/>
  <c r="E120" i="3"/>
  <c r="F120" i="3"/>
  <c r="G120" i="3"/>
  <c r="H120" i="3"/>
  <c r="I120" i="3"/>
  <c r="J120" i="3"/>
  <c r="K120" i="3"/>
  <c r="L120" i="3"/>
  <c r="M120" i="3"/>
  <c r="N120" i="3"/>
  <c r="O120" i="3"/>
  <c r="P120" i="3"/>
  <c r="Q120" i="3"/>
  <c r="R120" i="3"/>
  <c r="S120" i="3"/>
  <c r="T120" i="3"/>
  <c r="U120" i="3"/>
  <c r="V120" i="3"/>
  <c r="W120" i="3"/>
  <c r="X120" i="3"/>
  <c r="Y120" i="3"/>
  <c r="Z120" i="3"/>
  <c r="AA120" i="3"/>
  <c r="AB120" i="3"/>
  <c r="C121" i="3"/>
  <c r="D121" i="3"/>
  <c r="E121" i="3"/>
  <c r="F121" i="3"/>
  <c r="G121" i="3"/>
  <c r="H121" i="3"/>
  <c r="I121" i="3"/>
  <c r="J121" i="3"/>
  <c r="K121" i="3"/>
  <c r="L121" i="3"/>
  <c r="M121" i="3"/>
  <c r="N121" i="3"/>
  <c r="O121" i="3"/>
  <c r="P121" i="3"/>
  <c r="Q121" i="3"/>
  <c r="R121" i="3"/>
  <c r="S121" i="3"/>
  <c r="T121" i="3"/>
  <c r="U121" i="3"/>
  <c r="V121" i="3"/>
  <c r="W121" i="3"/>
  <c r="X121" i="3"/>
  <c r="Y121" i="3"/>
  <c r="Z121" i="3"/>
  <c r="AA121" i="3"/>
  <c r="AB121" i="3"/>
  <c r="C122" i="3"/>
  <c r="D122" i="3"/>
  <c r="E122" i="3"/>
  <c r="F122" i="3"/>
  <c r="G122" i="3"/>
  <c r="H122" i="3"/>
  <c r="I122" i="3"/>
  <c r="J122" i="3"/>
  <c r="K122" i="3"/>
  <c r="L122" i="3"/>
  <c r="M122" i="3"/>
  <c r="N122" i="3"/>
  <c r="O122" i="3"/>
  <c r="P122" i="3"/>
  <c r="Q122" i="3"/>
  <c r="R122" i="3"/>
  <c r="S122" i="3"/>
  <c r="T122" i="3"/>
  <c r="U122" i="3"/>
  <c r="V122" i="3"/>
  <c r="W122" i="3"/>
  <c r="X122" i="3"/>
  <c r="Y122" i="3"/>
  <c r="Z122" i="3"/>
  <c r="AA122" i="3"/>
  <c r="AB122" i="3"/>
  <c r="C123" i="3"/>
  <c r="D123" i="3"/>
  <c r="E123" i="3"/>
  <c r="F123" i="3"/>
  <c r="G123" i="3"/>
  <c r="H123" i="3"/>
  <c r="I123" i="3"/>
  <c r="J123" i="3"/>
  <c r="K123" i="3"/>
  <c r="L123" i="3"/>
  <c r="M123" i="3"/>
  <c r="N123" i="3"/>
  <c r="O123" i="3"/>
  <c r="P123" i="3"/>
  <c r="Q123" i="3"/>
  <c r="R123" i="3"/>
  <c r="S123" i="3"/>
  <c r="T123" i="3"/>
  <c r="U123" i="3"/>
  <c r="V123" i="3"/>
  <c r="W123" i="3"/>
  <c r="X123" i="3"/>
  <c r="Y123" i="3"/>
  <c r="Z123" i="3"/>
  <c r="AA123" i="3"/>
  <c r="AB123" i="3"/>
  <c r="C124" i="3"/>
  <c r="D124" i="3"/>
  <c r="E124" i="3"/>
  <c r="F124" i="3"/>
  <c r="G124" i="3"/>
  <c r="H124" i="3"/>
  <c r="I124" i="3"/>
  <c r="J124" i="3"/>
  <c r="K124" i="3"/>
  <c r="L124" i="3"/>
  <c r="M124" i="3"/>
  <c r="N124" i="3"/>
  <c r="O124" i="3"/>
  <c r="P124" i="3"/>
  <c r="Q124" i="3"/>
  <c r="R124" i="3"/>
  <c r="S124" i="3"/>
  <c r="T124" i="3"/>
  <c r="U124" i="3"/>
  <c r="V124" i="3"/>
  <c r="W124" i="3"/>
  <c r="X124" i="3"/>
  <c r="Y124" i="3"/>
  <c r="Z124" i="3"/>
  <c r="AA124" i="3"/>
  <c r="AB124" i="3"/>
  <c r="C125" i="3"/>
  <c r="D125" i="3"/>
  <c r="E125" i="3"/>
  <c r="F125" i="3"/>
  <c r="G125" i="3"/>
  <c r="H125" i="3"/>
  <c r="I125" i="3"/>
  <c r="J125" i="3"/>
  <c r="K125" i="3"/>
  <c r="L125" i="3"/>
  <c r="M125" i="3"/>
  <c r="N125" i="3"/>
  <c r="O125" i="3"/>
  <c r="P125" i="3"/>
  <c r="Q125" i="3"/>
  <c r="R125" i="3"/>
  <c r="S125" i="3"/>
  <c r="T125" i="3"/>
  <c r="U125" i="3"/>
  <c r="V125" i="3"/>
  <c r="W125" i="3"/>
  <c r="X125" i="3"/>
  <c r="Y125" i="3"/>
  <c r="Z125" i="3"/>
  <c r="AA125" i="3"/>
  <c r="AB125" i="3"/>
  <c r="C126" i="3"/>
  <c r="D126" i="3"/>
  <c r="E126" i="3"/>
  <c r="F126" i="3"/>
  <c r="G126" i="3"/>
  <c r="H126" i="3"/>
  <c r="I126" i="3"/>
  <c r="J126" i="3"/>
  <c r="K126" i="3"/>
  <c r="L126" i="3"/>
  <c r="M126" i="3"/>
  <c r="N126" i="3"/>
  <c r="O126" i="3"/>
  <c r="P126" i="3"/>
  <c r="Q126" i="3"/>
  <c r="R126" i="3"/>
  <c r="S126" i="3"/>
  <c r="T126" i="3"/>
  <c r="U126" i="3"/>
  <c r="V126" i="3"/>
  <c r="W126" i="3"/>
  <c r="X126" i="3"/>
  <c r="Y126" i="3"/>
  <c r="Z126" i="3"/>
  <c r="AA126" i="3"/>
  <c r="AB126" i="3"/>
  <c r="C127" i="3"/>
  <c r="D127" i="3"/>
  <c r="E127" i="3"/>
  <c r="F127" i="3"/>
  <c r="G127" i="3"/>
  <c r="H127" i="3"/>
  <c r="I127" i="3"/>
  <c r="J127" i="3"/>
  <c r="K127" i="3"/>
  <c r="L127" i="3"/>
  <c r="M127" i="3"/>
  <c r="N127" i="3"/>
  <c r="O127" i="3"/>
  <c r="P127" i="3"/>
  <c r="Q127" i="3"/>
  <c r="R127" i="3"/>
  <c r="S127" i="3"/>
  <c r="T127" i="3"/>
  <c r="U127" i="3"/>
  <c r="V127" i="3"/>
  <c r="W127" i="3"/>
  <c r="X127" i="3"/>
  <c r="Y127" i="3"/>
  <c r="Z127" i="3"/>
  <c r="AA127" i="3"/>
  <c r="AB127" i="3"/>
  <c r="C128" i="3"/>
  <c r="D128" i="3"/>
  <c r="E128" i="3"/>
  <c r="F128" i="3"/>
  <c r="G128" i="3"/>
  <c r="H128" i="3"/>
  <c r="I128" i="3"/>
  <c r="J128" i="3"/>
  <c r="K128" i="3"/>
  <c r="L128" i="3"/>
  <c r="M128" i="3"/>
  <c r="N128" i="3"/>
  <c r="O128" i="3"/>
  <c r="P128" i="3"/>
  <c r="Q128" i="3"/>
  <c r="R128" i="3"/>
  <c r="S128" i="3"/>
  <c r="T128" i="3"/>
  <c r="U128" i="3"/>
  <c r="V128" i="3"/>
  <c r="W128" i="3"/>
  <c r="X128" i="3"/>
  <c r="Y128" i="3"/>
  <c r="Z128" i="3"/>
  <c r="AA128" i="3"/>
  <c r="AB128" i="3"/>
  <c r="C129" i="3"/>
  <c r="D129" i="3"/>
  <c r="E129" i="3"/>
  <c r="F129" i="3"/>
  <c r="G129" i="3"/>
  <c r="H129" i="3"/>
  <c r="I129" i="3"/>
  <c r="J129" i="3"/>
  <c r="K129" i="3"/>
  <c r="L129" i="3"/>
  <c r="M129" i="3"/>
  <c r="N129" i="3"/>
  <c r="O129" i="3"/>
  <c r="P129" i="3"/>
  <c r="Q129" i="3"/>
  <c r="R129" i="3"/>
  <c r="S129" i="3"/>
  <c r="T129" i="3"/>
  <c r="U129" i="3"/>
  <c r="V129" i="3"/>
  <c r="W129" i="3"/>
  <c r="X129" i="3"/>
  <c r="Y129" i="3"/>
  <c r="Z129" i="3"/>
  <c r="AA129" i="3"/>
  <c r="AB129" i="3"/>
  <c r="C130" i="3"/>
  <c r="D130" i="3"/>
  <c r="E130" i="3"/>
  <c r="F130" i="3"/>
  <c r="G130" i="3"/>
  <c r="H130" i="3"/>
  <c r="I130" i="3"/>
  <c r="J130" i="3"/>
  <c r="K130" i="3"/>
  <c r="L130" i="3"/>
  <c r="M130" i="3"/>
  <c r="N130" i="3"/>
  <c r="O130" i="3"/>
  <c r="P130" i="3"/>
  <c r="Q130" i="3"/>
  <c r="R130" i="3"/>
  <c r="S130" i="3"/>
  <c r="T130" i="3"/>
  <c r="U130" i="3"/>
  <c r="V130" i="3"/>
  <c r="W130" i="3"/>
  <c r="X130" i="3"/>
  <c r="Y130" i="3"/>
  <c r="Z130" i="3"/>
  <c r="AA130" i="3"/>
  <c r="AB130" i="3"/>
  <c r="C131" i="3"/>
  <c r="D131" i="3"/>
  <c r="E131" i="3"/>
  <c r="F131" i="3"/>
  <c r="G131" i="3"/>
  <c r="H131" i="3"/>
  <c r="I131" i="3"/>
  <c r="J131" i="3"/>
  <c r="K131" i="3"/>
  <c r="L131" i="3"/>
  <c r="M131" i="3"/>
  <c r="N131" i="3"/>
  <c r="O131" i="3"/>
  <c r="P131" i="3"/>
  <c r="Q131" i="3"/>
  <c r="R131" i="3"/>
  <c r="S131" i="3"/>
  <c r="T131" i="3"/>
  <c r="U131" i="3"/>
  <c r="V131" i="3"/>
  <c r="W131" i="3"/>
  <c r="X131" i="3"/>
  <c r="Y131" i="3"/>
  <c r="Z131" i="3"/>
  <c r="AA131" i="3"/>
  <c r="AB131" i="3"/>
  <c r="C132" i="3"/>
  <c r="D132" i="3"/>
  <c r="E132" i="3"/>
  <c r="F132" i="3"/>
  <c r="G132" i="3"/>
  <c r="H132" i="3"/>
  <c r="I132" i="3"/>
  <c r="J132" i="3"/>
  <c r="K132" i="3"/>
  <c r="L132" i="3"/>
  <c r="M132" i="3"/>
  <c r="N132" i="3"/>
  <c r="O132" i="3"/>
  <c r="P132" i="3"/>
  <c r="Q132" i="3"/>
  <c r="R132" i="3"/>
  <c r="S132" i="3"/>
  <c r="T132" i="3"/>
  <c r="U132" i="3"/>
  <c r="V132" i="3"/>
  <c r="W132" i="3"/>
  <c r="X132" i="3"/>
  <c r="Y132" i="3"/>
  <c r="Z132" i="3"/>
  <c r="AA132" i="3"/>
  <c r="AB132" i="3"/>
  <c r="C133" i="3"/>
  <c r="D133" i="3"/>
  <c r="E133" i="3"/>
  <c r="F133" i="3"/>
  <c r="G133" i="3"/>
  <c r="H133" i="3"/>
  <c r="I133" i="3"/>
  <c r="J133" i="3"/>
  <c r="K133" i="3"/>
  <c r="L133" i="3"/>
  <c r="M133" i="3"/>
  <c r="N133" i="3"/>
  <c r="O133" i="3"/>
  <c r="P133" i="3"/>
  <c r="Q133" i="3"/>
  <c r="R133" i="3"/>
  <c r="S133" i="3"/>
  <c r="T133" i="3"/>
  <c r="U133" i="3"/>
  <c r="V133" i="3"/>
  <c r="W133" i="3"/>
  <c r="X133" i="3"/>
  <c r="Y133" i="3"/>
  <c r="Z133" i="3"/>
  <c r="AA133" i="3"/>
  <c r="AB133" i="3"/>
  <c r="D98" i="3"/>
  <c r="E98" i="3"/>
  <c r="F98" i="3"/>
  <c r="G98" i="3"/>
  <c r="H98" i="3"/>
  <c r="I98" i="3"/>
  <c r="J98" i="3"/>
  <c r="K98" i="3"/>
  <c r="L98" i="3"/>
  <c r="M98" i="3"/>
  <c r="N98" i="3"/>
  <c r="O98" i="3"/>
  <c r="P98" i="3"/>
  <c r="Q98" i="3"/>
  <c r="R98" i="3"/>
  <c r="S98" i="3"/>
  <c r="T98" i="3"/>
  <c r="U98" i="3"/>
  <c r="V98" i="3"/>
  <c r="W98" i="3"/>
  <c r="X98" i="3"/>
  <c r="Y98" i="3"/>
  <c r="Z98" i="3"/>
  <c r="AA98" i="3"/>
  <c r="AB98" i="3"/>
  <c r="C98" i="3"/>
  <c r="C107" i="2"/>
  <c r="D107" i="2"/>
  <c r="E107" i="2"/>
  <c r="F107" i="2"/>
  <c r="G107" i="2"/>
  <c r="H107" i="2"/>
  <c r="I107" i="2"/>
  <c r="J107" i="2"/>
  <c r="K107" i="2"/>
  <c r="L107" i="2"/>
  <c r="M107" i="2"/>
  <c r="N107" i="2"/>
  <c r="O107" i="2"/>
  <c r="P107" i="2"/>
  <c r="Q107" i="2"/>
  <c r="R107" i="2"/>
  <c r="S107" i="2"/>
  <c r="T107" i="2"/>
  <c r="U107" i="2"/>
  <c r="V107" i="2"/>
  <c r="W107" i="2"/>
  <c r="X107" i="2"/>
  <c r="Y107" i="2"/>
  <c r="Z107" i="2"/>
  <c r="AA107" i="2"/>
  <c r="AB107" i="2"/>
  <c r="AC107" i="2"/>
  <c r="C108" i="2"/>
  <c r="D108" i="2"/>
  <c r="E108" i="2"/>
  <c r="F108" i="2"/>
  <c r="G108" i="2"/>
  <c r="H108" i="2"/>
  <c r="I108" i="2"/>
  <c r="J108" i="2"/>
  <c r="K108" i="2"/>
  <c r="L108" i="2"/>
  <c r="M108" i="2"/>
  <c r="N108" i="2"/>
  <c r="O108" i="2"/>
  <c r="P108" i="2"/>
  <c r="Q108" i="2"/>
  <c r="R108" i="2"/>
  <c r="S108" i="2"/>
  <c r="T108" i="2"/>
  <c r="U108" i="2"/>
  <c r="V108" i="2"/>
  <c r="W108" i="2"/>
  <c r="X108" i="2"/>
  <c r="Y108" i="2"/>
  <c r="Z108" i="2"/>
  <c r="AA108" i="2"/>
  <c r="AB108" i="2"/>
  <c r="AC108" i="2"/>
  <c r="C109" i="2"/>
  <c r="D109" i="2"/>
  <c r="E109" i="2"/>
  <c r="F109" i="2"/>
  <c r="G109" i="2"/>
  <c r="H109" i="2"/>
  <c r="I109" i="2"/>
  <c r="J109" i="2"/>
  <c r="K109" i="2"/>
  <c r="L109" i="2"/>
  <c r="M109" i="2"/>
  <c r="N109" i="2"/>
  <c r="O109" i="2"/>
  <c r="P109" i="2"/>
  <c r="Q109" i="2"/>
  <c r="R109" i="2"/>
  <c r="S109" i="2"/>
  <c r="T109" i="2"/>
  <c r="U109" i="2"/>
  <c r="V109" i="2"/>
  <c r="W109" i="2"/>
  <c r="X109" i="2"/>
  <c r="Y109" i="2"/>
  <c r="Z109" i="2"/>
  <c r="AA109" i="2"/>
  <c r="AB109" i="2"/>
  <c r="AC109" i="2"/>
  <c r="C110" i="2"/>
  <c r="D110" i="2"/>
  <c r="E110" i="2"/>
  <c r="F110" i="2"/>
  <c r="G110" i="2"/>
  <c r="H110" i="2"/>
  <c r="I110" i="2"/>
  <c r="J110" i="2"/>
  <c r="K110" i="2"/>
  <c r="L110" i="2"/>
  <c r="M110" i="2"/>
  <c r="N110" i="2"/>
  <c r="O110" i="2"/>
  <c r="P110" i="2"/>
  <c r="Q110" i="2"/>
  <c r="R110" i="2"/>
  <c r="S110" i="2"/>
  <c r="T110" i="2"/>
  <c r="U110" i="2"/>
  <c r="V110" i="2"/>
  <c r="W110" i="2"/>
  <c r="X110" i="2"/>
  <c r="Y110" i="2"/>
  <c r="Z110" i="2"/>
  <c r="AA110" i="2"/>
  <c r="AB110" i="2"/>
  <c r="AC110" i="2"/>
  <c r="C111" i="2"/>
  <c r="D111" i="2"/>
  <c r="E111" i="2"/>
  <c r="F111" i="2"/>
  <c r="G111" i="2"/>
  <c r="H111" i="2"/>
  <c r="I111" i="2"/>
  <c r="J111" i="2"/>
  <c r="K111" i="2"/>
  <c r="L111" i="2"/>
  <c r="M111" i="2"/>
  <c r="N111" i="2"/>
  <c r="O111" i="2"/>
  <c r="P111" i="2"/>
  <c r="Q111" i="2"/>
  <c r="R111" i="2"/>
  <c r="S111" i="2"/>
  <c r="T111" i="2"/>
  <c r="U111" i="2"/>
  <c r="V111" i="2"/>
  <c r="W111" i="2"/>
  <c r="X111" i="2"/>
  <c r="Y111" i="2"/>
  <c r="Z111" i="2"/>
  <c r="AA111" i="2"/>
  <c r="AB111" i="2"/>
  <c r="AC111" i="2"/>
  <c r="C112" i="2"/>
  <c r="D112" i="2"/>
  <c r="E112" i="2"/>
  <c r="F112" i="2"/>
  <c r="G112" i="2"/>
  <c r="H112" i="2"/>
  <c r="I112" i="2"/>
  <c r="J112" i="2"/>
  <c r="K112" i="2"/>
  <c r="L112" i="2"/>
  <c r="M112" i="2"/>
  <c r="N112" i="2"/>
  <c r="O112" i="2"/>
  <c r="P112" i="2"/>
  <c r="Q112" i="2"/>
  <c r="R112" i="2"/>
  <c r="S112" i="2"/>
  <c r="T112" i="2"/>
  <c r="U112" i="2"/>
  <c r="V112" i="2"/>
  <c r="W112" i="2"/>
  <c r="X112" i="2"/>
  <c r="Y112" i="2"/>
  <c r="Z112" i="2"/>
  <c r="AA112" i="2"/>
  <c r="AB112" i="2"/>
  <c r="AC112" i="2"/>
  <c r="C113" i="2"/>
  <c r="D113" i="2"/>
  <c r="E113" i="2"/>
  <c r="F113" i="2"/>
  <c r="G113" i="2"/>
  <c r="H113" i="2"/>
  <c r="I113" i="2"/>
  <c r="J113" i="2"/>
  <c r="K113" i="2"/>
  <c r="L113" i="2"/>
  <c r="M113" i="2"/>
  <c r="N113" i="2"/>
  <c r="O113" i="2"/>
  <c r="P113" i="2"/>
  <c r="Q113" i="2"/>
  <c r="R113" i="2"/>
  <c r="S113" i="2"/>
  <c r="T113" i="2"/>
  <c r="U113" i="2"/>
  <c r="V113" i="2"/>
  <c r="W113" i="2"/>
  <c r="X113" i="2"/>
  <c r="Y113" i="2"/>
  <c r="Z113" i="2"/>
  <c r="AA113" i="2"/>
  <c r="AB113" i="2"/>
  <c r="AC113" i="2"/>
  <c r="C114" i="2"/>
  <c r="D114" i="2"/>
  <c r="E114" i="2"/>
  <c r="F114" i="2"/>
  <c r="G114" i="2"/>
  <c r="H114" i="2"/>
  <c r="I114" i="2"/>
  <c r="J114" i="2"/>
  <c r="K114" i="2"/>
  <c r="L114" i="2"/>
  <c r="M114" i="2"/>
  <c r="N114" i="2"/>
  <c r="O114" i="2"/>
  <c r="P114" i="2"/>
  <c r="Q114" i="2"/>
  <c r="R114" i="2"/>
  <c r="S114" i="2"/>
  <c r="T114" i="2"/>
  <c r="U114" i="2"/>
  <c r="V114" i="2"/>
  <c r="W114" i="2"/>
  <c r="X114" i="2"/>
  <c r="Y114" i="2"/>
  <c r="Z114" i="2"/>
  <c r="AA114" i="2"/>
  <c r="AB114" i="2"/>
  <c r="AC114" i="2"/>
  <c r="C115" i="2"/>
  <c r="D115" i="2"/>
  <c r="E115" i="2"/>
  <c r="F115" i="2"/>
  <c r="G115" i="2"/>
  <c r="H115" i="2"/>
  <c r="I115" i="2"/>
  <c r="J115" i="2"/>
  <c r="K115" i="2"/>
  <c r="L115" i="2"/>
  <c r="M115" i="2"/>
  <c r="N115" i="2"/>
  <c r="O115" i="2"/>
  <c r="P115" i="2"/>
  <c r="Q115" i="2"/>
  <c r="R115" i="2"/>
  <c r="S115" i="2"/>
  <c r="T115" i="2"/>
  <c r="U115" i="2"/>
  <c r="V115" i="2"/>
  <c r="W115" i="2"/>
  <c r="X115" i="2"/>
  <c r="Y115" i="2"/>
  <c r="Z115" i="2"/>
  <c r="AA115" i="2"/>
  <c r="AB115" i="2"/>
  <c r="AC115" i="2"/>
  <c r="C116" i="2"/>
  <c r="D116" i="2"/>
  <c r="E116" i="2"/>
  <c r="F116" i="2"/>
  <c r="G116" i="2"/>
  <c r="H116" i="2"/>
  <c r="I116" i="2"/>
  <c r="J116" i="2"/>
  <c r="K116" i="2"/>
  <c r="L116" i="2"/>
  <c r="M116" i="2"/>
  <c r="N116" i="2"/>
  <c r="O116" i="2"/>
  <c r="P116" i="2"/>
  <c r="Q116" i="2"/>
  <c r="R116" i="2"/>
  <c r="S116" i="2"/>
  <c r="T116" i="2"/>
  <c r="U116" i="2"/>
  <c r="V116" i="2"/>
  <c r="W116" i="2"/>
  <c r="X116" i="2"/>
  <c r="Y116" i="2"/>
  <c r="Z116" i="2"/>
  <c r="AA116" i="2"/>
  <c r="AB116" i="2"/>
  <c r="AC116" i="2"/>
  <c r="C117" i="2"/>
  <c r="D117" i="2"/>
  <c r="E117" i="2"/>
  <c r="F117" i="2"/>
  <c r="G117" i="2"/>
  <c r="H117" i="2"/>
  <c r="I117" i="2"/>
  <c r="J117" i="2"/>
  <c r="K117" i="2"/>
  <c r="L117" i="2"/>
  <c r="M117" i="2"/>
  <c r="N117" i="2"/>
  <c r="O117" i="2"/>
  <c r="P117" i="2"/>
  <c r="Q117" i="2"/>
  <c r="R117" i="2"/>
  <c r="S117" i="2"/>
  <c r="T117" i="2"/>
  <c r="U117" i="2"/>
  <c r="V117" i="2"/>
  <c r="W117" i="2"/>
  <c r="X117" i="2"/>
  <c r="Y117" i="2"/>
  <c r="Z117" i="2"/>
  <c r="AA117" i="2"/>
  <c r="AB117" i="2"/>
  <c r="AC117" i="2"/>
  <c r="C118" i="2"/>
  <c r="D118" i="2"/>
  <c r="E118" i="2"/>
  <c r="F118" i="2"/>
  <c r="G118" i="2"/>
  <c r="H118" i="2"/>
  <c r="I118" i="2"/>
  <c r="J118" i="2"/>
  <c r="K118" i="2"/>
  <c r="L118" i="2"/>
  <c r="M118" i="2"/>
  <c r="N118" i="2"/>
  <c r="O118" i="2"/>
  <c r="P118" i="2"/>
  <c r="Q118" i="2"/>
  <c r="R118" i="2"/>
  <c r="S118" i="2"/>
  <c r="T118" i="2"/>
  <c r="U118" i="2"/>
  <c r="V118" i="2"/>
  <c r="W118" i="2"/>
  <c r="X118" i="2"/>
  <c r="Y118" i="2"/>
  <c r="Z118" i="2"/>
  <c r="AA118" i="2"/>
  <c r="AB118" i="2"/>
  <c r="AC118" i="2"/>
  <c r="C119" i="2"/>
  <c r="D119" i="2"/>
  <c r="E119" i="2"/>
  <c r="F119" i="2"/>
  <c r="G119" i="2"/>
  <c r="H119" i="2"/>
  <c r="I119" i="2"/>
  <c r="J119" i="2"/>
  <c r="K119" i="2"/>
  <c r="L119" i="2"/>
  <c r="M119" i="2"/>
  <c r="N119" i="2"/>
  <c r="O119" i="2"/>
  <c r="P119" i="2"/>
  <c r="Q119" i="2"/>
  <c r="R119" i="2"/>
  <c r="S119" i="2"/>
  <c r="T119" i="2"/>
  <c r="U119" i="2"/>
  <c r="V119" i="2"/>
  <c r="W119" i="2"/>
  <c r="X119" i="2"/>
  <c r="Y119" i="2"/>
  <c r="Z119" i="2"/>
  <c r="AA119" i="2"/>
  <c r="AB119" i="2"/>
  <c r="AC119" i="2"/>
  <c r="C120" i="2"/>
  <c r="D120" i="2"/>
  <c r="E120" i="2"/>
  <c r="F120" i="2"/>
  <c r="G120" i="2"/>
  <c r="H120" i="2"/>
  <c r="I120" i="2"/>
  <c r="J120" i="2"/>
  <c r="K120" i="2"/>
  <c r="L120" i="2"/>
  <c r="M120" i="2"/>
  <c r="N120" i="2"/>
  <c r="O120" i="2"/>
  <c r="P120" i="2"/>
  <c r="Q120" i="2"/>
  <c r="R120" i="2"/>
  <c r="S120" i="2"/>
  <c r="T120" i="2"/>
  <c r="U120" i="2"/>
  <c r="V120" i="2"/>
  <c r="W120" i="2"/>
  <c r="X120" i="2"/>
  <c r="Y120" i="2"/>
  <c r="Z120" i="2"/>
  <c r="AA120" i="2"/>
  <c r="AB120" i="2"/>
  <c r="AC120" i="2"/>
  <c r="C121" i="2"/>
  <c r="D121" i="2"/>
  <c r="E121" i="2"/>
  <c r="F121" i="2"/>
  <c r="G121" i="2"/>
  <c r="H121" i="2"/>
  <c r="I121" i="2"/>
  <c r="J121" i="2"/>
  <c r="K121" i="2"/>
  <c r="L121" i="2"/>
  <c r="M121" i="2"/>
  <c r="N121" i="2"/>
  <c r="O121" i="2"/>
  <c r="P121" i="2"/>
  <c r="Q121" i="2"/>
  <c r="R121" i="2"/>
  <c r="S121" i="2"/>
  <c r="T121" i="2"/>
  <c r="U121" i="2"/>
  <c r="V121" i="2"/>
  <c r="W121" i="2"/>
  <c r="X121" i="2"/>
  <c r="Y121" i="2"/>
  <c r="Z121" i="2"/>
  <c r="AA121" i="2"/>
  <c r="AB121" i="2"/>
  <c r="AC121" i="2"/>
  <c r="C122" i="2"/>
  <c r="D122" i="2"/>
  <c r="E122" i="2"/>
  <c r="F122" i="2"/>
  <c r="G122" i="2"/>
  <c r="H122" i="2"/>
  <c r="I122" i="2"/>
  <c r="J122" i="2"/>
  <c r="K122" i="2"/>
  <c r="L122" i="2"/>
  <c r="M122" i="2"/>
  <c r="N122" i="2"/>
  <c r="O122" i="2"/>
  <c r="P122" i="2"/>
  <c r="Q122" i="2"/>
  <c r="R122" i="2"/>
  <c r="S122" i="2"/>
  <c r="T122" i="2"/>
  <c r="U122" i="2"/>
  <c r="V122" i="2"/>
  <c r="W122" i="2"/>
  <c r="X122" i="2"/>
  <c r="Y122" i="2"/>
  <c r="Z122" i="2"/>
  <c r="AA122" i="2"/>
  <c r="AB122" i="2"/>
  <c r="AC122" i="2"/>
  <c r="C123" i="2"/>
  <c r="D123" i="2"/>
  <c r="E123" i="2"/>
  <c r="F123" i="2"/>
  <c r="G123" i="2"/>
  <c r="H123" i="2"/>
  <c r="I123" i="2"/>
  <c r="J123" i="2"/>
  <c r="K123" i="2"/>
  <c r="L123" i="2"/>
  <c r="M123" i="2"/>
  <c r="N123" i="2"/>
  <c r="O123" i="2"/>
  <c r="P123" i="2"/>
  <c r="Q123" i="2"/>
  <c r="R123" i="2"/>
  <c r="S123" i="2"/>
  <c r="T123" i="2"/>
  <c r="U123" i="2"/>
  <c r="V123" i="2"/>
  <c r="W123" i="2"/>
  <c r="X123" i="2"/>
  <c r="Y123" i="2"/>
  <c r="Z123" i="2"/>
  <c r="AA123" i="2"/>
  <c r="AB123" i="2"/>
  <c r="AC123" i="2"/>
  <c r="C124" i="2"/>
  <c r="D124" i="2"/>
  <c r="E124" i="2"/>
  <c r="F124" i="2"/>
  <c r="G124" i="2"/>
  <c r="H124" i="2"/>
  <c r="I124" i="2"/>
  <c r="J124" i="2"/>
  <c r="K124" i="2"/>
  <c r="L124" i="2"/>
  <c r="M124" i="2"/>
  <c r="N124" i="2"/>
  <c r="O124" i="2"/>
  <c r="P124" i="2"/>
  <c r="Q124" i="2"/>
  <c r="R124" i="2"/>
  <c r="S124" i="2"/>
  <c r="T124" i="2"/>
  <c r="U124" i="2"/>
  <c r="V124" i="2"/>
  <c r="W124" i="2"/>
  <c r="X124" i="2"/>
  <c r="Y124" i="2"/>
  <c r="Z124" i="2"/>
  <c r="AA124" i="2"/>
  <c r="AB124" i="2"/>
  <c r="AC124" i="2"/>
  <c r="C125" i="2"/>
  <c r="D125" i="2"/>
  <c r="E125" i="2"/>
  <c r="F125" i="2"/>
  <c r="G125" i="2"/>
  <c r="H125" i="2"/>
  <c r="I125" i="2"/>
  <c r="J125" i="2"/>
  <c r="K125" i="2"/>
  <c r="L125" i="2"/>
  <c r="M125" i="2"/>
  <c r="N125" i="2"/>
  <c r="O125" i="2"/>
  <c r="P125" i="2"/>
  <c r="Q125" i="2"/>
  <c r="R125" i="2"/>
  <c r="S125" i="2"/>
  <c r="T125" i="2"/>
  <c r="U125" i="2"/>
  <c r="V125" i="2"/>
  <c r="W125" i="2"/>
  <c r="X125" i="2"/>
  <c r="Y125" i="2"/>
  <c r="Z125" i="2"/>
  <c r="AA125" i="2"/>
  <c r="AB125" i="2"/>
  <c r="AC125" i="2"/>
  <c r="C126" i="2"/>
  <c r="D126" i="2"/>
  <c r="E126" i="2"/>
  <c r="F126" i="2"/>
  <c r="G126" i="2"/>
  <c r="H126" i="2"/>
  <c r="I126" i="2"/>
  <c r="J126" i="2"/>
  <c r="K126" i="2"/>
  <c r="L126" i="2"/>
  <c r="M126" i="2"/>
  <c r="N126" i="2"/>
  <c r="O126" i="2"/>
  <c r="P126" i="2"/>
  <c r="Q126" i="2"/>
  <c r="R126" i="2"/>
  <c r="S126" i="2"/>
  <c r="T126" i="2"/>
  <c r="U126" i="2"/>
  <c r="V126" i="2"/>
  <c r="W126" i="2"/>
  <c r="X126" i="2"/>
  <c r="Y126" i="2"/>
  <c r="Z126" i="2"/>
  <c r="AA126" i="2"/>
  <c r="AB126" i="2"/>
  <c r="AC126" i="2"/>
  <c r="C127" i="2"/>
  <c r="D127" i="2"/>
  <c r="E127" i="2"/>
  <c r="F127" i="2"/>
  <c r="G127" i="2"/>
  <c r="H127" i="2"/>
  <c r="I127" i="2"/>
  <c r="J127" i="2"/>
  <c r="K127" i="2"/>
  <c r="L127" i="2"/>
  <c r="M127" i="2"/>
  <c r="N127" i="2"/>
  <c r="O127" i="2"/>
  <c r="P127" i="2"/>
  <c r="Q127" i="2"/>
  <c r="R127" i="2"/>
  <c r="S127" i="2"/>
  <c r="T127" i="2"/>
  <c r="U127" i="2"/>
  <c r="V127" i="2"/>
  <c r="W127" i="2"/>
  <c r="X127" i="2"/>
  <c r="Y127" i="2"/>
  <c r="Z127" i="2"/>
  <c r="AA127" i="2"/>
  <c r="AB127" i="2"/>
  <c r="AC127" i="2"/>
  <c r="C128" i="2"/>
  <c r="D128" i="2"/>
  <c r="E128" i="2"/>
  <c r="F128" i="2"/>
  <c r="G128" i="2"/>
  <c r="H128" i="2"/>
  <c r="I128" i="2"/>
  <c r="J128" i="2"/>
  <c r="K128" i="2"/>
  <c r="L128" i="2"/>
  <c r="M128" i="2"/>
  <c r="N128" i="2"/>
  <c r="O128" i="2"/>
  <c r="P128" i="2"/>
  <c r="Q128" i="2"/>
  <c r="R128" i="2"/>
  <c r="S128" i="2"/>
  <c r="T128" i="2"/>
  <c r="U128" i="2"/>
  <c r="V128" i="2"/>
  <c r="W128" i="2"/>
  <c r="X128" i="2"/>
  <c r="Y128" i="2"/>
  <c r="Z128" i="2"/>
  <c r="AA128" i="2"/>
  <c r="AB128" i="2"/>
  <c r="AC128" i="2"/>
  <c r="C129" i="2"/>
  <c r="D129" i="2"/>
  <c r="E129" i="2"/>
  <c r="F129" i="2"/>
  <c r="G129" i="2"/>
  <c r="H129" i="2"/>
  <c r="I129" i="2"/>
  <c r="J129" i="2"/>
  <c r="K129" i="2"/>
  <c r="L129" i="2"/>
  <c r="M129" i="2"/>
  <c r="N129" i="2"/>
  <c r="O129" i="2"/>
  <c r="P129" i="2"/>
  <c r="Q129" i="2"/>
  <c r="R129" i="2"/>
  <c r="S129" i="2"/>
  <c r="T129" i="2"/>
  <c r="U129" i="2"/>
  <c r="V129" i="2"/>
  <c r="W129" i="2"/>
  <c r="X129" i="2"/>
  <c r="Y129" i="2"/>
  <c r="Z129" i="2"/>
  <c r="AA129" i="2"/>
  <c r="AB129" i="2"/>
  <c r="AC129" i="2"/>
  <c r="C130" i="2"/>
  <c r="D130" i="2"/>
  <c r="E130" i="2"/>
  <c r="F130" i="2"/>
  <c r="G130" i="2"/>
  <c r="H130" i="2"/>
  <c r="I130" i="2"/>
  <c r="J130" i="2"/>
  <c r="K130" i="2"/>
  <c r="L130" i="2"/>
  <c r="M130" i="2"/>
  <c r="N130" i="2"/>
  <c r="O130" i="2"/>
  <c r="P130" i="2"/>
  <c r="Q130" i="2"/>
  <c r="R130" i="2"/>
  <c r="S130" i="2"/>
  <c r="T130" i="2"/>
  <c r="U130" i="2"/>
  <c r="V130" i="2"/>
  <c r="W130" i="2"/>
  <c r="X130" i="2"/>
  <c r="Y130" i="2"/>
  <c r="Z130" i="2"/>
  <c r="AA130" i="2"/>
  <c r="AB130" i="2"/>
  <c r="AC130" i="2"/>
  <c r="C131" i="2"/>
  <c r="D131" i="2"/>
  <c r="E131" i="2"/>
  <c r="F131" i="2"/>
  <c r="G131" i="2"/>
  <c r="H131" i="2"/>
  <c r="I131" i="2"/>
  <c r="J131" i="2"/>
  <c r="K131" i="2"/>
  <c r="L131" i="2"/>
  <c r="M131" i="2"/>
  <c r="N131" i="2"/>
  <c r="O131" i="2"/>
  <c r="P131" i="2"/>
  <c r="Q131" i="2"/>
  <c r="R131" i="2"/>
  <c r="S131" i="2"/>
  <c r="T131" i="2"/>
  <c r="U131" i="2"/>
  <c r="V131" i="2"/>
  <c r="W131" i="2"/>
  <c r="X131" i="2"/>
  <c r="Y131" i="2"/>
  <c r="Z131" i="2"/>
  <c r="AA131" i="2"/>
  <c r="AB131" i="2"/>
  <c r="AC131" i="2"/>
  <c r="C132" i="2"/>
  <c r="D132" i="2"/>
  <c r="E132" i="2"/>
  <c r="F132" i="2"/>
  <c r="G132" i="2"/>
  <c r="H132" i="2"/>
  <c r="I132" i="2"/>
  <c r="J132" i="2"/>
  <c r="K132" i="2"/>
  <c r="L132" i="2"/>
  <c r="M132" i="2"/>
  <c r="N132" i="2"/>
  <c r="O132" i="2"/>
  <c r="P132" i="2"/>
  <c r="Q132" i="2"/>
  <c r="R132" i="2"/>
  <c r="S132" i="2"/>
  <c r="T132" i="2"/>
  <c r="U132" i="2"/>
  <c r="V132" i="2"/>
  <c r="W132" i="2"/>
  <c r="X132" i="2"/>
  <c r="Y132" i="2"/>
  <c r="Z132" i="2"/>
  <c r="AA132" i="2"/>
  <c r="AB132" i="2"/>
  <c r="AC132" i="2"/>
  <c r="C133" i="2"/>
  <c r="D133" i="2"/>
  <c r="E133" i="2"/>
  <c r="F133" i="2"/>
  <c r="G133" i="2"/>
  <c r="H133" i="2"/>
  <c r="I133" i="2"/>
  <c r="J133" i="2"/>
  <c r="K133" i="2"/>
  <c r="L133" i="2"/>
  <c r="M133" i="2"/>
  <c r="N133" i="2"/>
  <c r="O133" i="2"/>
  <c r="P133" i="2"/>
  <c r="Q133" i="2"/>
  <c r="R133" i="2"/>
  <c r="S133" i="2"/>
  <c r="T133" i="2"/>
  <c r="U133" i="2"/>
  <c r="V133" i="2"/>
  <c r="W133" i="2"/>
  <c r="X133" i="2"/>
  <c r="Y133" i="2"/>
  <c r="Z133" i="2"/>
  <c r="AA133" i="2"/>
  <c r="AB133" i="2"/>
  <c r="AC133" i="2"/>
  <c r="C134" i="2"/>
  <c r="D134" i="2"/>
  <c r="E134" i="2"/>
  <c r="F134" i="2"/>
  <c r="G134" i="2"/>
  <c r="H134" i="2"/>
  <c r="I134" i="2"/>
  <c r="J134" i="2"/>
  <c r="K134" i="2"/>
  <c r="L134" i="2"/>
  <c r="M134" i="2"/>
  <c r="N134" i="2"/>
  <c r="O134" i="2"/>
  <c r="P134" i="2"/>
  <c r="Q134" i="2"/>
  <c r="R134" i="2"/>
  <c r="S134" i="2"/>
  <c r="T134" i="2"/>
  <c r="U134" i="2"/>
  <c r="V134" i="2"/>
  <c r="W134" i="2"/>
  <c r="X134" i="2"/>
  <c r="Y134" i="2"/>
  <c r="Z134" i="2"/>
  <c r="AA134" i="2"/>
  <c r="AB134" i="2"/>
  <c r="AC134" i="2"/>
  <c r="C135" i="2"/>
  <c r="D135" i="2"/>
  <c r="E135" i="2"/>
  <c r="F135" i="2"/>
  <c r="G135" i="2"/>
  <c r="H135" i="2"/>
  <c r="I135" i="2"/>
  <c r="J135" i="2"/>
  <c r="K135" i="2"/>
  <c r="L135" i="2"/>
  <c r="M135" i="2"/>
  <c r="N135" i="2"/>
  <c r="O135" i="2"/>
  <c r="P135" i="2"/>
  <c r="Q135" i="2"/>
  <c r="R135" i="2"/>
  <c r="S135" i="2"/>
  <c r="T135" i="2"/>
  <c r="U135" i="2"/>
  <c r="V135" i="2"/>
  <c r="W135" i="2"/>
  <c r="X135" i="2"/>
  <c r="Y135" i="2"/>
  <c r="Z135" i="2"/>
  <c r="AA135" i="2"/>
  <c r="AB135" i="2"/>
  <c r="AC135" i="2"/>
  <c r="C136" i="2"/>
  <c r="D136" i="2"/>
  <c r="E136" i="2"/>
  <c r="F136" i="2"/>
  <c r="G136" i="2"/>
  <c r="H136" i="2"/>
  <c r="I136" i="2"/>
  <c r="J136" i="2"/>
  <c r="K136" i="2"/>
  <c r="L136" i="2"/>
  <c r="M136" i="2"/>
  <c r="N136" i="2"/>
  <c r="O136" i="2"/>
  <c r="P136" i="2"/>
  <c r="Q136" i="2"/>
  <c r="R136" i="2"/>
  <c r="S136" i="2"/>
  <c r="T136" i="2"/>
  <c r="U136" i="2"/>
  <c r="V136" i="2"/>
  <c r="W136" i="2"/>
  <c r="X136" i="2"/>
  <c r="Y136" i="2"/>
  <c r="Z136" i="2"/>
  <c r="AA136" i="2"/>
  <c r="AB136" i="2"/>
  <c r="AC136" i="2"/>
  <c r="C137" i="2"/>
  <c r="D137" i="2"/>
  <c r="E137" i="2"/>
  <c r="F137" i="2"/>
  <c r="G137" i="2"/>
  <c r="H137" i="2"/>
  <c r="I137" i="2"/>
  <c r="J137" i="2"/>
  <c r="K137" i="2"/>
  <c r="L137" i="2"/>
  <c r="M137" i="2"/>
  <c r="N137" i="2"/>
  <c r="O137" i="2"/>
  <c r="P137" i="2"/>
  <c r="Q137" i="2"/>
  <c r="R137" i="2"/>
  <c r="S137" i="2"/>
  <c r="T137" i="2"/>
  <c r="U137" i="2"/>
  <c r="V137" i="2"/>
  <c r="W137" i="2"/>
  <c r="X137" i="2"/>
  <c r="Y137" i="2"/>
  <c r="Z137" i="2"/>
  <c r="AA137" i="2"/>
  <c r="AB137" i="2"/>
  <c r="AC137" i="2"/>
  <c r="C138" i="2"/>
  <c r="D138" i="2"/>
  <c r="E138" i="2"/>
  <c r="F138" i="2"/>
  <c r="G138" i="2"/>
  <c r="H138" i="2"/>
  <c r="I138" i="2"/>
  <c r="J138" i="2"/>
  <c r="K138" i="2"/>
  <c r="L138" i="2"/>
  <c r="M138" i="2"/>
  <c r="N138" i="2"/>
  <c r="O138" i="2"/>
  <c r="P138" i="2"/>
  <c r="Q138" i="2"/>
  <c r="R138" i="2"/>
  <c r="S138" i="2"/>
  <c r="T138" i="2"/>
  <c r="U138" i="2"/>
  <c r="V138" i="2"/>
  <c r="W138" i="2"/>
  <c r="X138" i="2"/>
  <c r="Y138" i="2"/>
  <c r="Z138" i="2"/>
  <c r="AA138" i="2"/>
  <c r="AB138" i="2"/>
  <c r="AC138" i="2"/>
  <c r="C139" i="2"/>
  <c r="D139" i="2"/>
  <c r="E139" i="2"/>
  <c r="F139" i="2"/>
  <c r="G139" i="2"/>
  <c r="H139" i="2"/>
  <c r="I139" i="2"/>
  <c r="J139" i="2"/>
  <c r="K139" i="2"/>
  <c r="L139" i="2"/>
  <c r="M139" i="2"/>
  <c r="N139" i="2"/>
  <c r="O139" i="2"/>
  <c r="P139" i="2"/>
  <c r="Q139" i="2"/>
  <c r="R139" i="2"/>
  <c r="S139" i="2"/>
  <c r="T139" i="2"/>
  <c r="U139" i="2"/>
  <c r="V139" i="2"/>
  <c r="W139" i="2"/>
  <c r="X139" i="2"/>
  <c r="Y139" i="2"/>
  <c r="Z139" i="2"/>
  <c r="AA139" i="2"/>
  <c r="AB139" i="2"/>
  <c r="AC139" i="2"/>
  <c r="C140" i="2"/>
  <c r="D140" i="2"/>
  <c r="E140" i="2"/>
  <c r="F140" i="2"/>
  <c r="G140" i="2"/>
  <c r="H140" i="2"/>
  <c r="I140" i="2"/>
  <c r="J140" i="2"/>
  <c r="K140" i="2"/>
  <c r="L140" i="2"/>
  <c r="M140" i="2"/>
  <c r="N140" i="2"/>
  <c r="O140" i="2"/>
  <c r="P140" i="2"/>
  <c r="Q140" i="2"/>
  <c r="R140" i="2"/>
  <c r="S140" i="2"/>
  <c r="T140" i="2"/>
  <c r="U140" i="2"/>
  <c r="V140" i="2"/>
  <c r="W140" i="2"/>
  <c r="X140" i="2"/>
  <c r="Y140" i="2"/>
  <c r="Z140" i="2"/>
  <c r="AA140" i="2"/>
  <c r="AB140" i="2"/>
  <c r="AC140" i="2"/>
  <c r="C141" i="2"/>
  <c r="D141" i="2"/>
  <c r="E141" i="2"/>
  <c r="F141" i="2"/>
  <c r="G141" i="2"/>
  <c r="H141" i="2"/>
  <c r="I141" i="2"/>
  <c r="J141" i="2"/>
  <c r="K141" i="2"/>
  <c r="L141" i="2"/>
  <c r="M141" i="2"/>
  <c r="N141" i="2"/>
  <c r="O141" i="2"/>
  <c r="P141" i="2"/>
  <c r="Q141" i="2"/>
  <c r="R141" i="2"/>
  <c r="S141" i="2"/>
  <c r="T141" i="2"/>
  <c r="U141" i="2"/>
  <c r="V141" i="2"/>
  <c r="W141" i="2"/>
  <c r="X141" i="2"/>
  <c r="Y141" i="2"/>
  <c r="Z141" i="2"/>
  <c r="AA141" i="2"/>
  <c r="AB141" i="2"/>
  <c r="AC141" i="2"/>
  <c r="C142" i="2"/>
  <c r="D142" i="2"/>
  <c r="E142" i="2"/>
  <c r="F142" i="2"/>
  <c r="G142" i="2"/>
  <c r="H142" i="2"/>
  <c r="I142" i="2"/>
  <c r="J142" i="2"/>
  <c r="K142" i="2"/>
  <c r="L142" i="2"/>
  <c r="M142" i="2"/>
  <c r="N142" i="2"/>
  <c r="O142" i="2"/>
  <c r="P142" i="2"/>
  <c r="Q142" i="2"/>
  <c r="R142" i="2"/>
  <c r="S142" i="2"/>
  <c r="T142" i="2"/>
  <c r="U142" i="2"/>
  <c r="V142" i="2"/>
  <c r="W142" i="2"/>
  <c r="X142" i="2"/>
  <c r="Y142" i="2"/>
  <c r="Z142" i="2"/>
  <c r="AA142" i="2"/>
  <c r="AB142" i="2"/>
  <c r="AC142" i="2"/>
  <c r="C143" i="2"/>
  <c r="D143" i="2"/>
  <c r="E143" i="2"/>
  <c r="F143" i="2"/>
  <c r="G143" i="2"/>
  <c r="H143" i="2"/>
  <c r="I143" i="2"/>
  <c r="J143" i="2"/>
  <c r="K143" i="2"/>
  <c r="L143" i="2"/>
  <c r="M143" i="2"/>
  <c r="N143" i="2"/>
  <c r="O143" i="2"/>
  <c r="P143" i="2"/>
  <c r="Q143" i="2"/>
  <c r="R143" i="2"/>
  <c r="S143" i="2"/>
  <c r="T143" i="2"/>
  <c r="U143" i="2"/>
  <c r="V143" i="2"/>
  <c r="W143" i="2"/>
  <c r="X143" i="2"/>
  <c r="Y143" i="2"/>
  <c r="Z143" i="2"/>
  <c r="AA143" i="2"/>
  <c r="AB143" i="2"/>
  <c r="AC143" i="2"/>
  <c r="C144" i="2"/>
  <c r="D144" i="2"/>
  <c r="E144" i="2"/>
  <c r="F144" i="2"/>
  <c r="G144" i="2"/>
  <c r="H144" i="2"/>
  <c r="I144" i="2"/>
  <c r="J144" i="2"/>
  <c r="K144" i="2"/>
  <c r="L144" i="2"/>
  <c r="M144" i="2"/>
  <c r="N144" i="2"/>
  <c r="O144" i="2"/>
  <c r="P144" i="2"/>
  <c r="Q144" i="2"/>
  <c r="R144" i="2"/>
  <c r="S144" i="2"/>
  <c r="T144" i="2"/>
  <c r="U144" i="2"/>
  <c r="V144" i="2"/>
  <c r="W144" i="2"/>
  <c r="X144" i="2"/>
  <c r="Y144" i="2"/>
  <c r="Z144" i="2"/>
  <c r="AA144" i="2"/>
  <c r="AB144" i="2"/>
  <c r="AC144" i="2"/>
  <c r="C145" i="2"/>
  <c r="D145" i="2"/>
  <c r="E145" i="2"/>
  <c r="F145" i="2"/>
  <c r="G145" i="2"/>
  <c r="H145" i="2"/>
  <c r="I145" i="2"/>
  <c r="J145" i="2"/>
  <c r="K145" i="2"/>
  <c r="L145" i="2"/>
  <c r="M145" i="2"/>
  <c r="N145" i="2"/>
  <c r="O145" i="2"/>
  <c r="P145" i="2"/>
  <c r="Q145" i="2"/>
  <c r="R145" i="2"/>
  <c r="S145" i="2"/>
  <c r="T145" i="2"/>
  <c r="U145" i="2"/>
  <c r="V145" i="2"/>
  <c r="W145" i="2"/>
  <c r="X145" i="2"/>
  <c r="Y145" i="2"/>
  <c r="Z145" i="2"/>
  <c r="AA145" i="2"/>
  <c r="AB145" i="2"/>
  <c r="AC145" i="2"/>
  <c r="D106" i="2"/>
  <c r="E106" i="2"/>
  <c r="F106" i="2"/>
  <c r="G106" i="2"/>
  <c r="H106" i="2"/>
  <c r="I106" i="2"/>
  <c r="J106" i="2"/>
  <c r="K106" i="2"/>
  <c r="L106" i="2"/>
  <c r="M106" i="2"/>
  <c r="N106" i="2"/>
  <c r="O106" i="2"/>
  <c r="P106" i="2"/>
  <c r="Q106" i="2"/>
  <c r="R106" i="2"/>
  <c r="S106" i="2"/>
  <c r="T106" i="2"/>
  <c r="U106" i="2"/>
  <c r="V106" i="2"/>
  <c r="W106" i="2"/>
  <c r="X106" i="2"/>
  <c r="Y106" i="2"/>
  <c r="Z106" i="2"/>
  <c r="AA106" i="2"/>
  <c r="AB106" i="2"/>
  <c r="AC106" i="2"/>
  <c r="C106" i="2"/>
  <c r="Y144" i="1"/>
  <c r="C107" i="1"/>
  <c r="D107" i="1"/>
  <c r="E107" i="1"/>
  <c r="F107" i="1"/>
  <c r="G107" i="1"/>
  <c r="H107" i="1"/>
  <c r="I107" i="1"/>
  <c r="J107" i="1"/>
  <c r="K107" i="1"/>
  <c r="L107" i="1"/>
  <c r="M107" i="1"/>
  <c r="N107" i="1"/>
  <c r="O107" i="1"/>
  <c r="P107" i="1"/>
  <c r="Q107" i="1"/>
  <c r="R107" i="1"/>
  <c r="S107" i="1"/>
  <c r="T107" i="1"/>
  <c r="U107" i="1"/>
  <c r="V107" i="1"/>
  <c r="W107" i="1"/>
  <c r="X107" i="1"/>
  <c r="Y107" i="1"/>
  <c r="Z107" i="1"/>
  <c r="AA107" i="1"/>
  <c r="AB107" i="1"/>
  <c r="AC107" i="1"/>
  <c r="C108" i="1"/>
  <c r="D108" i="1"/>
  <c r="E108" i="1"/>
  <c r="F108" i="1"/>
  <c r="G108" i="1"/>
  <c r="H108" i="1"/>
  <c r="I108" i="1"/>
  <c r="J108" i="1"/>
  <c r="K108" i="1"/>
  <c r="L108" i="1"/>
  <c r="M108" i="1"/>
  <c r="N108" i="1"/>
  <c r="O108" i="1"/>
  <c r="P108" i="1"/>
  <c r="Q108" i="1"/>
  <c r="R108" i="1"/>
  <c r="S108" i="1"/>
  <c r="T108" i="1"/>
  <c r="U108" i="1"/>
  <c r="V108" i="1"/>
  <c r="W108" i="1"/>
  <c r="X108" i="1"/>
  <c r="Y108" i="1"/>
  <c r="Z108" i="1"/>
  <c r="AA108" i="1"/>
  <c r="AB108" i="1"/>
  <c r="AC108" i="1"/>
  <c r="C109" i="1"/>
  <c r="D109" i="1"/>
  <c r="E109" i="1"/>
  <c r="F109" i="1"/>
  <c r="G109" i="1"/>
  <c r="H109" i="1"/>
  <c r="I109" i="1"/>
  <c r="J109" i="1"/>
  <c r="K109" i="1"/>
  <c r="L109" i="1"/>
  <c r="M109" i="1"/>
  <c r="N109" i="1"/>
  <c r="O109" i="1"/>
  <c r="P109" i="1"/>
  <c r="Q109" i="1"/>
  <c r="R109" i="1"/>
  <c r="S109" i="1"/>
  <c r="T109" i="1"/>
  <c r="U109" i="1"/>
  <c r="V109" i="1"/>
  <c r="W109" i="1"/>
  <c r="X109" i="1"/>
  <c r="Y109" i="1"/>
  <c r="Z109" i="1"/>
  <c r="AA109" i="1"/>
  <c r="AB109" i="1"/>
  <c r="AC109" i="1"/>
  <c r="C110" i="1"/>
  <c r="D110" i="1"/>
  <c r="E110" i="1"/>
  <c r="F110" i="1"/>
  <c r="G110" i="1"/>
  <c r="H110" i="1"/>
  <c r="I110" i="1"/>
  <c r="J110" i="1"/>
  <c r="K110" i="1"/>
  <c r="L110" i="1"/>
  <c r="M110" i="1"/>
  <c r="N110" i="1"/>
  <c r="O110" i="1"/>
  <c r="P110" i="1"/>
  <c r="Q110" i="1"/>
  <c r="R110" i="1"/>
  <c r="S110" i="1"/>
  <c r="T110" i="1"/>
  <c r="U110" i="1"/>
  <c r="V110" i="1"/>
  <c r="W110" i="1"/>
  <c r="X110" i="1"/>
  <c r="Y110" i="1"/>
  <c r="Z110" i="1"/>
  <c r="AA110" i="1"/>
  <c r="AB110" i="1"/>
  <c r="AC110" i="1"/>
  <c r="C111" i="1"/>
  <c r="D111" i="1"/>
  <c r="E111" i="1"/>
  <c r="F111" i="1"/>
  <c r="G111" i="1"/>
  <c r="H111" i="1"/>
  <c r="I111" i="1"/>
  <c r="J111" i="1"/>
  <c r="K111" i="1"/>
  <c r="L111" i="1"/>
  <c r="M111" i="1"/>
  <c r="N111" i="1"/>
  <c r="O111" i="1"/>
  <c r="P111" i="1"/>
  <c r="Q111" i="1"/>
  <c r="R111" i="1"/>
  <c r="S111" i="1"/>
  <c r="T111" i="1"/>
  <c r="U111" i="1"/>
  <c r="V111" i="1"/>
  <c r="W111" i="1"/>
  <c r="X111" i="1"/>
  <c r="Y111" i="1"/>
  <c r="Z111" i="1"/>
  <c r="AA111" i="1"/>
  <c r="AB111" i="1"/>
  <c r="AC111" i="1"/>
  <c r="C112" i="1"/>
  <c r="D112" i="1"/>
  <c r="E112" i="1"/>
  <c r="F112" i="1"/>
  <c r="G112" i="1"/>
  <c r="H112" i="1"/>
  <c r="I112" i="1"/>
  <c r="J112" i="1"/>
  <c r="K112" i="1"/>
  <c r="L112" i="1"/>
  <c r="M112" i="1"/>
  <c r="N112" i="1"/>
  <c r="O112" i="1"/>
  <c r="P112" i="1"/>
  <c r="Q112" i="1"/>
  <c r="R112" i="1"/>
  <c r="S112" i="1"/>
  <c r="T112" i="1"/>
  <c r="U112" i="1"/>
  <c r="V112" i="1"/>
  <c r="W112" i="1"/>
  <c r="X112" i="1"/>
  <c r="Y112" i="1"/>
  <c r="Z112" i="1"/>
  <c r="AA112" i="1"/>
  <c r="AB112" i="1"/>
  <c r="AC112" i="1"/>
  <c r="C113" i="1"/>
  <c r="D113" i="1"/>
  <c r="E113" i="1"/>
  <c r="F113" i="1"/>
  <c r="G113" i="1"/>
  <c r="H113" i="1"/>
  <c r="I113" i="1"/>
  <c r="J113" i="1"/>
  <c r="K113" i="1"/>
  <c r="L113" i="1"/>
  <c r="M113" i="1"/>
  <c r="N113" i="1"/>
  <c r="O113" i="1"/>
  <c r="P113" i="1"/>
  <c r="Q113" i="1"/>
  <c r="R113" i="1"/>
  <c r="S113" i="1"/>
  <c r="T113" i="1"/>
  <c r="U113" i="1"/>
  <c r="V113" i="1"/>
  <c r="W113" i="1"/>
  <c r="X113" i="1"/>
  <c r="Y113" i="1"/>
  <c r="Z113" i="1"/>
  <c r="AA113" i="1"/>
  <c r="AB113" i="1"/>
  <c r="AC113" i="1"/>
  <c r="C114" i="1"/>
  <c r="D114" i="1"/>
  <c r="E114" i="1"/>
  <c r="F114" i="1"/>
  <c r="G114" i="1"/>
  <c r="H114" i="1"/>
  <c r="I114" i="1"/>
  <c r="J114" i="1"/>
  <c r="K114" i="1"/>
  <c r="L114" i="1"/>
  <c r="M114" i="1"/>
  <c r="N114" i="1"/>
  <c r="O114" i="1"/>
  <c r="P114" i="1"/>
  <c r="Q114" i="1"/>
  <c r="R114" i="1"/>
  <c r="S114" i="1"/>
  <c r="T114" i="1"/>
  <c r="U114" i="1"/>
  <c r="V114" i="1"/>
  <c r="W114" i="1"/>
  <c r="X114" i="1"/>
  <c r="Y114" i="1"/>
  <c r="Z114" i="1"/>
  <c r="AA114" i="1"/>
  <c r="AB114" i="1"/>
  <c r="AC114" i="1"/>
  <c r="C115" i="1"/>
  <c r="D115" i="1"/>
  <c r="E115" i="1"/>
  <c r="F115" i="1"/>
  <c r="G115" i="1"/>
  <c r="H115" i="1"/>
  <c r="I115" i="1"/>
  <c r="J115" i="1"/>
  <c r="K115" i="1"/>
  <c r="L115" i="1"/>
  <c r="M115" i="1"/>
  <c r="N115" i="1"/>
  <c r="O115" i="1"/>
  <c r="P115" i="1"/>
  <c r="Q115" i="1"/>
  <c r="R115" i="1"/>
  <c r="S115" i="1"/>
  <c r="T115" i="1"/>
  <c r="U115" i="1"/>
  <c r="V115" i="1"/>
  <c r="W115" i="1"/>
  <c r="X115" i="1"/>
  <c r="Y115" i="1"/>
  <c r="Z115" i="1"/>
  <c r="AA115" i="1"/>
  <c r="AB115" i="1"/>
  <c r="AC115" i="1"/>
  <c r="C116" i="1"/>
  <c r="D116" i="1"/>
  <c r="E116" i="1"/>
  <c r="F116" i="1"/>
  <c r="G116" i="1"/>
  <c r="H116" i="1"/>
  <c r="I116" i="1"/>
  <c r="J116" i="1"/>
  <c r="K116" i="1"/>
  <c r="L116" i="1"/>
  <c r="M116" i="1"/>
  <c r="N116" i="1"/>
  <c r="O116" i="1"/>
  <c r="P116" i="1"/>
  <c r="Q116" i="1"/>
  <c r="R116" i="1"/>
  <c r="S116" i="1"/>
  <c r="T116" i="1"/>
  <c r="U116" i="1"/>
  <c r="V116" i="1"/>
  <c r="W116" i="1"/>
  <c r="X116" i="1"/>
  <c r="Y116" i="1"/>
  <c r="Z116" i="1"/>
  <c r="AA116" i="1"/>
  <c r="AB116" i="1"/>
  <c r="AC116" i="1"/>
  <c r="C117" i="1"/>
  <c r="D117" i="1"/>
  <c r="E117" i="1"/>
  <c r="F117" i="1"/>
  <c r="G117" i="1"/>
  <c r="H117" i="1"/>
  <c r="I117" i="1"/>
  <c r="J117" i="1"/>
  <c r="K117" i="1"/>
  <c r="L117" i="1"/>
  <c r="M117" i="1"/>
  <c r="N117" i="1"/>
  <c r="O117" i="1"/>
  <c r="P117" i="1"/>
  <c r="Q117" i="1"/>
  <c r="R117" i="1"/>
  <c r="S117" i="1"/>
  <c r="T117" i="1"/>
  <c r="U117" i="1"/>
  <c r="V117" i="1"/>
  <c r="W117" i="1"/>
  <c r="X117" i="1"/>
  <c r="Y117" i="1"/>
  <c r="Z117" i="1"/>
  <c r="AA117" i="1"/>
  <c r="AB117" i="1"/>
  <c r="AC117" i="1"/>
  <c r="C118" i="1"/>
  <c r="D118" i="1"/>
  <c r="E118" i="1"/>
  <c r="F118" i="1"/>
  <c r="G118" i="1"/>
  <c r="H118" i="1"/>
  <c r="I118" i="1"/>
  <c r="J118" i="1"/>
  <c r="K118" i="1"/>
  <c r="L118" i="1"/>
  <c r="M118" i="1"/>
  <c r="N118" i="1"/>
  <c r="O118" i="1"/>
  <c r="P118" i="1"/>
  <c r="Q118" i="1"/>
  <c r="R118" i="1"/>
  <c r="S118" i="1"/>
  <c r="T118" i="1"/>
  <c r="U118" i="1"/>
  <c r="V118" i="1"/>
  <c r="W118" i="1"/>
  <c r="X118" i="1"/>
  <c r="Y118" i="1"/>
  <c r="Z118" i="1"/>
  <c r="AA118" i="1"/>
  <c r="AB118" i="1"/>
  <c r="AC118" i="1"/>
  <c r="C119" i="1"/>
  <c r="D119" i="1"/>
  <c r="E119" i="1"/>
  <c r="F119" i="1"/>
  <c r="G119" i="1"/>
  <c r="H119" i="1"/>
  <c r="I119" i="1"/>
  <c r="J119" i="1"/>
  <c r="K119" i="1"/>
  <c r="L119" i="1"/>
  <c r="M119" i="1"/>
  <c r="N119" i="1"/>
  <c r="O119" i="1"/>
  <c r="P119" i="1"/>
  <c r="Q119" i="1"/>
  <c r="R119" i="1"/>
  <c r="S119" i="1"/>
  <c r="T119" i="1"/>
  <c r="U119" i="1"/>
  <c r="V119" i="1"/>
  <c r="W119" i="1"/>
  <c r="X119" i="1"/>
  <c r="Y119" i="1"/>
  <c r="Z119" i="1"/>
  <c r="AA119" i="1"/>
  <c r="AB119" i="1"/>
  <c r="AC119" i="1"/>
  <c r="C120" i="1"/>
  <c r="D120" i="1"/>
  <c r="E120" i="1"/>
  <c r="F120" i="1"/>
  <c r="G120" i="1"/>
  <c r="H120" i="1"/>
  <c r="I120" i="1"/>
  <c r="J120" i="1"/>
  <c r="K120" i="1"/>
  <c r="L120" i="1"/>
  <c r="M120" i="1"/>
  <c r="N120" i="1"/>
  <c r="O120" i="1"/>
  <c r="P120" i="1"/>
  <c r="Q120" i="1"/>
  <c r="R120" i="1"/>
  <c r="S120" i="1"/>
  <c r="T120" i="1"/>
  <c r="U120" i="1"/>
  <c r="V120" i="1"/>
  <c r="W120" i="1"/>
  <c r="X120" i="1"/>
  <c r="Y120" i="1"/>
  <c r="Z120" i="1"/>
  <c r="AA120" i="1"/>
  <c r="AB120" i="1"/>
  <c r="AC120" i="1"/>
  <c r="C121" i="1"/>
  <c r="D121" i="1"/>
  <c r="E121" i="1"/>
  <c r="F121" i="1"/>
  <c r="G121" i="1"/>
  <c r="H121" i="1"/>
  <c r="I121" i="1"/>
  <c r="J121" i="1"/>
  <c r="K121" i="1"/>
  <c r="L121" i="1"/>
  <c r="M121" i="1"/>
  <c r="N121" i="1"/>
  <c r="O121" i="1"/>
  <c r="P121" i="1"/>
  <c r="Q121" i="1"/>
  <c r="R121" i="1"/>
  <c r="S121" i="1"/>
  <c r="T121" i="1"/>
  <c r="U121" i="1"/>
  <c r="V121" i="1"/>
  <c r="W121" i="1"/>
  <c r="X121" i="1"/>
  <c r="Y121" i="1"/>
  <c r="Z121" i="1"/>
  <c r="AA121" i="1"/>
  <c r="AB121" i="1"/>
  <c r="AC121" i="1"/>
  <c r="C122" i="1"/>
  <c r="D122" i="1"/>
  <c r="E122" i="1"/>
  <c r="F122" i="1"/>
  <c r="G122" i="1"/>
  <c r="H122" i="1"/>
  <c r="I122" i="1"/>
  <c r="J122" i="1"/>
  <c r="K122" i="1"/>
  <c r="L122" i="1"/>
  <c r="M122" i="1"/>
  <c r="N122" i="1"/>
  <c r="O122" i="1"/>
  <c r="P122" i="1"/>
  <c r="Q122" i="1"/>
  <c r="R122" i="1"/>
  <c r="S122" i="1"/>
  <c r="T122" i="1"/>
  <c r="U122" i="1"/>
  <c r="V122" i="1"/>
  <c r="W122" i="1"/>
  <c r="X122" i="1"/>
  <c r="Y122" i="1"/>
  <c r="Z122" i="1"/>
  <c r="AA122" i="1"/>
  <c r="AB122" i="1"/>
  <c r="AC122" i="1"/>
  <c r="C123" i="1"/>
  <c r="D123" i="1"/>
  <c r="E123" i="1"/>
  <c r="F123" i="1"/>
  <c r="G123" i="1"/>
  <c r="H123" i="1"/>
  <c r="I123" i="1"/>
  <c r="J123" i="1"/>
  <c r="K123" i="1"/>
  <c r="L123" i="1"/>
  <c r="M123" i="1"/>
  <c r="N123" i="1"/>
  <c r="O123" i="1"/>
  <c r="P123" i="1"/>
  <c r="Q123" i="1"/>
  <c r="R123" i="1"/>
  <c r="S123" i="1"/>
  <c r="T123" i="1"/>
  <c r="U123" i="1"/>
  <c r="V123" i="1"/>
  <c r="W123" i="1"/>
  <c r="X123" i="1"/>
  <c r="Y123" i="1"/>
  <c r="Z123" i="1"/>
  <c r="AA123" i="1"/>
  <c r="AB123" i="1"/>
  <c r="AC123" i="1"/>
  <c r="C124" i="1"/>
  <c r="D124" i="1"/>
  <c r="E124" i="1"/>
  <c r="F124" i="1"/>
  <c r="G124" i="1"/>
  <c r="H124" i="1"/>
  <c r="I124" i="1"/>
  <c r="J124" i="1"/>
  <c r="K124" i="1"/>
  <c r="L124" i="1"/>
  <c r="M124" i="1"/>
  <c r="N124" i="1"/>
  <c r="O124" i="1"/>
  <c r="P124" i="1"/>
  <c r="Q124" i="1"/>
  <c r="R124" i="1"/>
  <c r="S124" i="1"/>
  <c r="T124" i="1"/>
  <c r="U124" i="1"/>
  <c r="V124" i="1"/>
  <c r="W124" i="1"/>
  <c r="X124" i="1"/>
  <c r="Y124" i="1"/>
  <c r="Z124" i="1"/>
  <c r="AA124" i="1"/>
  <c r="AB124" i="1"/>
  <c r="AC124" i="1"/>
  <c r="C125" i="1"/>
  <c r="D125" i="1"/>
  <c r="E125" i="1"/>
  <c r="F125" i="1"/>
  <c r="G125" i="1"/>
  <c r="H125" i="1"/>
  <c r="I125" i="1"/>
  <c r="J125" i="1"/>
  <c r="K125" i="1"/>
  <c r="L125" i="1"/>
  <c r="M125" i="1"/>
  <c r="N125" i="1"/>
  <c r="O125" i="1"/>
  <c r="P125" i="1"/>
  <c r="Q125" i="1"/>
  <c r="R125" i="1"/>
  <c r="S125" i="1"/>
  <c r="T125" i="1"/>
  <c r="U125" i="1"/>
  <c r="V125" i="1"/>
  <c r="W125" i="1"/>
  <c r="X125" i="1"/>
  <c r="Y125" i="1"/>
  <c r="Z125" i="1"/>
  <c r="AA125" i="1"/>
  <c r="AB125" i="1"/>
  <c r="AC125" i="1"/>
  <c r="C126" i="1"/>
  <c r="D126" i="1"/>
  <c r="E126" i="1"/>
  <c r="F126" i="1"/>
  <c r="G126" i="1"/>
  <c r="H126" i="1"/>
  <c r="I126" i="1"/>
  <c r="J126" i="1"/>
  <c r="K126" i="1"/>
  <c r="L126" i="1"/>
  <c r="M126" i="1"/>
  <c r="N126" i="1"/>
  <c r="O126" i="1"/>
  <c r="P126" i="1"/>
  <c r="Q126" i="1"/>
  <c r="R126" i="1"/>
  <c r="S126" i="1"/>
  <c r="T126" i="1"/>
  <c r="U126" i="1"/>
  <c r="V126" i="1"/>
  <c r="W126" i="1"/>
  <c r="X126" i="1"/>
  <c r="Y126" i="1"/>
  <c r="Z126" i="1"/>
  <c r="AA126" i="1"/>
  <c r="AB126" i="1"/>
  <c r="AC126" i="1"/>
  <c r="C127" i="1"/>
  <c r="D127" i="1"/>
  <c r="E127" i="1"/>
  <c r="F127" i="1"/>
  <c r="G127" i="1"/>
  <c r="H127" i="1"/>
  <c r="I127" i="1"/>
  <c r="J127" i="1"/>
  <c r="K127" i="1"/>
  <c r="L127" i="1"/>
  <c r="M127" i="1"/>
  <c r="N127" i="1"/>
  <c r="O127" i="1"/>
  <c r="P127" i="1"/>
  <c r="Q127" i="1"/>
  <c r="R127" i="1"/>
  <c r="S127" i="1"/>
  <c r="T127" i="1"/>
  <c r="U127" i="1"/>
  <c r="V127" i="1"/>
  <c r="W127" i="1"/>
  <c r="X127" i="1"/>
  <c r="Y127" i="1"/>
  <c r="Z127" i="1"/>
  <c r="AA127" i="1"/>
  <c r="AB127" i="1"/>
  <c r="AC127" i="1"/>
  <c r="C128" i="1"/>
  <c r="D128" i="1"/>
  <c r="E128" i="1"/>
  <c r="F128" i="1"/>
  <c r="G128" i="1"/>
  <c r="H128" i="1"/>
  <c r="I128" i="1"/>
  <c r="J128" i="1"/>
  <c r="K128" i="1"/>
  <c r="L128" i="1"/>
  <c r="M128" i="1"/>
  <c r="N128" i="1"/>
  <c r="O128" i="1"/>
  <c r="P128" i="1"/>
  <c r="Q128" i="1"/>
  <c r="R128" i="1"/>
  <c r="S128" i="1"/>
  <c r="T128" i="1"/>
  <c r="U128" i="1"/>
  <c r="V128" i="1"/>
  <c r="W128" i="1"/>
  <c r="X128" i="1"/>
  <c r="Y128" i="1"/>
  <c r="Z128" i="1"/>
  <c r="AA128" i="1"/>
  <c r="AB128" i="1"/>
  <c r="AC128" i="1"/>
  <c r="C129" i="1"/>
  <c r="D129" i="1"/>
  <c r="E129" i="1"/>
  <c r="F129" i="1"/>
  <c r="G129" i="1"/>
  <c r="H129" i="1"/>
  <c r="I129" i="1"/>
  <c r="J129" i="1"/>
  <c r="K129" i="1"/>
  <c r="L129" i="1"/>
  <c r="M129" i="1"/>
  <c r="N129" i="1"/>
  <c r="O129" i="1"/>
  <c r="P129" i="1"/>
  <c r="Q129" i="1"/>
  <c r="R129" i="1"/>
  <c r="S129" i="1"/>
  <c r="T129" i="1"/>
  <c r="U129" i="1"/>
  <c r="V129" i="1"/>
  <c r="W129" i="1"/>
  <c r="X129" i="1"/>
  <c r="Y129" i="1"/>
  <c r="Z129" i="1"/>
  <c r="AA129" i="1"/>
  <c r="AB129" i="1"/>
  <c r="AC129" i="1"/>
  <c r="C130" i="1"/>
  <c r="D130" i="1"/>
  <c r="E130" i="1"/>
  <c r="F130" i="1"/>
  <c r="G130" i="1"/>
  <c r="H130" i="1"/>
  <c r="I130" i="1"/>
  <c r="J130" i="1"/>
  <c r="K130" i="1"/>
  <c r="L130" i="1"/>
  <c r="M130" i="1"/>
  <c r="N130" i="1"/>
  <c r="O130" i="1"/>
  <c r="P130" i="1"/>
  <c r="Q130" i="1"/>
  <c r="R130" i="1"/>
  <c r="S130" i="1"/>
  <c r="T130" i="1"/>
  <c r="U130" i="1"/>
  <c r="V130" i="1"/>
  <c r="W130" i="1"/>
  <c r="X130" i="1"/>
  <c r="Y130" i="1"/>
  <c r="Z130" i="1"/>
  <c r="AA130" i="1"/>
  <c r="AB130" i="1"/>
  <c r="AC130" i="1"/>
  <c r="C131" i="1"/>
  <c r="D131" i="1"/>
  <c r="E131" i="1"/>
  <c r="F131" i="1"/>
  <c r="G131" i="1"/>
  <c r="H131" i="1"/>
  <c r="I131" i="1"/>
  <c r="J131" i="1"/>
  <c r="K131" i="1"/>
  <c r="L131" i="1"/>
  <c r="M131" i="1"/>
  <c r="N131" i="1"/>
  <c r="O131" i="1"/>
  <c r="P131" i="1"/>
  <c r="Q131" i="1"/>
  <c r="R131" i="1"/>
  <c r="S131" i="1"/>
  <c r="T131" i="1"/>
  <c r="U131" i="1"/>
  <c r="V131" i="1"/>
  <c r="W131" i="1"/>
  <c r="X131" i="1"/>
  <c r="Y131" i="1"/>
  <c r="Z131" i="1"/>
  <c r="AA131" i="1"/>
  <c r="AB131" i="1"/>
  <c r="AC131" i="1"/>
  <c r="C132" i="1"/>
  <c r="D132" i="1"/>
  <c r="E132" i="1"/>
  <c r="F132" i="1"/>
  <c r="G132" i="1"/>
  <c r="H132" i="1"/>
  <c r="I132" i="1"/>
  <c r="J132" i="1"/>
  <c r="K132" i="1"/>
  <c r="L132" i="1"/>
  <c r="M132" i="1"/>
  <c r="N132" i="1"/>
  <c r="O132" i="1"/>
  <c r="P132" i="1"/>
  <c r="Q132" i="1"/>
  <c r="R132" i="1"/>
  <c r="S132" i="1"/>
  <c r="T132" i="1"/>
  <c r="U132" i="1"/>
  <c r="V132" i="1"/>
  <c r="W132" i="1"/>
  <c r="X132" i="1"/>
  <c r="Y132" i="1"/>
  <c r="Z132" i="1"/>
  <c r="AA132" i="1"/>
  <c r="AB132" i="1"/>
  <c r="AC132" i="1"/>
  <c r="C133" i="1"/>
  <c r="D133" i="1"/>
  <c r="E133" i="1"/>
  <c r="F133" i="1"/>
  <c r="G133" i="1"/>
  <c r="H133" i="1"/>
  <c r="I133" i="1"/>
  <c r="J133" i="1"/>
  <c r="K133" i="1"/>
  <c r="L133" i="1"/>
  <c r="M133" i="1"/>
  <c r="N133" i="1"/>
  <c r="O133" i="1"/>
  <c r="P133" i="1"/>
  <c r="Q133" i="1"/>
  <c r="R133" i="1"/>
  <c r="S133" i="1"/>
  <c r="T133" i="1"/>
  <c r="U133" i="1"/>
  <c r="V133" i="1"/>
  <c r="W133" i="1"/>
  <c r="X133" i="1"/>
  <c r="Y133" i="1"/>
  <c r="Z133" i="1"/>
  <c r="AA133" i="1"/>
  <c r="AB133" i="1"/>
  <c r="AC133" i="1"/>
  <c r="C134" i="1"/>
  <c r="D134" i="1"/>
  <c r="E134" i="1"/>
  <c r="F134" i="1"/>
  <c r="G134" i="1"/>
  <c r="H134" i="1"/>
  <c r="I134" i="1"/>
  <c r="J134" i="1"/>
  <c r="K134" i="1"/>
  <c r="L134" i="1"/>
  <c r="M134" i="1"/>
  <c r="N134" i="1"/>
  <c r="O134" i="1"/>
  <c r="P134" i="1"/>
  <c r="Q134" i="1"/>
  <c r="R134" i="1"/>
  <c r="S134" i="1"/>
  <c r="T134" i="1"/>
  <c r="U134" i="1"/>
  <c r="V134" i="1"/>
  <c r="W134" i="1"/>
  <c r="X134" i="1"/>
  <c r="Y134" i="1"/>
  <c r="Z134" i="1"/>
  <c r="AA134" i="1"/>
  <c r="AB134" i="1"/>
  <c r="AC134" i="1"/>
  <c r="C135" i="1"/>
  <c r="D135" i="1"/>
  <c r="E135" i="1"/>
  <c r="F135" i="1"/>
  <c r="G135" i="1"/>
  <c r="H135" i="1"/>
  <c r="I135" i="1"/>
  <c r="J135" i="1"/>
  <c r="K135" i="1"/>
  <c r="L135" i="1"/>
  <c r="M135" i="1"/>
  <c r="N135" i="1"/>
  <c r="O135" i="1"/>
  <c r="P135" i="1"/>
  <c r="Q135" i="1"/>
  <c r="R135" i="1"/>
  <c r="S135" i="1"/>
  <c r="T135" i="1"/>
  <c r="U135" i="1"/>
  <c r="V135" i="1"/>
  <c r="W135" i="1"/>
  <c r="X135" i="1"/>
  <c r="Y135" i="1"/>
  <c r="Z135" i="1"/>
  <c r="AA135" i="1"/>
  <c r="AB135" i="1"/>
  <c r="AC135" i="1"/>
  <c r="C136" i="1"/>
  <c r="D136" i="1"/>
  <c r="E136" i="1"/>
  <c r="F136" i="1"/>
  <c r="G136" i="1"/>
  <c r="H136" i="1"/>
  <c r="I136" i="1"/>
  <c r="J136" i="1"/>
  <c r="K136" i="1"/>
  <c r="L136" i="1"/>
  <c r="M136" i="1"/>
  <c r="N136" i="1"/>
  <c r="O136" i="1"/>
  <c r="P136" i="1"/>
  <c r="Q136" i="1"/>
  <c r="R136" i="1"/>
  <c r="S136" i="1"/>
  <c r="T136" i="1"/>
  <c r="U136" i="1"/>
  <c r="V136" i="1"/>
  <c r="W136" i="1"/>
  <c r="X136" i="1"/>
  <c r="Y136" i="1"/>
  <c r="Z136" i="1"/>
  <c r="AA136" i="1"/>
  <c r="AB136" i="1"/>
  <c r="AC136" i="1"/>
  <c r="C137" i="1"/>
  <c r="D137" i="1"/>
  <c r="E137" i="1"/>
  <c r="F137" i="1"/>
  <c r="G137" i="1"/>
  <c r="H137" i="1"/>
  <c r="I137" i="1"/>
  <c r="J137" i="1"/>
  <c r="K137" i="1"/>
  <c r="L137" i="1"/>
  <c r="M137" i="1"/>
  <c r="N137" i="1"/>
  <c r="O137" i="1"/>
  <c r="P137" i="1"/>
  <c r="Q137" i="1"/>
  <c r="R137" i="1"/>
  <c r="S137" i="1"/>
  <c r="T137" i="1"/>
  <c r="U137" i="1"/>
  <c r="V137" i="1"/>
  <c r="W137" i="1"/>
  <c r="X137" i="1"/>
  <c r="Y137" i="1"/>
  <c r="Z137" i="1"/>
  <c r="AA137" i="1"/>
  <c r="AB137" i="1"/>
  <c r="AC137" i="1"/>
  <c r="C138" i="1"/>
  <c r="D138" i="1"/>
  <c r="E138" i="1"/>
  <c r="F138" i="1"/>
  <c r="G138" i="1"/>
  <c r="H138" i="1"/>
  <c r="I138" i="1"/>
  <c r="J138" i="1"/>
  <c r="K138" i="1"/>
  <c r="L138" i="1"/>
  <c r="M138" i="1"/>
  <c r="N138" i="1"/>
  <c r="O138" i="1"/>
  <c r="P138" i="1"/>
  <c r="Q138" i="1"/>
  <c r="R138" i="1"/>
  <c r="S138" i="1"/>
  <c r="T138" i="1"/>
  <c r="U138" i="1"/>
  <c r="V138" i="1"/>
  <c r="W138" i="1"/>
  <c r="X138" i="1"/>
  <c r="Y138" i="1"/>
  <c r="Z138" i="1"/>
  <c r="AA138" i="1"/>
  <c r="AB138" i="1"/>
  <c r="AC138" i="1"/>
  <c r="C139" i="1"/>
  <c r="D139" i="1"/>
  <c r="E139" i="1"/>
  <c r="F139" i="1"/>
  <c r="G139" i="1"/>
  <c r="H139" i="1"/>
  <c r="I139" i="1"/>
  <c r="J139" i="1"/>
  <c r="K139" i="1"/>
  <c r="L139" i="1"/>
  <c r="M139" i="1"/>
  <c r="N139" i="1"/>
  <c r="O139" i="1"/>
  <c r="P139" i="1"/>
  <c r="Q139" i="1"/>
  <c r="R139" i="1"/>
  <c r="S139" i="1"/>
  <c r="T139" i="1"/>
  <c r="U139" i="1"/>
  <c r="V139" i="1"/>
  <c r="W139" i="1"/>
  <c r="X139" i="1"/>
  <c r="Y139" i="1"/>
  <c r="Z139" i="1"/>
  <c r="AA139" i="1"/>
  <c r="AB139" i="1"/>
  <c r="AC139" i="1"/>
  <c r="C140" i="1"/>
  <c r="D140" i="1"/>
  <c r="E140" i="1"/>
  <c r="F140" i="1"/>
  <c r="G140" i="1"/>
  <c r="H140" i="1"/>
  <c r="I140" i="1"/>
  <c r="J140" i="1"/>
  <c r="K140" i="1"/>
  <c r="L140" i="1"/>
  <c r="M140" i="1"/>
  <c r="N140" i="1"/>
  <c r="O140" i="1"/>
  <c r="P140" i="1"/>
  <c r="Q140" i="1"/>
  <c r="R140" i="1"/>
  <c r="S140" i="1"/>
  <c r="T140" i="1"/>
  <c r="U140" i="1"/>
  <c r="V140" i="1"/>
  <c r="W140" i="1"/>
  <c r="X140" i="1"/>
  <c r="Y140" i="1"/>
  <c r="Z140" i="1"/>
  <c r="AA140" i="1"/>
  <c r="AB140" i="1"/>
  <c r="AC140" i="1"/>
  <c r="C141" i="1"/>
  <c r="D141" i="1"/>
  <c r="E141" i="1"/>
  <c r="F141" i="1"/>
  <c r="G141" i="1"/>
  <c r="H141" i="1"/>
  <c r="I141" i="1"/>
  <c r="J141" i="1"/>
  <c r="K141" i="1"/>
  <c r="L141" i="1"/>
  <c r="M141" i="1"/>
  <c r="N141" i="1"/>
  <c r="O141" i="1"/>
  <c r="P141" i="1"/>
  <c r="Q141" i="1"/>
  <c r="R141" i="1"/>
  <c r="S141" i="1"/>
  <c r="T141" i="1"/>
  <c r="U141" i="1"/>
  <c r="V141" i="1"/>
  <c r="W141" i="1"/>
  <c r="X141" i="1"/>
  <c r="Y141" i="1"/>
  <c r="Z141" i="1"/>
  <c r="AA141" i="1"/>
  <c r="AB141" i="1"/>
  <c r="AC141" i="1"/>
  <c r="C142" i="1"/>
  <c r="D142" i="1"/>
  <c r="E142" i="1"/>
  <c r="F142" i="1"/>
  <c r="G142" i="1"/>
  <c r="H142" i="1"/>
  <c r="I142" i="1"/>
  <c r="J142" i="1"/>
  <c r="K142" i="1"/>
  <c r="L142" i="1"/>
  <c r="M142" i="1"/>
  <c r="N142" i="1"/>
  <c r="O142" i="1"/>
  <c r="P142" i="1"/>
  <c r="Q142" i="1"/>
  <c r="R142" i="1"/>
  <c r="S142" i="1"/>
  <c r="T142" i="1"/>
  <c r="U142" i="1"/>
  <c r="V142" i="1"/>
  <c r="W142" i="1"/>
  <c r="X142" i="1"/>
  <c r="Y142" i="1"/>
  <c r="Z142" i="1"/>
  <c r="AA142" i="1"/>
  <c r="AB142" i="1"/>
  <c r="AC142" i="1"/>
  <c r="C143" i="1"/>
  <c r="D143" i="1"/>
  <c r="E143" i="1"/>
  <c r="F143" i="1"/>
  <c r="G143" i="1"/>
  <c r="H143" i="1"/>
  <c r="I143" i="1"/>
  <c r="J143" i="1"/>
  <c r="K143" i="1"/>
  <c r="L143" i="1"/>
  <c r="M143" i="1"/>
  <c r="N143" i="1"/>
  <c r="O143" i="1"/>
  <c r="P143" i="1"/>
  <c r="Q143" i="1"/>
  <c r="R143" i="1"/>
  <c r="S143" i="1"/>
  <c r="T143" i="1"/>
  <c r="U143" i="1"/>
  <c r="V143" i="1"/>
  <c r="W143" i="1"/>
  <c r="X143" i="1"/>
  <c r="Y143" i="1"/>
  <c r="Z143" i="1"/>
  <c r="AA143" i="1"/>
  <c r="AB143" i="1"/>
  <c r="AC143" i="1"/>
  <c r="C144" i="1"/>
  <c r="D144" i="1"/>
  <c r="E144" i="1"/>
  <c r="F144" i="1"/>
  <c r="G144" i="1"/>
  <c r="H144" i="1"/>
  <c r="I144" i="1"/>
  <c r="J144" i="1"/>
  <c r="K144" i="1"/>
  <c r="L144" i="1"/>
  <c r="M144" i="1"/>
  <c r="N144" i="1"/>
  <c r="O144" i="1"/>
  <c r="P144" i="1"/>
  <c r="Q144" i="1"/>
  <c r="R144" i="1"/>
  <c r="S144" i="1"/>
  <c r="T144" i="1"/>
  <c r="U144" i="1"/>
  <c r="V144" i="1"/>
  <c r="W144" i="1"/>
  <c r="X144" i="1"/>
  <c r="Z144" i="1"/>
  <c r="AA144" i="1"/>
  <c r="AB144" i="1"/>
  <c r="AC144" i="1"/>
  <c r="C145" i="1"/>
  <c r="D145" i="1"/>
  <c r="E145" i="1"/>
  <c r="F145" i="1"/>
  <c r="G145" i="1"/>
  <c r="H145" i="1"/>
  <c r="I145" i="1"/>
  <c r="J145" i="1"/>
  <c r="K145" i="1"/>
  <c r="L145" i="1"/>
  <c r="M145" i="1"/>
  <c r="N145" i="1"/>
  <c r="O145" i="1"/>
  <c r="P145" i="1"/>
  <c r="Q145" i="1"/>
  <c r="R145" i="1"/>
  <c r="S145" i="1"/>
  <c r="T145" i="1"/>
  <c r="U145" i="1"/>
  <c r="V145" i="1"/>
  <c r="W145" i="1"/>
  <c r="X145" i="1"/>
  <c r="Y145" i="1"/>
  <c r="Z145" i="1"/>
  <c r="AA145" i="1"/>
  <c r="AB145" i="1"/>
  <c r="AC145" i="1"/>
  <c r="D106" i="1"/>
  <c r="E106" i="1"/>
  <c r="F106" i="1"/>
  <c r="G106" i="1"/>
  <c r="H106" i="1"/>
  <c r="I106" i="1"/>
  <c r="J106" i="1"/>
  <c r="K106" i="1"/>
  <c r="L106" i="1"/>
  <c r="M106" i="1"/>
  <c r="N106" i="1"/>
  <c r="O106" i="1"/>
  <c r="P106" i="1"/>
  <c r="Q106" i="1"/>
  <c r="R106" i="1"/>
  <c r="S106" i="1"/>
  <c r="T106" i="1"/>
  <c r="U106" i="1"/>
  <c r="V106" i="1"/>
  <c r="W106" i="1"/>
  <c r="X106" i="1"/>
  <c r="Y106" i="1"/>
  <c r="Z106" i="1"/>
  <c r="AA106" i="1"/>
  <c r="AB106" i="1"/>
  <c r="AC106" i="1"/>
  <c r="C106" i="1"/>
  <c r="AH140" i="3"/>
  <c r="AH141" i="3"/>
  <c r="AH142" i="3"/>
  <c r="AH143" i="3"/>
  <c r="AH144" i="3"/>
  <c r="AH145" i="3"/>
  <c r="AH146" i="3"/>
  <c r="AH147" i="3"/>
  <c r="AH148" i="3"/>
  <c r="AH149" i="3"/>
  <c r="AH150" i="3"/>
  <c r="AH139" i="3"/>
  <c r="AE139" i="3"/>
  <c r="AG139" i="3" s="1"/>
  <c r="AE140" i="3"/>
  <c r="AG140" i="3" s="1"/>
  <c r="AE141" i="3"/>
  <c r="AG141" i="3" s="1"/>
  <c r="AE142" i="3"/>
  <c r="AG142" i="3" s="1"/>
  <c r="AE143" i="3"/>
  <c r="AG143" i="3" s="1"/>
  <c r="AE144" i="3"/>
  <c r="AG144" i="3" s="1"/>
  <c r="Z144" i="3" s="1"/>
  <c r="AE145" i="3"/>
  <c r="AG145" i="3" s="1"/>
  <c r="AE146" i="3"/>
  <c r="AG146" i="3" s="1"/>
  <c r="AE147" i="3"/>
  <c r="AG147" i="3" s="1"/>
  <c r="AE148" i="3"/>
  <c r="AG148" i="3" s="1"/>
  <c r="AE149" i="3"/>
  <c r="AG149" i="3" s="1"/>
  <c r="AE150" i="3"/>
  <c r="AG150" i="3" s="1"/>
  <c r="E147" i="3" l="1"/>
  <c r="U149" i="3"/>
  <c r="AA140" i="3"/>
  <c r="T149" i="3"/>
  <c r="Q149" i="3"/>
  <c r="S149" i="3"/>
  <c r="S148" i="3"/>
  <c r="J149" i="3"/>
  <c r="AA146" i="3"/>
  <c r="K147" i="3"/>
  <c r="E149" i="3"/>
  <c r="P145" i="3"/>
  <c r="K150" i="3"/>
  <c r="L150" i="3"/>
  <c r="AA150" i="3"/>
  <c r="M150" i="3"/>
  <c r="AB150" i="3"/>
  <c r="J150" i="3"/>
  <c r="X150" i="3"/>
  <c r="Y150" i="3"/>
  <c r="Z150" i="3"/>
  <c r="I150" i="3"/>
  <c r="R150" i="3"/>
  <c r="T146" i="3"/>
  <c r="K145" i="3"/>
  <c r="J146" i="3"/>
  <c r="I146" i="3"/>
  <c r="H146" i="3"/>
  <c r="Z145" i="3"/>
  <c r="T147" i="3"/>
  <c r="U145" i="3"/>
  <c r="S147" i="3"/>
  <c r="T145" i="3"/>
  <c r="Z147" i="3"/>
  <c r="R147" i="3"/>
  <c r="S145" i="3"/>
  <c r="AB148" i="3"/>
  <c r="M146" i="3"/>
  <c r="L146" i="3"/>
  <c r="K146" i="3"/>
  <c r="H148" i="3"/>
  <c r="U147" i="3"/>
  <c r="R148" i="3"/>
  <c r="S139" i="3"/>
  <c r="R149" i="3"/>
  <c r="Q147" i="3"/>
  <c r="E145" i="3"/>
  <c r="H150" i="3"/>
  <c r="D145" i="3"/>
  <c r="P147" i="3"/>
  <c r="AB140" i="3"/>
  <c r="X146" i="3"/>
  <c r="R146" i="3"/>
  <c r="AA148" i="3"/>
  <c r="Z148" i="3"/>
  <c r="J148" i="3"/>
  <c r="I148" i="3"/>
  <c r="K149" i="3"/>
  <c r="D140" i="3"/>
  <c r="P149" i="3"/>
  <c r="J147" i="3"/>
  <c r="N141" i="3"/>
  <c r="O141" i="3"/>
  <c r="P141" i="3"/>
  <c r="H141" i="3"/>
  <c r="X141" i="3"/>
  <c r="I141" i="3"/>
  <c r="Y141" i="3"/>
  <c r="J141" i="3"/>
  <c r="Z141" i="3"/>
  <c r="R141" i="3"/>
  <c r="Q141" i="3"/>
  <c r="S141" i="3"/>
  <c r="T141" i="3"/>
  <c r="E141" i="3"/>
  <c r="U141" i="3"/>
  <c r="H142" i="3"/>
  <c r="G142" i="3"/>
  <c r="W142" i="3"/>
  <c r="X142" i="3"/>
  <c r="Q142" i="3"/>
  <c r="R142" i="3"/>
  <c r="Z142" i="3"/>
  <c r="AA142" i="3"/>
  <c r="K142" i="3"/>
  <c r="L142" i="3"/>
  <c r="M142" i="3"/>
  <c r="Y142" i="3"/>
  <c r="I142" i="3"/>
  <c r="AB142" i="3"/>
  <c r="J142" i="3"/>
  <c r="O143" i="3"/>
  <c r="P143" i="3"/>
  <c r="J143" i="3"/>
  <c r="S143" i="3"/>
  <c r="T143" i="3"/>
  <c r="E143" i="3"/>
  <c r="U143" i="3"/>
  <c r="Z143" i="3"/>
  <c r="Q143" i="3"/>
  <c r="R143" i="3"/>
  <c r="AA144" i="3"/>
  <c r="S140" i="3"/>
  <c r="E140" i="3"/>
  <c r="U140" i="3"/>
  <c r="F140" i="3"/>
  <c r="V140" i="3"/>
  <c r="X140" i="3"/>
  <c r="G140" i="3"/>
  <c r="W140" i="3"/>
  <c r="H140" i="3"/>
  <c r="O140" i="3"/>
  <c r="P140" i="3"/>
  <c r="Q140" i="3"/>
  <c r="R140" i="3"/>
  <c r="Y144" i="3"/>
  <c r="S144" i="3"/>
  <c r="E144" i="3"/>
  <c r="U144" i="3"/>
  <c r="F144" i="3"/>
  <c r="V144" i="3"/>
  <c r="W144" i="3"/>
  <c r="T144" i="3"/>
  <c r="G144" i="3"/>
  <c r="H144" i="3"/>
  <c r="N144" i="3"/>
  <c r="O144" i="3"/>
  <c r="P144" i="3"/>
  <c r="Q144" i="3"/>
  <c r="D144" i="3"/>
  <c r="X144" i="3"/>
  <c r="Y148" i="3"/>
  <c r="J144" i="3"/>
  <c r="I140" i="3"/>
  <c r="AB144" i="3"/>
  <c r="X148" i="3"/>
  <c r="I144" i="3"/>
  <c r="U139" i="3"/>
  <c r="Y140" i="3"/>
  <c r="K141" i="3"/>
  <c r="J140" i="3"/>
  <c r="AB146" i="3"/>
  <c r="R145" i="3"/>
  <c r="T139" i="3"/>
  <c r="Z140" i="3"/>
  <c r="S142" i="3"/>
  <c r="L140" i="3"/>
  <c r="G148" i="3"/>
  <c r="W148" i="3"/>
  <c r="Q148" i="3"/>
  <c r="N147" i="3"/>
  <c r="O147" i="3"/>
  <c r="H147" i="3"/>
  <c r="X147" i="3"/>
  <c r="I147" i="3"/>
  <c r="Y147" i="3"/>
  <c r="M148" i="3"/>
  <c r="Q145" i="3"/>
  <c r="K143" i="3"/>
  <c r="R144" i="3"/>
  <c r="L144" i="3"/>
  <c r="S146" i="3"/>
  <c r="D146" i="3"/>
  <c r="E146" i="3"/>
  <c r="U146" i="3"/>
  <c r="F146" i="3"/>
  <c r="V146" i="3"/>
  <c r="G146" i="3"/>
  <c r="W146" i="3"/>
  <c r="O146" i="3"/>
  <c r="P146" i="3"/>
  <c r="Q146" i="3"/>
  <c r="K139" i="3"/>
  <c r="AA139" i="3"/>
  <c r="N139" i="3"/>
  <c r="O139" i="3"/>
  <c r="P139" i="3"/>
  <c r="L139" i="3"/>
  <c r="AB139" i="3"/>
  <c r="M139" i="3"/>
  <c r="E139" i="3"/>
  <c r="F139" i="3"/>
  <c r="V139" i="3"/>
  <c r="W139" i="3"/>
  <c r="X139" i="3"/>
  <c r="I139" i="3"/>
  <c r="Y139" i="3"/>
  <c r="J139" i="3"/>
  <c r="Z139" i="3"/>
  <c r="G139" i="3"/>
  <c r="H139" i="3"/>
  <c r="Z149" i="3"/>
  <c r="L148" i="3"/>
  <c r="Z146" i="3"/>
  <c r="R139" i="3"/>
  <c r="M140" i="3"/>
  <c r="M144" i="3"/>
  <c r="K140" i="3"/>
  <c r="T140" i="3"/>
  <c r="K144" i="3"/>
  <c r="M145" i="3"/>
  <c r="N145" i="3"/>
  <c r="O145" i="3"/>
  <c r="G145" i="3"/>
  <c r="W145" i="3"/>
  <c r="H145" i="3"/>
  <c r="X145" i="3"/>
  <c r="I145" i="3"/>
  <c r="Y145" i="3"/>
  <c r="S150" i="3"/>
  <c r="E150" i="3"/>
  <c r="U150" i="3"/>
  <c r="F150" i="3"/>
  <c r="V150" i="3"/>
  <c r="W150" i="3"/>
  <c r="T150" i="3"/>
  <c r="G150" i="3"/>
  <c r="D150" i="3"/>
  <c r="N150" i="3"/>
  <c r="O150" i="3"/>
  <c r="P150" i="3"/>
  <c r="Q150" i="3"/>
  <c r="D139" i="3"/>
  <c r="K148" i="3"/>
  <c r="Y146" i="3"/>
  <c r="J145" i="3"/>
  <c r="Q139" i="3"/>
  <c r="Y149" i="3"/>
  <c r="I149" i="3"/>
  <c r="Y143" i="3"/>
  <c r="I143" i="3"/>
  <c r="D143" i="3"/>
  <c r="X149" i="3"/>
  <c r="H149" i="3"/>
  <c r="P148" i="3"/>
  <c r="X143" i="3"/>
  <c r="H143" i="3"/>
  <c r="P142" i="3"/>
  <c r="D142" i="3"/>
  <c r="W149" i="3"/>
  <c r="G149" i="3"/>
  <c r="O148" i="3"/>
  <c r="W147" i="3"/>
  <c r="G147" i="3"/>
  <c r="W143" i="3"/>
  <c r="G143" i="3"/>
  <c r="O142" i="3"/>
  <c r="W141" i="3"/>
  <c r="G141" i="3"/>
  <c r="D141" i="3"/>
  <c r="V149" i="3"/>
  <c r="F149" i="3"/>
  <c r="N148" i="3"/>
  <c r="V147" i="3"/>
  <c r="F147" i="3"/>
  <c r="N146" i="3"/>
  <c r="V145" i="3"/>
  <c r="F145" i="3"/>
  <c r="V143" i="3"/>
  <c r="F143" i="3"/>
  <c r="N142" i="3"/>
  <c r="V141" i="3"/>
  <c r="F141" i="3"/>
  <c r="N140" i="3"/>
  <c r="O149" i="3"/>
  <c r="D147" i="3"/>
  <c r="AB149" i="3"/>
  <c r="L149" i="3"/>
  <c r="T148" i="3"/>
  <c r="AB147" i="3"/>
  <c r="L147" i="3"/>
  <c r="AB145" i="3"/>
  <c r="L145" i="3"/>
  <c r="AB143" i="3"/>
  <c r="L143" i="3"/>
  <c r="T142" i="3"/>
  <c r="AB141" i="3"/>
  <c r="L141" i="3"/>
  <c r="D149" i="3"/>
  <c r="N149" i="3"/>
  <c r="V148" i="3"/>
  <c r="F148" i="3"/>
  <c r="N143" i="3"/>
  <c r="V142" i="3"/>
  <c r="F142" i="3"/>
  <c r="D148" i="3"/>
  <c r="M149" i="3"/>
  <c r="U148" i="3"/>
  <c r="E148" i="3"/>
  <c r="M147" i="3"/>
  <c r="M143" i="3"/>
  <c r="U142" i="3"/>
  <c r="E142" i="3"/>
  <c r="M141" i="3"/>
  <c r="AA149" i="3"/>
  <c r="AA147" i="3"/>
  <c r="AA145" i="3"/>
  <c r="AA143" i="3"/>
  <c r="AA141" i="3"/>
  <c r="AC146" i="3" l="1"/>
  <c r="AC141" i="3"/>
  <c r="AC142" i="3"/>
  <c r="AC149" i="3"/>
  <c r="AC148" i="3"/>
  <c r="AC140" i="3"/>
  <c r="AC144" i="3"/>
  <c r="AC145" i="3"/>
  <c r="AC139" i="3"/>
  <c r="AC143" i="3"/>
  <c r="AC147" i="3"/>
  <c r="AC150" i="3"/>
  <c r="AC87" i="5" l="1"/>
  <c r="AC86" i="5"/>
  <c r="AC85" i="5"/>
  <c r="AC84" i="5"/>
  <c r="AC83" i="5"/>
  <c r="AC82" i="5"/>
  <c r="AC81" i="5"/>
  <c r="AC80" i="5"/>
  <c r="AC79" i="5"/>
  <c r="AC78" i="5"/>
  <c r="AC77" i="5"/>
  <c r="AC76" i="5"/>
  <c r="AC75" i="5"/>
  <c r="AC74" i="5"/>
  <c r="AC68" i="5"/>
  <c r="AC67" i="5"/>
  <c r="AC66" i="5"/>
  <c r="AC65" i="5"/>
  <c r="AC64" i="5"/>
  <c r="AC63" i="5"/>
  <c r="AC62" i="5"/>
  <c r="AC61" i="5"/>
  <c r="AC60" i="5"/>
  <c r="AC59" i="5"/>
  <c r="AC58" i="5"/>
  <c r="AC57" i="5"/>
  <c r="AC56" i="5"/>
  <c r="AC55" i="5"/>
  <c r="AC54" i="5"/>
  <c r="AC53" i="5"/>
  <c r="AC52" i="5"/>
  <c r="AC89" i="4"/>
  <c r="AC88" i="4"/>
  <c r="AC87" i="4"/>
  <c r="AC86" i="4"/>
  <c r="AC85" i="4"/>
  <c r="AC84" i="4"/>
  <c r="AC83" i="4"/>
  <c r="AC82" i="4"/>
  <c r="AC81" i="4"/>
  <c r="AC80" i="4"/>
  <c r="AC79" i="4"/>
  <c r="AC78" i="4"/>
  <c r="AC77" i="4"/>
  <c r="AC76" i="4"/>
  <c r="AC75" i="4"/>
  <c r="AC74" i="4"/>
  <c r="AC73" i="4"/>
  <c r="AC72" i="4"/>
  <c r="AC71" i="4"/>
  <c r="AC70" i="4"/>
  <c r="AC69" i="4"/>
  <c r="AC68" i="4"/>
  <c r="AC67" i="4"/>
  <c r="AC66" i="4"/>
  <c r="AC65" i="4"/>
  <c r="AC64" i="4"/>
  <c r="AC63" i="4"/>
  <c r="AC62" i="4"/>
  <c r="AC61" i="4"/>
  <c r="AC60" i="4"/>
  <c r="AC59" i="4"/>
  <c r="AC58" i="4"/>
  <c r="AC57" i="4"/>
  <c r="AC56" i="4"/>
  <c r="AC55" i="4"/>
  <c r="AC54" i="4"/>
  <c r="AC53" i="4"/>
  <c r="AC87" i="3"/>
  <c r="AC86" i="3"/>
  <c r="AC85" i="3"/>
  <c r="AC84" i="3"/>
  <c r="AC83" i="3"/>
  <c r="AC82" i="3"/>
  <c r="AC81" i="3"/>
  <c r="AC80" i="3"/>
  <c r="AC79" i="3"/>
  <c r="AC78" i="3"/>
  <c r="AC77" i="3"/>
  <c r="AC76" i="3"/>
  <c r="AC75" i="3"/>
  <c r="AC74" i="3"/>
  <c r="AC73" i="3"/>
  <c r="AC72" i="3"/>
  <c r="AC71" i="3"/>
  <c r="AC70" i="3"/>
  <c r="AC69" i="3"/>
  <c r="AC68" i="3"/>
  <c r="AC67" i="3"/>
  <c r="AC66" i="3"/>
  <c r="AC65" i="3"/>
  <c r="AC64" i="3"/>
  <c r="AC63" i="3"/>
  <c r="AC62" i="3"/>
  <c r="AC61" i="3"/>
  <c r="AC60" i="3"/>
  <c r="AC59" i="3"/>
  <c r="AC58" i="3"/>
  <c r="AC57" i="3"/>
  <c r="AC56" i="3"/>
  <c r="AC55" i="3"/>
  <c r="AC54" i="3"/>
  <c r="AC53" i="3"/>
  <c r="AC52" i="3"/>
  <c r="AC95" i="2"/>
  <c r="AC94" i="2"/>
  <c r="AC93" i="2"/>
  <c r="AC92" i="2"/>
  <c r="AC91" i="2"/>
  <c r="AC90" i="2"/>
  <c r="AC89" i="2"/>
  <c r="AC88" i="2"/>
  <c r="AC87" i="2"/>
  <c r="AC86" i="2"/>
  <c r="AC85" i="2"/>
  <c r="AC84" i="2"/>
  <c r="AC83" i="2"/>
  <c r="AC82" i="2"/>
  <c r="AC81" i="2"/>
  <c r="AC80" i="2"/>
  <c r="AC79" i="2"/>
  <c r="AC78" i="2"/>
  <c r="AC77" i="2"/>
  <c r="AC76" i="2"/>
  <c r="AC75" i="2"/>
  <c r="AC74" i="2"/>
  <c r="AC73" i="2"/>
  <c r="AC72" i="2"/>
  <c r="AC71" i="2"/>
  <c r="AC70" i="2"/>
  <c r="AC69" i="2"/>
  <c r="AC68" i="2"/>
  <c r="AC67" i="2"/>
  <c r="AC66" i="2"/>
  <c r="AC65" i="2"/>
  <c r="AC64" i="2"/>
  <c r="AC63" i="2"/>
  <c r="AC62" i="2"/>
  <c r="AC61" i="2"/>
  <c r="AC60" i="2"/>
  <c r="AC59" i="2"/>
  <c r="AC58" i="2"/>
  <c r="AC57" i="2"/>
  <c r="AC56" i="2"/>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B26" i="6" l="1"/>
  <c r="AB25" i="6"/>
  <c r="AB23" i="6"/>
  <c r="AB22" i="6"/>
  <c r="AB21" i="6"/>
  <c r="AB18" i="6"/>
  <c r="AB17" i="6"/>
  <c r="AB16" i="6"/>
  <c r="AB15" i="6"/>
  <c r="AB14" i="6"/>
  <c r="AB13" i="6"/>
  <c r="AB12" i="6"/>
  <c r="AB11" i="6"/>
  <c r="AC11" i="5"/>
  <c r="AC12" i="5"/>
  <c r="AC13" i="5"/>
  <c r="AC14" i="5"/>
  <c r="AC15" i="5"/>
  <c r="AC16" i="5"/>
  <c r="AC17" i="5"/>
  <c r="AC18" i="5"/>
  <c r="AC19" i="5"/>
  <c r="AC20" i="5"/>
  <c r="AC21" i="5"/>
  <c r="AC22" i="5"/>
  <c r="AC23" i="5"/>
  <c r="AC24" i="5"/>
  <c r="AC25" i="5"/>
  <c r="AC26" i="5"/>
  <c r="AC27" i="5"/>
  <c r="AC33" i="5"/>
  <c r="AC34" i="5"/>
  <c r="AC35" i="5"/>
  <c r="AC36" i="5"/>
  <c r="AC37" i="5"/>
  <c r="AC38" i="5"/>
  <c r="AC39" i="5"/>
  <c r="AC40" i="5"/>
  <c r="AC41" i="5"/>
  <c r="AC42" i="5"/>
  <c r="AC43" i="5"/>
  <c r="AC44" i="5"/>
  <c r="AC45" i="5"/>
  <c r="AC46" i="5"/>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11" i="3"/>
  <c r="AC98" i="3" s="1"/>
  <c r="AC12" i="3"/>
  <c r="AC99" i="3" s="1"/>
  <c r="AC13" i="3"/>
  <c r="AC100" i="3" s="1"/>
  <c r="AC14" i="3"/>
  <c r="AC101" i="3" s="1"/>
  <c r="AC15" i="3"/>
  <c r="AC102" i="3" s="1"/>
  <c r="AC16" i="3"/>
  <c r="AC103" i="3" s="1"/>
  <c r="AC17" i="3"/>
  <c r="AC104" i="3" s="1"/>
  <c r="AC18" i="3"/>
  <c r="AC105" i="3" s="1"/>
  <c r="AC19" i="3"/>
  <c r="AC106" i="3" s="1"/>
  <c r="AC20" i="3"/>
  <c r="AC107" i="3" s="1"/>
  <c r="AC21" i="3"/>
  <c r="AC108" i="3" s="1"/>
  <c r="AC22" i="3"/>
  <c r="AC109" i="3" s="1"/>
  <c r="AC23" i="3"/>
  <c r="AC110" i="3" s="1"/>
  <c r="AC24" i="3"/>
  <c r="AC111" i="3" s="1"/>
  <c r="AC25" i="3"/>
  <c r="AC112" i="3" s="1"/>
  <c r="AC26" i="3"/>
  <c r="AC113" i="3" s="1"/>
  <c r="AC27" i="3"/>
  <c r="AC114" i="3" s="1"/>
  <c r="AC28" i="3"/>
  <c r="AC115" i="3" s="1"/>
  <c r="AC29" i="3"/>
  <c r="AC116" i="3" s="1"/>
  <c r="AC30" i="3"/>
  <c r="AC117" i="3" s="1"/>
  <c r="AC31" i="3"/>
  <c r="AC118" i="3" s="1"/>
  <c r="AC32" i="3"/>
  <c r="AC119" i="3" s="1"/>
  <c r="AC33" i="3"/>
  <c r="AC120" i="3" s="1"/>
  <c r="AC34" i="3"/>
  <c r="AC121" i="3" s="1"/>
  <c r="AC35" i="3"/>
  <c r="AC122" i="3" s="1"/>
  <c r="AC36" i="3"/>
  <c r="AC123" i="3" s="1"/>
  <c r="AC37" i="3"/>
  <c r="AC124" i="3" s="1"/>
  <c r="AC38" i="3"/>
  <c r="AC125" i="3" s="1"/>
  <c r="AC39" i="3"/>
  <c r="AC126" i="3" s="1"/>
  <c r="AC40" i="3"/>
  <c r="AC127" i="3" s="1"/>
  <c r="AC41" i="3"/>
  <c r="AC128" i="3" s="1"/>
  <c r="AC42" i="3"/>
  <c r="AC129" i="3" s="1"/>
  <c r="AC43" i="3"/>
  <c r="AC130" i="3" s="1"/>
  <c r="AC44" i="3"/>
  <c r="AC131" i="3" s="1"/>
  <c r="AC45" i="3"/>
  <c r="AC132" i="3" s="1"/>
  <c r="AC46" i="3"/>
  <c r="AC133" i="3" s="1"/>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tc={17747DC4-B5B6-4ED8-AE00-7E22C65BA28E}</author>
    <author>tc={A8E61FF3-97F9-4C4D-91D2-F53EF7D4FE1A}</author>
    <author>tc={859E03F5-EEF0-4339-8371-3257A932BE92}</author>
    <author>tc={DDEAF9C5-E1A5-4088-8959-D21569811393}</author>
  </authors>
  <commentList>
    <comment ref="AE138" authorId="0" shapeId="0" xr:uid="{17747DC4-B5B6-4ED8-AE00-7E22C65BA28E}">
      <text>
        <t>[Threaded comment]
Your version of Excel allows you to read this threaded comment; however, any edits to it will get removed if the file is opened in a newer version of Excel. Learn more: https://go.microsoft.com/fwlink/?linkid=870924
Comment:
    CWT sheet spawner estimate column AG - AFC estimate column AD</t>
      </text>
    </comment>
    <comment ref="AF138" authorId="1" shapeId="0" xr:uid="{A8E61FF3-97F9-4C4D-91D2-F53EF7D4FE1A}">
      <text>
        <t>[Threaded comment]
Your version of Excel allows you to read this threaded comment; however, any edits to it will get removed if the file is opened in a newer version of Excel. Learn more: https://go.microsoft.com/fwlink/?linkid=870924
Comment:
    CWT sheet column AD Number of AFC fish in stratum</t>
      </text>
    </comment>
    <comment ref="AG138" authorId="2" shapeId="0" xr:uid="{859E03F5-EEF0-4339-8371-3257A932BE92}">
      <text>
        <t>[Threaded comment]
Your version of Excel allows you to read this threaded comment; however, any edits to it will get removed if the file is opened in a newer version of Excel. Learn more: https://go.microsoft.com/fwlink/?linkid=870924
Comment:
    Divide the escapement unmarked abundance by the escapement percentage of unmarked fish</t>
      </text>
    </comment>
    <comment ref="AH138" authorId="3" shapeId="0" xr:uid="{DDEAF9C5-E1A5-4088-8959-D21569811393}">
      <text>
        <t xml:space="preserve">[Threaded comment]
Your version of Excel allows you to read this threaded comment; however, any edits to it will get removed if the file is opened in a newer version of Excel. Learn more: https://go.microsoft.com/fwlink/?linkid=870924
Comment:
    Divide the escapement marked abundance by the escapement percentage of marked fish
</t>
      </text>
    </comment>
  </commentList>
</comments>
</file>

<file path=xl/sharedStrings.xml><?xml version="1.0" encoding="utf-8"?>
<sst xmlns="http://schemas.openxmlformats.org/spreadsheetml/2006/main" count="1353" uniqueCount="88">
  <si>
    <t>No pseudo recoveries included</t>
  </si>
  <si>
    <t>For US ISBM Net and Sport, Puget Sound recoveries for 2024 will not be available until next year, so the 2024 values were infilled based on the average mortality (%) of the last 3 years (2021-2022-2023)</t>
  </si>
  <si>
    <t>AABM Fisheries</t>
  </si>
  <si>
    <t>ISBM Fisheries</t>
  </si>
  <si>
    <t>Escapement</t>
  </si>
  <si>
    <t>SEAK</t>
  </si>
  <si>
    <t>NBC</t>
  </si>
  <si>
    <t>WCVI</t>
  </si>
  <si>
    <t>Canadian Ocean Sport</t>
  </si>
  <si>
    <t>Canadian Ocean</t>
  </si>
  <si>
    <t>Terminal Fraser Fisheries</t>
  </si>
  <si>
    <t>US ISBM Fisheries</t>
  </si>
  <si>
    <t>Stock</t>
  </si>
  <si>
    <t>Total Estimated CWTs</t>
  </si>
  <si>
    <t>AABM SEAK Troll</t>
  </si>
  <si>
    <t>AABM SEAK Net &amp; Sport</t>
  </si>
  <si>
    <t>AABM NBC Troll</t>
  </si>
  <si>
    <t>AABM NBC Sport</t>
  </si>
  <si>
    <t>AABM WCVI Troll</t>
  </si>
  <si>
    <t>AABM WCVI Sport</t>
  </si>
  <si>
    <t>Juan De Fuca</t>
  </si>
  <si>
    <t>Johnstone Strait</t>
  </si>
  <si>
    <t>Strait of Georgia</t>
  </si>
  <si>
    <t>Fraser Mainstem Sport</t>
  </si>
  <si>
    <t>Chiliwack Sport</t>
  </si>
  <si>
    <t>Nicola/ Thompson Sport</t>
  </si>
  <si>
    <t>CHI</t>
  </si>
  <si>
    <t>Catch Year</t>
  </si>
  <si>
    <t>Canadian Strays</t>
  </si>
  <si>
    <t>US Strays</t>
  </si>
  <si>
    <t>For Canadian domestic use only</t>
  </si>
  <si>
    <t>Footnotes:</t>
  </si>
  <si>
    <t>1. Canadian Ocean Net includes Juan de Fuca net, Johnstone Strait net, Northern net, Central net and WCVI net.</t>
  </si>
  <si>
    <t>2. Canadian ocean troll includes Central and any other Canadian troll fisheries not listed.</t>
  </si>
  <si>
    <t>3. Imputed CWT recoveries from Fraser Run Reconstructed catch, escapement CWT density, and 2012 relationship between recoveries based on CWT sampling and run reconstruction for 2007.</t>
  </si>
  <si>
    <t>Net</t>
  </si>
  <si>
    <t>Troll</t>
  </si>
  <si>
    <t>Total Mortality</t>
  </si>
  <si>
    <t>Canadian Marine</t>
  </si>
  <si>
    <r>
      <t>Cdn. Ocean Net</t>
    </r>
    <r>
      <rPr>
        <vertAlign val="superscript"/>
        <sz val="11"/>
        <color theme="1"/>
        <rFont val="Calibri"/>
        <family val="2"/>
        <scheme val="minor"/>
      </rPr>
      <t>1</t>
    </r>
  </si>
  <si>
    <r>
      <t>Net</t>
    </r>
    <r>
      <rPr>
        <vertAlign val="superscript"/>
        <sz val="11"/>
        <color theme="1"/>
        <rFont val="Calibri"/>
        <family val="2"/>
        <scheme val="minor"/>
      </rPr>
      <t>1</t>
    </r>
  </si>
  <si>
    <r>
      <t>Cdn. Ocean Troll</t>
    </r>
    <r>
      <rPr>
        <vertAlign val="superscript"/>
        <sz val="11"/>
        <color theme="1"/>
        <rFont val="Calibri"/>
        <family val="2"/>
        <scheme val="minor"/>
      </rPr>
      <t>2</t>
    </r>
  </si>
  <si>
    <r>
      <t>Troll</t>
    </r>
    <r>
      <rPr>
        <vertAlign val="superscript"/>
        <sz val="11"/>
        <color theme="1"/>
        <rFont val="Calibri"/>
        <family val="2"/>
        <scheme val="minor"/>
      </rPr>
      <t>2</t>
    </r>
  </si>
  <si>
    <t>Sport</t>
  </si>
  <si>
    <r>
      <t>Commercial Net</t>
    </r>
    <r>
      <rPr>
        <vertAlign val="superscript"/>
        <sz val="11"/>
        <color theme="1"/>
        <rFont val="Calibri"/>
        <family val="2"/>
        <scheme val="minor"/>
      </rPr>
      <t>3</t>
    </r>
  </si>
  <si>
    <t>3.  The CWT data for all Fraser net fisheries was combined for the CTC CWT cohort analysis.  The run reconstruction was used to prorate the CTC analysis into FN FSC and commercial categories for 1985-2010, and estimated CWT recoveries were used for 2011-2024.</t>
  </si>
  <si>
    <t>HAR</t>
  </si>
  <si>
    <t>NIC</t>
  </si>
  <si>
    <t>3.  The CWT data for all Fraser net fisheries was combined for the CTC CWT cohort analysis.  The run reconstruction was used to prorate the CTC analysis into FN FSC and commercial categories for 1989-2010, and estimated CWT recoveries were used for 2011-2024.</t>
  </si>
  <si>
    <t>SHU</t>
  </si>
  <si>
    <t>3.  The CWT data for all Fraser net fisheries was combined for the CTC CWT cohort analysis.  The run reconstruction was used to prorate the CTC analysis into FN FSC and commercial categories for 1988-2010, and estimated CWT recoveries were used for 2011-2024.</t>
  </si>
  <si>
    <t>MSH</t>
  </si>
  <si>
    <t>Canadian</t>
  </si>
  <si>
    <t>Cdn. Ocean Sport</t>
  </si>
  <si>
    <t>Cdn. Ocn Net</t>
  </si>
  <si>
    <t>Terminal Fraser River</t>
  </si>
  <si>
    <t>Marine</t>
  </si>
  <si>
    <t>Estimated # of CWTs</t>
  </si>
  <si>
    <t>Net &amp; Sport</t>
  </si>
  <si>
    <t>Juan de Fuca</t>
  </si>
  <si>
    <t>Shuswap Sport</t>
  </si>
  <si>
    <t>Comm. Net</t>
  </si>
  <si>
    <r>
      <t>FN FSC</t>
    </r>
    <r>
      <rPr>
        <vertAlign val="superscript"/>
        <sz val="11"/>
        <color theme="1"/>
        <rFont val="Calibri"/>
        <family val="2"/>
        <scheme val="minor"/>
      </rPr>
      <t>3</t>
    </r>
  </si>
  <si>
    <r>
      <t>Troll</t>
    </r>
    <r>
      <rPr>
        <vertAlign val="superscript"/>
        <sz val="11"/>
        <color theme="1"/>
        <rFont val="Calibri"/>
        <family val="2"/>
        <scheme val="minor"/>
      </rPr>
      <t>4</t>
    </r>
  </si>
  <si>
    <r>
      <t>Sport</t>
    </r>
    <r>
      <rPr>
        <vertAlign val="superscript"/>
        <sz val="11"/>
        <color theme="1"/>
        <rFont val="Calibri"/>
        <family val="2"/>
        <scheme val="minor"/>
      </rPr>
      <t>4</t>
    </r>
  </si>
  <si>
    <t>Esc.</t>
  </si>
  <si>
    <t>Stray</t>
  </si>
  <si>
    <t>4. No adjustments have been made for any mark selective fisheries.</t>
  </si>
  <si>
    <t>Marked</t>
  </si>
  <si>
    <t>Unmarked</t>
  </si>
  <si>
    <r>
      <t xml:space="preserve">Table 1: </t>
    </r>
    <r>
      <rPr>
        <b/>
        <sz val="11"/>
        <color theme="1"/>
        <rFont val="Calibri"/>
        <family val="2"/>
        <scheme val="minor"/>
      </rPr>
      <t>Marked</t>
    </r>
    <r>
      <rPr>
        <sz val="11"/>
        <color theme="1"/>
        <rFont val="Calibri"/>
        <family val="2"/>
        <scheme val="minor"/>
      </rPr>
      <t xml:space="preserve"> Mortality Distribution Table for Lower Shuswap AFC+CWT Chinook</t>
    </r>
  </si>
  <si>
    <r>
      <t xml:space="preserve">Table 2: </t>
    </r>
    <r>
      <rPr>
        <b/>
        <sz val="11"/>
        <color theme="1"/>
        <rFont val="Calibri"/>
        <family val="2"/>
        <scheme val="minor"/>
      </rPr>
      <t>Unmarked</t>
    </r>
    <r>
      <rPr>
        <sz val="11"/>
        <color theme="1"/>
        <rFont val="Calibri"/>
        <family val="2"/>
        <scheme val="minor"/>
      </rPr>
      <t xml:space="preserve"> Mortality Distribution Table for Lower Shuswap natural-origin Chinook</t>
    </r>
  </si>
  <si>
    <r>
      <t xml:space="preserve">Table 1: </t>
    </r>
    <r>
      <rPr>
        <b/>
        <sz val="11"/>
        <color theme="1"/>
        <rFont val="Calibri"/>
        <family val="2"/>
        <scheme val="minor"/>
      </rPr>
      <t>Marked</t>
    </r>
    <r>
      <rPr>
        <sz val="11"/>
        <color theme="1"/>
        <rFont val="Calibri"/>
        <family val="2"/>
        <scheme val="minor"/>
      </rPr>
      <t xml:space="preserve"> Mortality Distribution table for Harrison AFC+CWT Chinook</t>
    </r>
  </si>
  <si>
    <r>
      <t xml:space="preserve">Table 2: </t>
    </r>
    <r>
      <rPr>
        <b/>
        <sz val="11"/>
        <color theme="1"/>
        <rFont val="Calibri"/>
        <family val="2"/>
        <scheme val="minor"/>
      </rPr>
      <t>Unmarked</t>
    </r>
    <r>
      <rPr>
        <sz val="11"/>
        <color theme="1"/>
        <rFont val="Calibri"/>
        <family val="2"/>
        <scheme val="minor"/>
      </rPr>
      <t xml:space="preserve"> Mortality Distribution table for Harrison natural-origin Chinook</t>
    </r>
  </si>
  <si>
    <r>
      <t xml:space="preserve">Table 1: </t>
    </r>
    <r>
      <rPr>
        <b/>
        <sz val="11"/>
        <color theme="1"/>
        <rFont val="Calibri"/>
        <family val="2"/>
        <scheme val="minor"/>
      </rPr>
      <t>Marked</t>
    </r>
    <r>
      <rPr>
        <sz val="11"/>
        <color theme="1"/>
        <rFont val="Calibri"/>
        <family val="2"/>
        <scheme val="minor"/>
      </rPr>
      <t xml:space="preserve"> Mortality Distribution table for Chilliwack AFC+CWT Chinook</t>
    </r>
  </si>
  <si>
    <r>
      <t xml:space="preserve">Table 2: </t>
    </r>
    <r>
      <rPr>
        <b/>
        <sz val="11"/>
        <color theme="1"/>
        <rFont val="Calibri"/>
        <family val="2"/>
        <scheme val="minor"/>
      </rPr>
      <t>Unmarked</t>
    </r>
    <r>
      <rPr>
        <sz val="11"/>
        <color theme="1"/>
        <rFont val="Calibri"/>
        <family val="2"/>
        <scheme val="minor"/>
      </rPr>
      <t xml:space="preserve"> Mortality Distribution table for Chilliwack natural-origin Chinook</t>
    </r>
  </si>
  <si>
    <r>
      <t xml:space="preserve">Table 1: </t>
    </r>
    <r>
      <rPr>
        <b/>
        <sz val="11"/>
        <color theme="1"/>
        <rFont val="Calibri"/>
        <family val="2"/>
        <scheme val="minor"/>
      </rPr>
      <t>Marked</t>
    </r>
    <r>
      <rPr>
        <sz val="11"/>
        <color theme="1"/>
        <rFont val="Calibri"/>
        <family val="2"/>
        <scheme val="minor"/>
      </rPr>
      <t xml:space="preserve"> Mortality Distribution Table for Middle Shuswap AFC+CWT Chinook</t>
    </r>
  </si>
  <si>
    <r>
      <t xml:space="preserve">Table 2: </t>
    </r>
    <r>
      <rPr>
        <b/>
        <sz val="11"/>
        <color theme="1"/>
        <rFont val="Calibri"/>
        <family val="2"/>
        <scheme val="minor"/>
      </rPr>
      <t>Unmarked</t>
    </r>
    <r>
      <rPr>
        <sz val="11"/>
        <color theme="1"/>
        <rFont val="Calibri"/>
        <family val="2"/>
        <scheme val="minor"/>
      </rPr>
      <t xml:space="preserve"> Mortality Distribution Table for Middle Shuswap natural-origin Chinook</t>
    </r>
  </si>
  <si>
    <t>Escapement Abundance</t>
  </si>
  <si>
    <t>Pre-fishery abundance</t>
  </si>
  <si>
    <r>
      <rPr>
        <b/>
        <sz val="11"/>
        <color theme="1"/>
        <rFont val="Calibri"/>
        <family val="2"/>
        <scheme val="minor"/>
      </rPr>
      <t>Table 2</t>
    </r>
    <r>
      <rPr>
        <sz val="11"/>
        <color theme="1"/>
        <rFont val="Calibri"/>
        <family val="2"/>
        <scheme val="minor"/>
      </rPr>
      <t xml:space="preserve">: </t>
    </r>
    <r>
      <rPr>
        <b/>
        <sz val="11"/>
        <color theme="1"/>
        <rFont val="Calibri"/>
        <family val="2"/>
        <scheme val="minor"/>
      </rPr>
      <t>Unmarked</t>
    </r>
    <r>
      <rPr>
        <sz val="11"/>
        <color theme="1"/>
        <rFont val="Calibri"/>
        <family val="2"/>
        <scheme val="minor"/>
      </rPr>
      <t xml:space="preserve"> Mortality Distribution Table for Nicola natural-origin Chinook</t>
    </r>
  </si>
  <si>
    <r>
      <rPr>
        <b/>
        <sz val="11"/>
        <color theme="1"/>
        <rFont val="Calibri"/>
        <family val="2"/>
        <scheme val="minor"/>
      </rPr>
      <t>Table 1</t>
    </r>
    <r>
      <rPr>
        <sz val="11"/>
        <color theme="1"/>
        <rFont val="Calibri"/>
        <family val="2"/>
        <scheme val="minor"/>
      </rPr>
      <t xml:space="preserve">: </t>
    </r>
    <r>
      <rPr>
        <b/>
        <sz val="11"/>
        <color theme="1"/>
        <rFont val="Calibri"/>
        <family val="2"/>
        <scheme val="minor"/>
      </rPr>
      <t>Marked</t>
    </r>
    <r>
      <rPr>
        <sz val="11"/>
        <color theme="1"/>
        <rFont val="Calibri"/>
        <family val="2"/>
        <scheme val="minor"/>
      </rPr>
      <t xml:space="preserve"> Mortality Distribution Table for Nicola AFC+CWT Chinook</t>
    </r>
  </si>
  <si>
    <r>
      <rPr>
        <b/>
        <sz val="11"/>
        <color theme="1"/>
        <rFont val="Calibri"/>
        <family val="2"/>
        <scheme val="minor"/>
      </rPr>
      <t>Table 1</t>
    </r>
    <r>
      <rPr>
        <sz val="11"/>
        <color theme="1"/>
        <rFont val="Calibri"/>
        <family val="2"/>
        <scheme val="minor"/>
      </rPr>
      <t>: Marked Mortality Distribution Table for Dome AFC+CWT Chinook</t>
    </r>
  </si>
  <si>
    <t xml:space="preserve">2024 is the first year that fisheries impact on marked and unmarked Chinook are available as separate outputs from the CTC cohort analysis. This is achieved through the inclusion of a Mark Selective Fishery (MSF) algorithm in the exploitation rate analysis. </t>
  </si>
  <si>
    <r>
      <rPr>
        <b/>
        <sz val="11"/>
        <color theme="1"/>
        <rFont val="Calibri"/>
        <family val="2"/>
        <scheme val="minor"/>
      </rPr>
      <t>Table 3</t>
    </r>
    <r>
      <rPr>
        <sz val="11"/>
        <color theme="1"/>
        <rFont val="Calibri"/>
        <family val="2"/>
        <scheme val="minor"/>
      </rPr>
      <t xml:space="preserve">: Difference in fisheries impact between marked and unmarked Chinook. Positive (green) values indicate a reduced impact of a given fishery on unmarked fish. </t>
    </r>
  </si>
  <si>
    <r>
      <rPr>
        <b/>
        <sz val="11"/>
        <color theme="1"/>
        <rFont val="Calibri"/>
        <family val="2"/>
        <scheme val="minor"/>
      </rPr>
      <t>Table 4</t>
    </r>
    <r>
      <rPr>
        <sz val="11"/>
        <color theme="1"/>
        <rFont val="Calibri"/>
        <family val="2"/>
        <scheme val="minor"/>
      </rPr>
      <t>: Weighted percent distribution of Nicola River AEQ total fishing mortalities and escapement to represent impacts forunmarked Spring 42 stock group.</t>
    </r>
  </si>
  <si>
    <t>Updated May 16, 2025 by Tommy Pontbriand</t>
  </si>
  <si>
    <t>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</si>
</sst>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u/>
      <sz val="10"/>
      <name val="Arial"/>
      <family val="2"/>
    </font>
    <font>
      <vertAlign val="superscript"/>
      <sz val="11"/>
      <color theme="1"/>
      <name val="Calibri"/>
      <family val="2"/>
      <scheme val="minor"/>
    </font>
    <font>
      <sz val="11"/>
      <name val="Calibri"/>
      <family val="2"/>
      <scheme val="minor"/>
    </font>
    <font>
      <b/>
      <sz val="12"/>
      <color theme="1"/>
      <name val="Calibri"/>
      <family val="2"/>
      <scheme val="minor"/>
    </font>
    <font>
      <b/>
      <sz val="11"/>
      <name val="Calibri"/>
      <family val="2"/>
      <scheme val="minor"/>
    </font>
    <font>
      <sz val="10"/>
      <name val="Arial"/>
      <family val="2"/>
    </font>
  </fonts>
  <fills count="3">
    <fill>
      <patternFill patternType="none"/>
    </fill>
    <fill>
      <patternFill patternType="gray125"/>
    </fill>
    <fill>
      <patternFill patternType="solid">
        <fgColor theme="0" tint="-0.14999847407452621"/>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cellStyleXfs>
  <cellXfs count="10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applyAlignment="1">
      <alignment wrapText="1"/>
    </xf>
    <xf numFmtId="0" fontId="0" fillId="0" borderId="9" xfId="0" applyBorder="1" applyAlignment="1">
      <alignment wrapText="1"/>
    </xf>
    <xf numFmtId="0" fontId="0" fillId="0" borderId="8" xfId="0" applyBorder="1" applyAlignment="1">
      <alignment wrapText="1"/>
    </xf>
    <xf numFmtId="1" fontId="0" fillId="0" borderId="3" xfId="0" applyNumberFormat="1" applyBorder="1"/>
    <xf numFmtId="164" fontId="0" fillId="0" borderId="1" xfId="2" applyNumberFormat="1" applyFont="1" applyBorder="1"/>
    <xf numFmtId="164" fontId="0" fillId="0" borderId="3" xfId="2" applyNumberFormat="1" applyFont="1" applyBorder="1"/>
    <xf numFmtId="164" fontId="0" fillId="0" borderId="2" xfId="2" applyNumberFormat="1" applyFont="1" applyBorder="1"/>
    <xf numFmtId="164" fontId="0" fillId="0" borderId="10" xfId="2" applyNumberFormat="1" applyFont="1" applyBorder="1"/>
    <xf numFmtId="164" fontId="0" fillId="0" borderId="0" xfId="2" applyNumberFormat="1" applyFont="1" applyBorder="1"/>
    <xf numFmtId="164" fontId="0" fillId="0" borderId="11" xfId="2" applyNumberFormat="1" applyFont="1" applyBorder="1"/>
    <xf numFmtId="0" fontId="0" fillId="0" borderId="10" xfId="0" applyBorder="1"/>
    <xf numFmtId="1" fontId="0" fillId="0" borderId="11" xfId="0" applyNumberFormat="1" applyBorder="1"/>
    <xf numFmtId="1" fontId="0" fillId="0" borderId="6" xfId="0" applyNumberFormat="1" applyBorder="1"/>
    <xf numFmtId="164" fontId="0" fillId="0" borderId="4" xfId="2" applyNumberFormat="1" applyFont="1" applyBorder="1"/>
    <xf numFmtId="164" fontId="0" fillId="0" borderId="6" xfId="2" applyNumberFormat="1" applyFont="1" applyBorder="1"/>
    <xf numFmtId="164" fontId="0" fillId="0" borderId="5" xfId="2" applyNumberFormat="1" applyFont="1" applyBorder="1"/>
    <xf numFmtId="0" fontId="3" fillId="0" borderId="0" xfId="0" applyFont="1"/>
    <xf numFmtId="0" fontId="0" fillId="0" borderId="0" xfId="0" applyFill="1" applyBorder="1" applyAlignment="1">
      <alignment wrapText="1"/>
    </xf>
    <xf numFmtId="164" fontId="0" fillId="0" borderId="0" xfId="0" applyNumberFormat="1"/>
    <xf numFmtId="164" fontId="0" fillId="0" borderId="14" xfId="0" applyNumberFormat="1" applyBorder="1"/>
    <xf numFmtId="164" fontId="0" fillId="0" borderId="15" xfId="0" applyNumberFormat="1" applyBorder="1"/>
    <xf numFmtId="9" fontId="0" fillId="0" borderId="14" xfId="0" applyNumberFormat="1" applyBorder="1"/>
    <xf numFmtId="9" fontId="0" fillId="0" borderId="15" xfId="0" applyNumberFormat="1" applyBorder="1"/>
    <xf numFmtId="0" fontId="0" fillId="0" borderId="12" xfId="0" applyFill="1" applyBorder="1" applyAlignment="1">
      <alignment horizontal="center" wrapText="1"/>
    </xf>
    <xf numFmtId="0" fontId="0" fillId="0" borderId="5" xfId="0" applyBorder="1" applyAlignment="1">
      <alignment wrapText="1"/>
    </xf>
    <xf numFmtId="164" fontId="0" fillId="0" borderId="13" xfId="0" applyNumberFormat="1" applyBorder="1"/>
    <xf numFmtId="164" fontId="0" fillId="0" borderId="10" xfId="2" applyNumberFormat="1" applyFont="1" applyFill="1" applyBorder="1"/>
    <xf numFmtId="164" fontId="0" fillId="0" borderId="0" xfId="2" applyNumberFormat="1" applyFont="1" applyFill="1" applyBorder="1"/>
    <xf numFmtId="164" fontId="0" fillId="2" borderId="0" xfId="2" applyNumberFormat="1" applyFont="1" applyFill="1" applyBorder="1"/>
    <xf numFmtId="0" fontId="0" fillId="2" borderId="10" xfId="0" applyFill="1" applyBorder="1"/>
    <xf numFmtId="1" fontId="0" fillId="0" borderId="11" xfId="0" applyNumberFormat="1" applyFill="1" applyBorder="1"/>
    <xf numFmtId="164" fontId="0" fillId="0" borderId="11" xfId="2" applyNumberFormat="1" applyFont="1" applyFill="1" applyBorder="1"/>
    <xf numFmtId="0" fontId="6" fillId="0" borderId="0" xfId="0" applyFont="1"/>
    <xf numFmtId="0" fontId="7" fillId="0" borderId="0" xfId="0" applyFont="1"/>
    <xf numFmtId="0" fontId="5" fillId="0" borderId="13" xfId="0" applyFont="1" applyBorder="1" applyAlignment="1">
      <alignment horizontal="center"/>
    </xf>
    <xf numFmtId="0" fontId="0" fillId="0" borderId="11" xfId="0" applyBorder="1"/>
    <xf numFmtId="0" fontId="5" fillId="0" borderId="14" xfId="0" applyFont="1" applyBorder="1" applyAlignment="1">
      <alignment horizontal="center"/>
    </xf>
    <xf numFmtId="0" fontId="0" fillId="0" borderId="4" xfId="0" applyBorder="1" applyAlignment="1">
      <alignment horizontal="center" wrapText="1"/>
    </xf>
    <xf numFmtId="0" fontId="0" fillId="0" borderId="4" xfId="0" applyBorder="1" applyAlignment="1">
      <alignment wrapText="1"/>
    </xf>
    <xf numFmtId="0" fontId="0" fillId="0" borderId="6" xfId="0" applyBorder="1" applyAlignment="1">
      <alignment wrapText="1"/>
    </xf>
    <xf numFmtId="0" fontId="5" fillId="0" borderId="15" xfId="0" applyFont="1" applyBorder="1" applyAlignment="1">
      <alignment horizontal="center" wrapText="1"/>
    </xf>
    <xf numFmtId="165" fontId="0" fillId="0" borderId="11" xfId="1" applyNumberFormat="1" applyFont="1" applyBorder="1"/>
    <xf numFmtId="164" fontId="0" fillId="0" borderId="10" xfId="3" applyNumberFormat="1" applyFont="1" applyFill="1" applyBorder="1"/>
    <xf numFmtId="164" fontId="0" fillId="0" borderId="0" xfId="3" applyNumberFormat="1" applyFont="1" applyFill="1" applyBorder="1"/>
    <xf numFmtId="164" fontId="8" fillId="0" borderId="0" xfId="3" applyNumberFormat="1" applyFont="1" applyFill="1" applyBorder="1"/>
    <xf numFmtId="164" fontId="0" fillId="0" borderId="11" xfId="3" applyNumberFormat="1" applyFont="1" applyFill="1" applyBorder="1"/>
    <xf numFmtId="9" fontId="0" fillId="0" borderId="14" xfId="2" applyFont="1" applyBorder="1"/>
    <xf numFmtId="165" fontId="0" fillId="2" borderId="11" xfId="1" applyNumberFormat="1" applyFont="1" applyFill="1" applyBorder="1"/>
    <xf numFmtId="164" fontId="0" fillId="2" borderId="10" xfId="3" applyNumberFormat="1" applyFont="1" applyFill="1" applyBorder="1"/>
    <xf numFmtId="164" fontId="0" fillId="2" borderId="0" xfId="3" applyNumberFormat="1" applyFont="1" applyFill="1" applyBorder="1"/>
    <xf numFmtId="164" fontId="8" fillId="2" borderId="0" xfId="3" applyNumberFormat="1" applyFont="1" applyFill="1" applyBorder="1"/>
    <xf numFmtId="164" fontId="0" fillId="2" borderId="11" xfId="3" applyNumberFormat="1" applyFont="1" applyFill="1" applyBorder="1"/>
    <xf numFmtId="9" fontId="0" fillId="2" borderId="14" xfId="2" applyFont="1" applyFill="1" applyBorder="1"/>
    <xf numFmtId="165" fontId="0" fillId="0" borderId="6" xfId="1" applyNumberFormat="1" applyFont="1" applyFill="1" applyBorder="1"/>
    <xf numFmtId="164" fontId="0" fillId="0" borderId="4" xfId="3" applyNumberFormat="1" applyFont="1" applyFill="1" applyBorder="1"/>
    <xf numFmtId="164" fontId="0" fillId="0" borderId="5" xfId="3" applyNumberFormat="1" applyFont="1" applyFill="1" applyBorder="1"/>
    <xf numFmtId="164" fontId="8" fillId="0" borderId="5" xfId="3" applyNumberFormat="1" applyFont="1" applyFill="1" applyBorder="1"/>
    <xf numFmtId="164" fontId="0" fillId="0" borderId="6" xfId="3" applyNumberFormat="1" applyFont="1" applyFill="1" applyBorder="1"/>
    <xf numFmtId="164" fontId="0" fillId="0" borderId="5" xfId="2" applyNumberFormat="1" applyFont="1" applyFill="1" applyBorder="1"/>
    <xf numFmtId="9" fontId="0" fillId="0" borderId="15" xfId="2" applyFont="1" applyFill="1" applyBorder="1"/>
    <xf numFmtId="9" fontId="0" fillId="0" borderId="0" xfId="2" applyFont="1" applyBorder="1"/>
    <xf numFmtId="0" fontId="0" fillId="0" borderId="4" xfId="0" applyFill="1" applyBorder="1" applyAlignment="1">
      <alignment wrapText="1"/>
    </xf>
    <xf numFmtId="0" fontId="0" fillId="0" borderId="5" xfId="0" applyFill="1" applyBorder="1" applyAlignment="1">
      <alignment wrapText="1"/>
    </xf>
    <xf numFmtId="0" fontId="0" fillId="0" borderId="6" xfId="0" applyFill="1" applyBorder="1" applyAlignment="1">
      <alignment wrapText="1"/>
    </xf>
    <xf numFmtId="1" fontId="0" fillId="0" borderId="2" xfId="0" applyNumberFormat="1" applyBorder="1"/>
    <xf numFmtId="0" fontId="0" fillId="0" borderId="0" xfId="0" applyBorder="1"/>
    <xf numFmtId="1" fontId="0" fillId="0" borderId="0" xfId="0" applyNumberFormat="1" applyBorder="1"/>
    <xf numFmtId="1" fontId="0" fillId="0" borderId="5" xfId="0" applyNumberFormat="1" applyBorder="1"/>
    <xf numFmtId="1" fontId="0" fillId="0" borderId="1" xfId="0" applyNumberFormat="1" applyBorder="1"/>
    <xf numFmtId="1" fontId="0" fillId="0" borderId="10" xfId="0" applyNumberFormat="1" applyBorder="1"/>
    <xf numFmtId="1" fontId="0" fillId="0" borderId="4" xfId="0" applyNumberFormat="1" applyBorder="1"/>
    <xf numFmtId="0" fontId="0" fillId="0" borderId="1" xfId="0" applyBorder="1" applyAlignment="1">
      <alignment wrapText="1"/>
    </xf>
    <xf numFmtId="0" fontId="0" fillId="0" borderId="3" xfId="0" applyBorder="1" applyAlignment="1">
      <alignment wrapText="1"/>
    </xf>
    <xf numFmtId="0" fontId="0" fillId="0" borderId="2" xfId="0" applyBorder="1" applyAlignment="1">
      <alignment wrapText="1"/>
    </xf>
    <xf numFmtId="0" fontId="0" fillId="0" borderId="0" xfId="0" applyBorder="1" applyAlignment="1">
      <alignment wrapText="1"/>
    </xf>
    <xf numFmtId="164" fontId="0" fillId="0" borderId="13" xfId="2" applyNumberFormat="1" applyFont="1" applyBorder="1"/>
    <xf numFmtId="164" fontId="0" fillId="0" borderId="14" xfId="2" applyNumberFormat="1" applyFont="1" applyBorder="1"/>
    <xf numFmtId="164" fontId="0" fillId="0" borderId="15" xfId="2" applyNumberFormat="1" applyFont="1" applyBorder="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3" xfId="0" applyFont="1" applyBorder="1" applyAlignment="1">
      <alignment horizontal="center" wrapText="1"/>
    </xf>
    <xf numFmtId="0" fontId="2" fillId="0" borderId="14" xfId="0" applyFont="1" applyBorder="1" applyAlignment="1">
      <alignment horizontal="center" wrapText="1"/>
    </xf>
    <xf numFmtId="0" fontId="0" fillId="0" borderId="1" xfId="0" applyBorder="1" applyAlignment="1">
      <alignment horizontal="center" wrapText="1"/>
    </xf>
    <xf numFmtId="0" fontId="0" fillId="0" borderId="3"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2" xfId="0" applyBorder="1" applyAlignment="1">
      <alignment horizontal="center" wrapText="1"/>
    </xf>
    <xf numFmtId="0" fontId="0" fillId="0" borderId="0" xfId="0" applyBorder="1" applyAlignment="1">
      <alignment horizontal="center" wrapText="1"/>
    </xf>
  </cellXfs>
  <cellStyles count="4">
    <cellStyle name="Comma" xfId="1" builtinId="3"/>
    <cellStyle name="Normal" xfId="0" builtinId="0"/>
    <cellStyle name="Percent" xfId="2" builtinId="5"/>
    <cellStyle name="Percent 2" xfId="3" xr:uid="{8F0AF009-0955-4D33-A121-72FE92CD7D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ontbriand, Tommy (DFO/MPO)" id="{F4E169C1-D604-46E3-AE13-2ABEF4512B97}" userId="S::Tommy.Pontbriand@dfo-mpo.gc.ca::298c558b-660e-4947-9fdb-b342a4c4939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E138" dT="2025-05-15T23:15:58.93" personId="{F4E169C1-D604-46E3-AE13-2ABEF4512B97}" id="{17747DC4-B5B6-4ED8-AE00-7E22C65BA28E}">
    <text>CWT sheet spawner estimate column AG - AFC estimate column AD</text>
  </threadedComment>
  <threadedComment ref="AF138" dT="2025-05-15T23:15:27.64" personId="{F4E169C1-D604-46E3-AE13-2ABEF4512B97}" id="{A8E61FF3-97F9-4C4D-91D2-F53EF7D4FE1A}">
    <text>CWT sheet column AD Number of AFC fish in stratum</text>
  </threadedComment>
  <threadedComment ref="AG138" dT="2025-05-16T15:21:08.17" personId="{F4E169C1-D604-46E3-AE13-2ABEF4512B97}" id="{859E03F5-EEF0-4339-8371-3257A932BE92}">
    <text>Divide the escapement unmarked abundance by the escapement percentage of unmarked fish</text>
  </threadedComment>
  <threadedComment ref="AH138" dT="2025-05-16T15:21:30.02" personId="{F4E169C1-D604-46E3-AE13-2ABEF4512B97}" id="{DDEAF9C5-E1A5-4088-8959-D21569811393}">
    <text xml:space="preserve">Divide the escapement marked abundance by the escapement percentage of marked fish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F74EC-B1D9-4307-85C4-57864E07507B}">
  <dimension ref="A1:AF145"/>
  <sheetViews>
    <sheetView zoomScale="70" zoomScaleNormal="70" workbookViewId="0">
      <selection activeCell="K5" sqref="K5"/>
    </sheetView>
  </sheetViews>
  <sheetFormatPr defaultRowHeight="14.4" x14ac:dyDescent="0.3"/>
  <cols>
    <col min="3" max="3" width="10.21875" customWidth="1"/>
    <col min="11" max="11" width="10.77734375" customWidth="1"/>
    <col min="17" max="17" width="10.77734375" customWidth="1"/>
    <col min="18" max="18" width="9.44140625" customWidth="1"/>
    <col min="19" max="19" width="10.21875" customWidth="1"/>
    <col min="20" max="20" width="10.77734375" customWidth="1"/>
    <col min="21" max="21" width="12.33203125" customWidth="1"/>
    <col min="26" max="26" width="12.77734375" customWidth="1"/>
    <col min="27" max="27" width="10.109375" customWidth="1"/>
    <col min="28" max="28" width="9.5546875" customWidth="1"/>
    <col min="29" max="29" width="12.21875" customWidth="1"/>
  </cols>
  <sheetData>
    <row r="1" spans="1:32" x14ac:dyDescent="0.3">
      <c r="A1" t="s">
        <v>86</v>
      </c>
    </row>
    <row r="2" spans="1:32" x14ac:dyDescent="0.3">
      <c r="A2" t="s">
        <v>30</v>
      </c>
    </row>
    <row r="3" spans="1:32" x14ac:dyDescent="0.3">
      <c r="A3" t="s">
        <v>0</v>
      </c>
    </row>
    <row r="4" spans="1:32" x14ac:dyDescent="0.3">
      <c r="A4" t="s">
        <v>83</v>
      </c>
    </row>
    <row r="5" spans="1:32" x14ac:dyDescent="0.3">
      <c r="A5" t="s">
        <v>1</v>
      </c>
    </row>
    <row r="7" spans="1:32" ht="15" thickBot="1" x14ac:dyDescent="0.35">
      <c r="A7" t="s">
        <v>74</v>
      </c>
    </row>
    <row r="8" spans="1:32" ht="15" thickBot="1" x14ac:dyDescent="0.35">
      <c r="A8" s="1"/>
      <c r="B8" s="2"/>
      <c r="C8" s="3"/>
      <c r="D8" s="88" t="s">
        <v>2</v>
      </c>
      <c r="E8" s="89"/>
      <c r="F8" s="89"/>
      <c r="G8" s="89"/>
      <c r="H8" s="89"/>
      <c r="I8" s="90"/>
      <c r="J8" s="88" t="s">
        <v>3</v>
      </c>
      <c r="K8" s="89"/>
      <c r="L8" s="89"/>
      <c r="M8" s="89"/>
      <c r="N8" s="89"/>
      <c r="O8" s="89"/>
      <c r="P8" s="89"/>
      <c r="Q8" s="89"/>
      <c r="R8" s="89"/>
      <c r="S8" s="89"/>
      <c r="T8" s="89"/>
      <c r="U8" s="89"/>
      <c r="V8" s="89"/>
      <c r="W8" s="89"/>
      <c r="X8" s="89"/>
      <c r="Y8" s="90"/>
      <c r="Z8" s="91" t="s">
        <v>4</v>
      </c>
      <c r="AA8" s="92"/>
      <c r="AB8" s="93"/>
      <c r="AC8" s="97" t="s">
        <v>38</v>
      </c>
    </row>
    <row r="9" spans="1:32" ht="15" thickBot="1" x14ac:dyDescent="0.35">
      <c r="A9" s="4"/>
      <c r="B9" s="5"/>
      <c r="C9" s="6"/>
      <c r="D9" s="85" t="s">
        <v>5</v>
      </c>
      <c r="E9" s="86"/>
      <c r="F9" s="85" t="s">
        <v>6</v>
      </c>
      <c r="G9" s="86"/>
      <c r="H9" s="85" t="s">
        <v>7</v>
      </c>
      <c r="I9" s="86"/>
      <c r="J9" s="85" t="s">
        <v>8</v>
      </c>
      <c r="K9" s="87"/>
      <c r="L9" s="87"/>
      <c r="M9" s="87"/>
      <c r="N9" s="86"/>
      <c r="O9" s="85" t="s">
        <v>9</v>
      </c>
      <c r="P9" s="86"/>
      <c r="Q9" s="85" t="s">
        <v>10</v>
      </c>
      <c r="R9" s="87"/>
      <c r="S9" s="87"/>
      <c r="T9" s="87"/>
      <c r="U9" s="87"/>
      <c r="V9" s="86"/>
      <c r="W9" s="85" t="s">
        <v>11</v>
      </c>
      <c r="X9" s="87"/>
      <c r="Y9" s="86"/>
      <c r="Z9" s="94"/>
      <c r="AA9" s="95"/>
      <c r="AB9" s="96"/>
      <c r="AC9" s="98"/>
    </row>
    <row r="10" spans="1:32" ht="43.8" thickBot="1" x14ac:dyDescent="0.35">
      <c r="A10" s="7" t="s">
        <v>12</v>
      </c>
      <c r="B10" s="8" t="s">
        <v>27</v>
      </c>
      <c r="C10" s="9" t="s">
        <v>13</v>
      </c>
      <c r="D10" s="7" t="s">
        <v>14</v>
      </c>
      <c r="E10" s="9" t="s">
        <v>15</v>
      </c>
      <c r="F10" s="7" t="s">
        <v>16</v>
      </c>
      <c r="G10" s="9" t="s">
        <v>17</v>
      </c>
      <c r="H10" s="7" t="s">
        <v>18</v>
      </c>
      <c r="I10" s="9" t="s">
        <v>19</v>
      </c>
      <c r="J10" s="7" t="s">
        <v>20</v>
      </c>
      <c r="K10" s="8" t="s">
        <v>21</v>
      </c>
      <c r="L10" s="8" t="s">
        <v>22</v>
      </c>
      <c r="M10" s="8" t="s">
        <v>7</v>
      </c>
      <c r="N10" s="9" t="s">
        <v>6</v>
      </c>
      <c r="O10" s="31" t="s">
        <v>40</v>
      </c>
      <c r="P10" s="31" t="s">
        <v>42</v>
      </c>
      <c r="Q10" s="7" t="s">
        <v>23</v>
      </c>
      <c r="R10" s="8" t="s">
        <v>60</v>
      </c>
      <c r="S10" s="8" t="s">
        <v>24</v>
      </c>
      <c r="T10" s="8" t="s">
        <v>25</v>
      </c>
      <c r="U10" s="7" t="s">
        <v>44</v>
      </c>
      <c r="V10" s="31" t="s">
        <v>62</v>
      </c>
      <c r="W10" s="7" t="s">
        <v>36</v>
      </c>
      <c r="X10" s="8" t="s">
        <v>35</v>
      </c>
      <c r="Y10" s="9" t="s">
        <v>43</v>
      </c>
      <c r="Z10" s="7" t="s">
        <v>4</v>
      </c>
      <c r="AA10" s="8" t="s">
        <v>28</v>
      </c>
      <c r="AB10" s="9" t="s">
        <v>29</v>
      </c>
      <c r="AC10" s="30" t="s">
        <v>37</v>
      </c>
    </row>
    <row r="11" spans="1:32" x14ac:dyDescent="0.3">
      <c r="A11" s="17" t="s">
        <v>26</v>
      </c>
      <c r="B11">
        <v>1985</v>
      </c>
      <c r="C11" s="18">
        <v>2345.3649999999998</v>
      </c>
      <c r="D11" s="14">
        <v>1.0802841213383299E-2</v>
      </c>
      <c r="E11" s="16">
        <v>9.0126804829806703E-4</v>
      </c>
      <c r="F11" s="14">
        <v>3.3895701267194801E-3</v>
      </c>
      <c r="G11" s="16">
        <v>0</v>
      </c>
      <c r="H11" s="14">
        <v>0.32659274163435897</v>
      </c>
      <c r="I11" s="16">
        <v>0</v>
      </c>
      <c r="J11" s="14">
        <v>4.4069105751771498E-3</v>
      </c>
      <c r="K11" s="15">
        <v>1.66000601698839E-3</v>
      </c>
      <c r="L11" s="15">
        <v>0.208378549649756</v>
      </c>
      <c r="M11" s="15">
        <v>0</v>
      </c>
      <c r="N11" s="16">
        <v>0</v>
      </c>
      <c r="O11" s="14">
        <v>4.2199998719789703E-2</v>
      </c>
      <c r="P11" s="16">
        <v>8.2253938246922703E-2</v>
      </c>
      <c r="Q11" s="14">
        <v>1.5648497485226472E-3</v>
      </c>
      <c r="R11" s="15">
        <v>0</v>
      </c>
      <c r="S11" s="15">
        <v>8.1207946133245237E-3</v>
      </c>
      <c r="T11" s="15">
        <v>0</v>
      </c>
      <c r="U11" s="14">
        <v>1.6092127036431498E-2</v>
      </c>
      <c r="V11" s="16">
        <v>3.0444564663519046E-3</v>
      </c>
      <c r="W11" s="14">
        <v>3.7813571509346597E-2</v>
      </c>
      <c r="X11" s="15">
        <v>3.5057278742321403E-2</v>
      </c>
      <c r="Y11" s="16">
        <v>4.5157284503267697E-2</v>
      </c>
      <c r="Z11" s="14">
        <v>0.12464127440667599</v>
      </c>
      <c r="AA11" s="15">
        <v>4.7922538742364101E-2</v>
      </c>
      <c r="AB11" s="16">
        <v>0</v>
      </c>
      <c r="AC11" s="28">
        <f t="shared" ref="AC11:AC50" si="0">SUM(F11:P11)</f>
        <v>0.66888171496971249</v>
      </c>
      <c r="AF11" s="25"/>
    </row>
    <row r="12" spans="1:32" x14ac:dyDescent="0.3">
      <c r="A12" s="17" t="s">
        <v>26</v>
      </c>
      <c r="B12">
        <v>1986</v>
      </c>
      <c r="C12" s="18">
        <v>2156.5419999999999</v>
      </c>
      <c r="D12" s="14">
        <v>6.5892526090379898E-4</v>
      </c>
      <c r="E12" s="16">
        <v>4.6370532083307398E-7</v>
      </c>
      <c r="F12" s="14">
        <v>7.8180717092456303E-3</v>
      </c>
      <c r="G12" s="16">
        <v>0</v>
      </c>
      <c r="H12" s="14">
        <v>0.211486259020228</v>
      </c>
      <c r="I12" s="16">
        <v>3.4777899062480601E-4</v>
      </c>
      <c r="J12" s="14">
        <v>0</v>
      </c>
      <c r="K12" s="15">
        <v>5.9354281066633497E-5</v>
      </c>
      <c r="L12" s="15">
        <v>0.184383146722855</v>
      </c>
      <c r="M12" s="15">
        <v>0</v>
      </c>
      <c r="N12" s="16">
        <v>0</v>
      </c>
      <c r="O12" s="14">
        <v>6.1622727496148902E-2</v>
      </c>
      <c r="P12" s="16">
        <v>0.125247270862334</v>
      </c>
      <c r="Q12" s="14">
        <v>2.2407333551033087E-3</v>
      </c>
      <c r="R12" s="15">
        <v>0</v>
      </c>
      <c r="S12" s="15">
        <v>9.5429462579067915E-3</v>
      </c>
      <c r="T12" s="15">
        <v>0</v>
      </c>
      <c r="U12" s="14">
        <v>6.1752821609225954E-2</v>
      </c>
      <c r="V12" s="16">
        <v>5.301286309840743E-3</v>
      </c>
      <c r="W12" s="14">
        <v>3.0038830683566602E-2</v>
      </c>
      <c r="X12" s="15">
        <v>3.4995376857951302E-2</v>
      </c>
      <c r="Y12" s="16">
        <v>6.6784695127662705E-2</v>
      </c>
      <c r="Z12" s="14">
        <v>0.186441998347354</v>
      </c>
      <c r="AA12" s="15">
        <v>1.12773134026604E-2</v>
      </c>
      <c r="AB12" s="16">
        <v>0</v>
      </c>
      <c r="AC12" s="28">
        <f t="shared" si="0"/>
        <v>0.59096460908250292</v>
      </c>
      <c r="AF12" s="25"/>
    </row>
    <row r="13" spans="1:32" x14ac:dyDescent="0.3">
      <c r="A13" s="17" t="s">
        <v>26</v>
      </c>
      <c r="B13">
        <v>1987</v>
      </c>
      <c r="C13" s="18">
        <v>2664.0439999999999</v>
      </c>
      <c r="D13" s="14">
        <v>8.34821046499232E-4</v>
      </c>
      <c r="E13" s="16">
        <v>7.6950680994758306E-5</v>
      </c>
      <c r="F13" s="14">
        <v>7.3358397984417704E-3</v>
      </c>
      <c r="G13" s="16">
        <v>0</v>
      </c>
      <c r="H13" s="14">
        <v>0.18237611691098199</v>
      </c>
      <c r="I13" s="16">
        <v>5.2987112825463797E-3</v>
      </c>
      <c r="J13" s="14">
        <v>0</v>
      </c>
      <c r="K13" s="15">
        <v>3.1542271824339199E-3</v>
      </c>
      <c r="L13" s="15">
        <v>0.18630397996429501</v>
      </c>
      <c r="M13" s="15">
        <v>0</v>
      </c>
      <c r="N13" s="16">
        <v>0</v>
      </c>
      <c r="O13" s="14">
        <v>1.25594772458713E-2</v>
      </c>
      <c r="P13" s="16">
        <v>0.152357093201163</v>
      </c>
      <c r="Q13" s="14">
        <v>0</v>
      </c>
      <c r="R13" s="15">
        <v>0</v>
      </c>
      <c r="S13" s="15">
        <v>1.21349347082856E-2</v>
      </c>
      <c r="T13" s="15">
        <v>0</v>
      </c>
      <c r="U13" s="14">
        <v>1.2575329922286604E-2</v>
      </c>
      <c r="V13" s="16">
        <v>6.1105476382941953E-3</v>
      </c>
      <c r="W13" s="14">
        <v>3.89903470062807E-2</v>
      </c>
      <c r="X13" s="15">
        <v>3.3096300211257798E-2</v>
      </c>
      <c r="Y13" s="16">
        <v>2.9758517501963198E-2</v>
      </c>
      <c r="Z13" s="14">
        <v>0.29749884010924699</v>
      </c>
      <c r="AA13" s="15">
        <v>1.9537965589156901E-2</v>
      </c>
      <c r="AB13" s="16">
        <v>0</v>
      </c>
      <c r="AC13" s="28">
        <f t="shared" si="0"/>
        <v>0.54938544558573343</v>
      </c>
      <c r="AF13" s="25"/>
    </row>
    <row r="14" spans="1:32" x14ac:dyDescent="0.3">
      <c r="A14" s="17" t="s">
        <v>26</v>
      </c>
      <c r="B14">
        <v>1988</v>
      </c>
      <c r="C14" s="18">
        <v>2492.2449999999999</v>
      </c>
      <c r="D14" s="14">
        <v>4.3853868510502804E-3</v>
      </c>
      <c r="E14" s="16">
        <v>1.76424990335484E-3</v>
      </c>
      <c r="F14" s="14">
        <v>2.07311381695306E-3</v>
      </c>
      <c r="G14" s="16">
        <v>0</v>
      </c>
      <c r="H14" s="14">
        <v>0.187566925522134</v>
      </c>
      <c r="I14" s="16">
        <v>4.0060170375904598E-7</v>
      </c>
      <c r="J14" s="14">
        <v>1.31397358832967E-4</v>
      </c>
      <c r="K14" s="15">
        <v>4.00601703759046E-6</v>
      </c>
      <c r="L14" s="15">
        <v>0.1296531390148</v>
      </c>
      <c r="M14" s="15">
        <v>0</v>
      </c>
      <c r="N14" s="16">
        <v>0</v>
      </c>
      <c r="O14" s="14">
        <v>7.1483368018764202E-3</v>
      </c>
      <c r="P14" s="16">
        <v>6.2340835935575198E-2</v>
      </c>
      <c r="Q14" s="14">
        <v>0</v>
      </c>
      <c r="R14" s="15">
        <v>0</v>
      </c>
      <c r="S14" s="15">
        <v>2.4284475281873399E-2</v>
      </c>
      <c r="T14" s="15">
        <v>0</v>
      </c>
      <c r="U14" s="14">
        <v>1.4911133306968215E-2</v>
      </c>
      <c r="V14" s="16">
        <v>1.5547415433239585E-2</v>
      </c>
      <c r="W14" s="14">
        <v>4.1791570939551201E-2</v>
      </c>
      <c r="X14" s="15">
        <v>2.63263421659332E-2</v>
      </c>
      <c r="Y14" s="16">
        <v>2.1711811140332798E-2</v>
      </c>
      <c r="Z14" s="14">
        <v>0.43736492211301398</v>
      </c>
      <c r="AA14" s="15">
        <v>2.2994537795769199E-2</v>
      </c>
      <c r="AB14" s="16">
        <v>0</v>
      </c>
      <c r="AC14" s="28">
        <f t="shared" si="0"/>
        <v>0.38891815506891297</v>
      </c>
      <c r="AF14" s="25"/>
    </row>
    <row r="15" spans="1:32" x14ac:dyDescent="0.3">
      <c r="A15" s="17" t="s">
        <v>26</v>
      </c>
      <c r="B15">
        <v>1989</v>
      </c>
      <c r="C15" s="18">
        <v>1221.3599999999999</v>
      </c>
      <c r="D15" s="14">
        <v>4.5490273138141099E-3</v>
      </c>
      <c r="E15" s="16">
        <v>5.7313159101329698E-6</v>
      </c>
      <c r="F15" s="14">
        <v>3.1931617213597997E-5</v>
      </c>
      <c r="G15" s="16">
        <v>0</v>
      </c>
      <c r="H15" s="14">
        <v>0.202320364184188</v>
      </c>
      <c r="I15" s="16">
        <v>1.51716119735377E-3</v>
      </c>
      <c r="J15" s="14">
        <v>5.3948057902665899E-3</v>
      </c>
      <c r="K15" s="15">
        <v>8.3185956638501398E-4</v>
      </c>
      <c r="L15" s="15">
        <v>0.18365428702430101</v>
      </c>
      <c r="M15" s="15">
        <v>1.9077094386585401E-4</v>
      </c>
      <c r="N15" s="16">
        <v>0</v>
      </c>
      <c r="O15" s="14">
        <v>2.5062225715595701E-2</v>
      </c>
      <c r="P15" s="16">
        <v>2.0282308246544801E-2</v>
      </c>
      <c r="Q15" s="14">
        <v>0</v>
      </c>
      <c r="R15" s="15">
        <v>0</v>
      </c>
      <c r="S15" s="15">
        <v>5.7517848955263001E-3</v>
      </c>
      <c r="T15" s="15">
        <v>0</v>
      </c>
      <c r="U15" s="14">
        <v>1.1384345823823149E-2</v>
      </c>
      <c r="V15" s="16">
        <v>1.4849146726725847E-3</v>
      </c>
      <c r="W15" s="14">
        <v>5.4472882688150898E-2</v>
      </c>
      <c r="X15" s="15">
        <v>3.2580074670858702E-2</v>
      </c>
      <c r="Y15" s="16">
        <v>1.9482380297373401E-2</v>
      </c>
      <c r="Z15" s="14">
        <v>0.40879838868147</v>
      </c>
      <c r="AA15" s="15">
        <v>2.2204755354686599E-2</v>
      </c>
      <c r="AB15" s="16">
        <v>0</v>
      </c>
      <c r="AC15" s="28">
        <f t="shared" si="0"/>
        <v>0.43928571428571433</v>
      </c>
      <c r="AF15" s="25"/>
    </row>
    <row r="16" spans="1:32" x14ac:dyDescent="0.3">
      <c r="A16" s="17" t="s">
        <v>26</v>
      </c>
      <c r="B16">
        <v>1990</v>
      </c>
      <c r="C16" s="18">
        <v>1761.886</v>
      </c>
      <c r="D16" s="14">
        <v>7.8177589242436792E-3</v>
      </c>
      <c r="E16" s="16">
        <v>8.0595452827254396E-5</v>
      </c>
      <c r="F16" s="14">
        <v>1.2231211326953E-3</v>
      </c>
      <c r="G16" s="16">
        <v>0</v>
      </c>
      <c r="H16" s="14">
        <v>0.127586574840824</v>
      </c>
      <c r="I16" s="16">
        <v>1.9283313449337799E-2</v>
      </c>
      <c r="J16" s="14">
        <v>3.3288192312101901E-3</v>
      </c>
      <c r="K16" s="15">
        <v>3.6625525147484001E-3</v>
      </c>
      <c r="L16" s="15">
        <v>0.14402293905508101</v>
      </c>
      <c r="M16" s="15">
        <v>5.6757361145953799E-7</v>
      </c>
      <c r="N16" s="16">
        <v>0</v>
      </c>
      <c r="O16" s="14">
        <v>3.14606052832022E-2</v>
      </c>
      <c r="P16" s="16">
        <v>5.0000964875139498E-2</v>
      </c>
      <c r="Q16" s="14">
        <v>0</v>
      </c>
      <c r="R16" s="15">
        <v>0</v>
      </c>
      <c r="S16" s="15">
        <v>1.0560274614816199E-2</v>
      </c>
      <c r="T16" s="15">
        <v>0</v>
      </c>
      <c r="U16" s="14">
        <v>6.3801580301512699E-3</v>
      </c>
      <c r="V16" s="16">
        <v>1.084626865125716E-2</v>
      </c>
      <c r="W16" s="14">
        <v>7.65480854039364E-2</v>
      </c>
      <c r="X16" s="15">
        <v>8.9823632175975096E-2</v>
      </c>
      <c r="Y16" s="16">
        <v>6.8293294798868906E-2</v>
      </c>
      <c r="Z16" s="14">
        <v>0.307698681980559</v>
      </c>
      <c r="AA16" s="15">
        <v>4.1381792011514901E-2</v>
      </c>
      <c r="AB16" s="16">
        <v>0</v>
      </c>
      <c r="AC16" s="28">
        <f t="shared" si="0"/>
        <v>0.38056945795584984</v>
      </c>
      <c r="AF16" s="25"/>
    </row>
    <row r="17" spans="1:32" x14ac:dyDescent="0.3">
      <c r="A17" s="17" t="s">
        <v>26</v>
      </c>
      <c r="B17">
        <v>1991</v>
      </c>
      <c r="C17" s="18">
        <v>3054.4960000000001</v>
      </c>
      <c r="D17" s="14">
        <v>2.6577216012068799E-3</v>
      </c>
      <c r="E17" s="16">
        <v>1.0004923889243901E-3</v>
      </c>
      <c r="F17" s="14">
        <v>3.6444637675086202E-3</v>
      </c>
      <c r="G17" s="16">
        <v>0</v>
      </c>
      <c r="H17" s="14">
        <v>0.19665142792788101</v>
      </c>
      <c r="I17" s="16">
        <v>4.8423700669439403E-3</v>
      </c>
      <c r="J17" s="14">
        <v>4.2363781127884902E-3</v>
      </c>
      <c r="K17" s="15">
        <v>2.2039642546593601E-3</v>
      </c>
      <c r="L17" s="15">
        <v>0.147728463222738</v>
      </c>
      <c r="M17" s="15">
        <v>1.6267822907609E-3</v>
      </c>
      <c r="N17" s="16">
        <v>0</v>
      </c>
      <c r="O17" s="14">
        <v>2.6593257938461901E-2</v>
      </c>
      <c r="P17" s="16">
        <v>8.8832003708631493E-2</v>
      </c>
      <c r="Q17" s="14">
        <v>1.5261254247980712E-3</v>
      </c>
      <c r="R17" s="15">
        <v>0</v>
      </c>
      <c r="S17" s="15">
        <v>1.3626619905364429E-2</v>
      </c>
      <c r="T17" s="15">
        <v>0</v>
      </c>
      <c r="U17" s="14">
        <v>1.3814457731276443E-2</v>
      </c>
      <c r="V17" s="16">
        <v>1.0906150840481401E-2</v>
      </c>
      <c r="W17" s="14">
        <v>0.13251122280075001</v>
      </c>
      <c r="X17" s="15">
        <v>4.3836364493520401E-2</v>
      </c>
      <c r="Y17" s="16">
        <v>5.5069314217468301E-2</v>
      </c>
      <c r="Z17" s="14">
        <v>0.238893748755932</v>
      </c>
      <c r="AA17" s="15">
        <v>9.7986705499041402E-3</v>
      </c>
      <c r="AB17" s="16">
        <v>0</v>
      </c>
      <c r="AC17" s="28">
        <f t="shared" si="0"/>
        <v>0.47635911129037367</v>
      </c>
      <c r="AF17" s="25"/>
    </row>
    <row r="18" spans="1:32" x14ac:dyDescent="0.3">
      <c r="A18" s="17" t="s">
        <v>26</v>
      </c>
      <c r="B18">
        <v>1992</v>
      </c>
      <c r="C18" s="18">
        <v>4152.125</v>
      </c>
      <c r="D18" s="14">
        <v>3.0442243429569201E-3</v>
      </c>
      <c r="E18" s="16">
        <v>1.44504320077069E-6</v>
      </c>
      <c r="F18" s="14">
        <v>9.7371827678598296E-4</v>
      </c>
      <c r="G18" s="16">
        <v>0</v>
      </c>
      <c r="H18" s="14">
        <v>0.186234277628925</v>
      </c>
      <c r="I18" s="16">
        <v>1.3190836017701801E-3</v>
      </c>
      <c r="J18" s="14">
        <v>4.4801156034560601E-3</v>
      </c>
      <c r="K18" s="15">
        <v>1.6721558238251501E-3</v>
      </c>
      <c r="L18" s="15">
        <v>0.10557076195923799</v>
      </c>
      <c r="M18" s="15">
        <v>2.0134268597404899E-4</v>
      </c>
      <c r="N18" s="16">
        <v>0</v>
      </c>
      <c r="O18" s="14">
        <v>1.12564048529367E-2</v>
      </c>
      <c r="P18" s="16">
        <v>7.0518830719210002E-2</v>
      </c>
      <c r="Q18" s="14">
        <v>0</v>
      </c>
      <c r="R18" s="15">
        <v>0</v>
      </c>
      <c r="S18" s="15">
        <v>1.16944937833037E-2</v>
      </c>
      <c r="T18" s="15">
        <v>0</v>
      </c>
      <c r="U18" s="14">
        <v>4.6171297829424706E-3</v>
      </c>
      <c r="V18" s="16">
        <v>5.1301442032694112E-4</v>
      </c>
      <c r="W18" s="14">
        <v>8.42585423126712E-2</v>
      </c>
      <c r="X18" s="15">
        <v>8.2967155372249204E-3</v>
      </c>
      <c r="Y18" s="16">
        <v>3.6934581690098403E-2</v>
      </c>
      <c r="Z18" s="14">
        <v>0.453160730951019</v>
      </c>
      <c r="AA18" s="15">
        <v>1.5252430984134599E-2</v>
      </c>
      <c r="AB18" s="16">
        <v>0</v>
      </c>
      <c r="AC18" s="28">
        <f t="shared" si="0"/>
        <v>0.38222669115212116</v>
      </c>
      <c r="AF18" s="25"/>
    </row>
    <row r="19" spans="1:32" x14ac:dyDescent="0.3">
      <c r="A19" s="17" t="s">
        <v>26</v>
      </c>
      <c r="B19">
        <v>1993</v>
      </c>
      <c r="C19" s="18">
        <v>2012.08</v>
      </c>
      <c r="D19" s="14">
        <v>2.02626138125721E-3</v>
      </c>
      <c r="E19" s="16">
        <v>0</v>
      </c>
      <c r="F19" s="14">
        <v>2.8328893483360498E-4</v>
      </c>
      <c r="G19" s="16">
        <v>0</v>
      </c>
      <c r="H19" s="14">
        <v>0.12523706810862401</v>
      </c>
      <c r="I19" s="16">
        <v>3.5485666573893699E-3</v>
      </c>
      <c r="J19" s="14">
        <v>1.60430996779452E-3</v>
      </c>
      <c r="K19" s="15">
        <v>3.3333664665420901E-3</v>
      </c>
      <c r="L19" s="15">
        <v>7.1515049103415398E-2</v>
      </c>
      <c r="M19" s="15">
        <v>1.9879925251481098E-6</v>
      </c>
      <c r="N19" s="16">
        <v>0</v>
      </c>
      <c r="O19" s="14">
        <v>1.11774879726452E-3</v>
      </c>
      <c r="P19" s="16">
        <v>7.7635084092083806E-2</v>
      </c>
      <c r="Q19" s="14">
        <v>4.547559573805704E-3</v>
      </c>
      <c r="R19" s="15">
        <v>0</v>
      </c>
      <c r="S19" s="15">
        <v>1.5312485752423896E-2</v>
      </c>
      <c r="T19" s="15">
        <v>0</v>
      </c>
      <c r="U19" s="14">
        <v>1.0568804421295394E-2</v>
      </c>
      <c r="V19" s="16">
        <v>2.4644745735756075E-3</v>
      </c>
      <c r="W19" s="14">
        <v>7.1086636714246004E-2</v>
      </c>
      <c r="X19" s="15">
        <v>0</v>
      </c>
      <c r="Y19" s="16">
        <v>1.0799769392867101E-2</v>
      </c>
      <c r="Z19" s="14">
        <v>0.57816289610751104</v>
      </c>
      <c r="AA19" s="15">
        <v>2.07546419625462E-2</v>
      </c>
      <c r="AB19" s="16">
        <v>0</v>
      </c>
      <c r="AC19" s="28">
        <f t="shared" si="0"/>
        <v>0.28427647012047241</v>
      </c>
      <c r="AF19" s="25"/>
    </row>
    <row r="20" spans="1:32" x14ac:dyDescent="0.3">
      <c r="A20" s="17" t="s">
        <v>26</v>
      </c>
      <c r="B20">
        <v>1994</v>
      </c>
      <c r="C20" s="18">
        <v>745.23500000000001</v>
      </c>
      <c r="D20" s="14">
        <v>4.7917770904479804E-3</v>
      </c>
      <c r="E20" s="16">
        <v>3.5451904432829899E-3</v>
      </c>
      <c r="F20" s="14">
        <v>5.3057089374492598E-3</v>
      </c>
      <c r="G20" s="16">
        <v>0</v>
      </c>
      <c r="H20" s="14">
        <v>9.7108965628291702E-2</v>
      </c>
      <c r="I20" s="16">
        <v>9.4601031889269801E-4</v>
      </c>
      <c r="J20" s="14">
        <v>3.9316457224902197E-3</v>
      </c>
      <c r="K20" s="15">
        <v>1.40358410434293E-3</v>
      </c>
      <c r="L20" s="15">
        <v>0.102370393231665</v>
      </c>
      <c r="M20" s="15">
        <v>2.13623890450663E-2</v>
      </c>
      <c r="N20" s="16">
        <v>0</v>
      </c>
      <c r="O20" s="14">
        <v>5.4676712714781202E-2</v>
      </c>
      <c r="P20" s="16">
        <v>2.7324266842002901E-2</v>
      </c>
      <c r="Q20" s="14">
        <v>1.1792010799511032E-2</v>
      </c>
      <c r="R20" s="15">
        <v>0</v>
      </c>
      <c r="S20" s="15">
        <v>4.3739465848794561E-2</v>
      </c>
      <c r="T20" s="15">
        <v>0</v>
      </c>
      <c r="U20" s="14">
        <v>6.8151740726079841E-3</v>
      </c>
      <c r="V20" s="16">
        <v>7.7238639489557153E-3</v>
      </c>
      <c r="W20" s="14">
        <v>1.52247277704348E-2</v>
      </c>
      <c r="X20" s="15">
        <v>3.2031506840124298E-2</v>
      </c>
      <c r="Y20" s="16">
        <v>5.6360745268271097E-2</v>
      </c>
      <c r="Z20" s="14">
        <v>0.50354586137258694</v>
      </c>
      <c r="AA20" s="15">
        <v>0</v>
      </c>
      <c r="AB20" s="16">
        <v>0</v>
      </c>
      <c r="AC20" s="28">
        <f t="shared" si="0"/>
        <v>0.31442967654498222</v>
      </c>
      <c r="AF20" s="25"/>
    </row>
    <row r="21" spans="1:32" x14ac:dyDescent="0.3">
      <c r="A21" s="17" t="s">
        <v>26</v>
      </c>
      <c r="B21">
        <v>1995</v>
      </c>
      <c r="C21" s="18">
        <v>2201.0929999999998</v>
      </c>
      <c r="D21" s="14">
        <v>6.4649699035888104E-4</v>
      </c>
      <c r="E21" s="16">
        <v>1.50379834018826E-4</v>
      </c>
      <c r="F21" s="14">
        <v>4.5431974023814502E-7</v>
      </c>
      <c r="G21" s="16">
        <v>0</v>
      </c>
      <c r="H21" s="14">
        <v>0.111775831371051</v>
      </c>
      <c r="I21" s="16">
        <v>4.3841854932980999E-3</v>
      </c>
      <c r="J21" s="14">
        <v>3.1075470232289098E-4</v>
      </c>
      <c r="K21" s="15">
        <v>2.4301562905338402E-3</v>
      </c>
      <c r="L21" s="15">
        <v>8.96881685598927E-2</v>
      </c>
      <c r="M21" s="15">
        <v>0</v>
      </c>
      <c r="N21" s="16">
        <v>0</v>
      </c>
      <c r="O21" s="14">
        <v>1.17927774973615E-2</v>
      </c>
      <c r="P21" s="16">
        <v>7.6552876230127497E-4</v>
      </c>
      <c r="Q21" s="14">
        <v>1.4863827501457986E-3</v>
      </c>
      <c r="R21" s="15">
        <v>0</v>
      </c>
      <c r="S21" s="15">
        <v>7.4319137507289921E-3</v>
      </c>
      <c r="T21" s="15">
        <v>0</v>
      </c>
      <c r="U21" s="14">
        <v>7.6912060273816992E-3</v>
      </c>
      <c r="V21" s="16">
        <v>1.0698294098237702E-2</v>
      </c>
      <c r="W21" s="14">
        <v>1.27981870825086E-2</v>
      </c>
      <c r="X21" s="15">
        <v>1.01617696299066E-2</v>
      </c>
      <c r="Y21" s="16">
        <v>2.29604110321554E-2</v>
      </c>
      <c r="Z21" s="14">
        <v>0.704368238870416</v>
      </c>
      <c r="AA21" s="15">
        <v>4.58862937640527E-4</v>
      </c>
      <c r="AB21" s="16">
        <v>0</v>
      </c>
      <c r="AC21" s="28">
        <f t="shared" si="0"/>
        <v>0.22114785699650152</v>
      </c>
      <c r="AF21" s="25"/>
    </row>
    <row r="22" spans="1:32" x14ac:dyDescent="0.3">
      <c r="A22" s="17" t="s">
        <v>26</v>
      </c>
      <c r="B22">
        <v>1996</v>
      </c>
      <c r="C22" s="18">
        <v>1700.6010000000001</v>
      </c>
      <c r="D22" s="14">
        <v>3.6845797456311002E-3</v>
      </c>
      <c r="E22" s="16">
        <v>1.17605481826719E-6</v>
      </c>
      <c r="F22" s="14">
        <v>3.36351678024416E-4</v>
      </c>
      <c r="G22" s="16">
        <v>0</v>
      </c>
      <c r="H22" s="14">
        <v>2.5780297671235099E-2</v>
      </c>
      <c r="I22" s="16">
        <v>4.6959868893408901E-3</v>
      </c>
      <c r="J22" s="14">
        <v>1.36645809334465E-2</v>
      </c>
      <c r="K22" s="15">
        <v>8.6087212697158195E-4</v>
      </c>
      <c r="L22" s="15">
        <v>0.16653818267777101</v>
      </c>
      <c r="M22" s="15">
        <v>4.4301985004125003E-3</v>
      </c>
      <c r="N22" s="16">
        <v>0</v>
      </c>
      <c r="O22" s="14">
        <v>1.46124811169698E-2</v>
      </c>
      <c r="P22" s="16">
        <v>4.2102762493965399E-4</v>
      </c>
      <c r="Q22" s="14">
        <v>0</v>
      </c>
      <c r="R22" s="15">
        <v>0</v>
      </c>
      <c r="S22" s="15">
        <v>2.0381618027979501E-2</v>
      </c>
      <c r="T22" s="15">
        <v>0</v>
      </c>
      <c r="U22" s="14">
        <v>8.2655595985883373E-3</v>
      </c>
      <c r="V22" s="16">
        <v>5.9895359410060416E-4</v>
      </c>
      <c r="W22" s="14">
        <v>4.6086060163436297E-2</v>
      </c>
      <c r="X22" s="15">
        <v>8.6581155720830503E-3</v>
      </c>
      <c r="Y22" s="16">
        <v>4.3444641041608202E-2</v>
      </c>
      <c r="Z22" s="14">
        <v>0.63695128957350999</v>
      </c>
      <c r="AA22" s="15">
        <v>5.8802740913359395E-4</v>
      </c>
      <c r="AB22" s="16">
        <v>0</v>
      </c>
      <c r="AC22" s="28">
        <f t="shared" si="0"/>
        <v>0.23133997921911145</v>
      </c>
      <c r="AF22" s="25"/>
    </row>
    <row r="23" spans="1:32" x14ac:dyDescent="0.3">
      <c r="A23" s="17" t="s">
        <v>26</v>
      </c>
      <c r="B23">
        <v>1997</v>
      </c>
      <c r="C23" s="18">
        <v>2293.5590000000002</v>
      </c>
      <c r="D23" s="14">
        <v>7.3946211978850301E-3</v>
      </c>
      <c r="E23" s="16">
        <v>0</v>
      </c>
      <c r="F23" s="14">
        <v>1.18898184001371E-3</v>
      </c>
      <c r="G23" s="16">
        <v>0</v>
      </c>
      <c r="H23" s="14">
        <v>9.9172944755290801E-2</v>
      </c>
      <c r="I23" s="16">
        <v>9.3775656087329799E-3</v>
      </c>
      <c r="J23" s="14">
        <v>1.7034660978854301E-3</v>
      </c>
      <c r="K23" s="15">
        <v>4.5745498589746299E-3</v>
      </c>
      <c r="L23" s="15">
        <v>0.14165888036889401</v>
      </c>
      <c r="M23" s="15">
        <v>1.07243807549751E-2</v>
      </c>
      <c r="N23" s="16">
        <v>1.7222142530451599E-4</v>
      </c>
      <c r="O23" s="14">
        <v>1.21448805110311E-2</v>
      </c>
      <c r="P23" s="16">
        <v>2.6583140002066699E-3</v>
      </c>
      <c r="Q23" s="14">
        <v>0</v>
      </c>
      <c r="R23" s="15">
        <v>0</v>
      </c>
      <c r="S23" s="15">
        <v>2.6437514796872501E-2</v>
      </c>
      <c r="T23" s="15">
        <v>0</v>
      </c>
      <c r="U23" s="14">
        <v>2.6005422321466864E-2</v>
      </c>
      <c r="V23" s="16">
        <v>3.6407591250053607E-4</v>
      </c>
      <c r="W23" s="14">
        <v>5.2987518524703299E-2</v>
      </c>
      <c r="X23" s="15">
        <v>2.2000306074533099E-2</v>
      </c>
      <c r="Y23" s="16">
        <v>3.8614223571314298E-2</v>
      </c>
      <c r="Z23" s="14">
        <v>0.54282013237941595</v>
      </c>
      <c r="AA23" s="15">
        <v>0</v>
      </c>
      <c r="AB23" s="16">
        <v>0</v>
      </c>
      <c r="AC23" s="28">
        <f t="shared" si="0"/>
        <v>0.28337618522130897</v>
      </c>
      <c r="AF23" s="25"/>
    </row>
    <row r="24" spans="1:32" x14ac:dyDescent="0.3">
      <c r="A24" s="17" t="s">
        <v>26</v>
      </c>
      <c r="B24">
        <v>1998</v>
      </c>
      <c r="C24" s="18">
        <v>3277.12</v>
      </c>
      <c r="D24" s="14">
        <v>4.4404843277023702E-3</v>
      </c>
      <c r="E24" s="16">
        <v>0</v>
      </c>
      <c r="F24" s="14">
        <v>1.3456937799043099E-4</v>
      </c>
      <c r="G24" s="16">
        <v>0</v>
      </c>
      <c r="H24" s="14">
        <v>3.9662874719265696E-3</v>
      </c>
      <c r="I24" s="16">
        <v>1.48392490967679E-3</v>
      </c>
      <c r="J24" s="14">
        <v>2.6138804804218302E-3</v>
      </c>
      <c r="K24" s="15">
        <v>2.4899912117957198E-4</v>
      </c>
      <c r="L24" s="15">
        <v>4.7052594961429599E-2</v>
      </c>
      <c r="M24" s="15">
        <v>3.0047724831559399E-3</v>
      </c>
      <c r="N24" s="16">
        <v>2.20162825895909E-3</v>
      </c>
      <c r="O24" s="14">
        <v>3.1094375549262798E-4</v>
      </c>
      <c r="P24" s="16">
        <v>3.6617517820525301E-6</v>
      </c>
      <c r="Q24" s="14">
        <v>0</v>
      </c>
      <c r="R24" s="15">
        <v>0</v>
      </c>
      <c r="S24" s="15">
        <v>1.26159554730983E-2</v>
      </c>
      <c r="T24" s="15">
        <v>0</v>
      </c>
      <c r="U24" s="14">
        <v>1.5423023444838526E-3</v>
      </c>
      <c r="V24" s="16">
        <v>2.2388259839281732E-4</v>
      </c>
      <c r="W24" s="14">
        <v>4.3900131823064202E-2</v>
      </c>
      <c r="X24" s="15">
        <v>2.2718118347817601E-3</v>
      </c>
      <c r="Y24" s="16">
        <v>7.1925959378966904E-3</v>
      </c>
      <c r="Z24" s="14">
        <v>0.86224184649936497</v>
      </c>
      <c r="AA24" s="15">
        <v>4.5497265892002698E-3</v>
      </c>
      <c r="AB24" s="16">
        <v>0</v>
      </c>
      <c r="AC24" s="28">
        <f t="shared" si="0"/>
        <v>6.1021262572014505E-2</v>
      </c>
      <c r="AF24" s="25"/>
    </row>
    <row r="25" spans="1:32" x14ac:dyDescent="0.3">
      <c r="A25" s="17" t="s">
        <v>26</v>
      </c>
      <c r="B25">
        <v>1999</v>
      </c>
      <c r="C25" s="18">
        <v>3310.2330000000002</v>
      </c>
      <c r="D25" s="14">
        <v>1.1896443543400099E-3</v>
      </c>
      <c r="E25" s="16">
        <v>0</v>
      </c>
      <c r="F25" s="14">
        <v>1.4153082275477299E-3</v>
      </c>
      <c r="G25" s="16">
        <v>0</v>
      </c>
      <c r="H25" s="14">
        <v>3.9900514555924003E-3</v>
      </c>
      <c r="I25" s="16">
        <v>1.4437050201602099E-2</v>
      </c>
      <c r="J25" s="14">
        <v>3.0822603726082102E-3</v>
      </c>
      <c r="K25" s="15">
        <v>1.05732738450737E-3</v>
      </c>
      <c r="L25" s="15">
        <v>0.101002859919528</v>
      </c>
      <c r="M25" s="15">
        <v>4.6658347010618299E-3</v>
      </c>
      <c r="N25" s="16">
        <v>2.9605166766206499E-4</v>
      </c>
      <c r="O25" s="14">
        <v>0</v>
      </c>
      <c r="P25" s="16">
        <v>0</v>
      </c>
      <c r="Q25" s="14">
        <v>0</v>
      </c>
      <c r="R25" s="15">
        <v>0</v>
      </c>
      <c r="S25" s="15">
        <v>1.6380720027865101E-2</v>
      </c>
      <c r="T25" s="15">
        <v>0</v>
      </c>
      <c r="U25" s="14">
        <v>3.6784648206053387E-3</v>
      </c>
      <c r="V25" s="16">
        <v>4.0070422882411096E-4</v>
      </c>
      <c r="W25" s="14">
        <v>0.123404606261855</v>
      </c>
      <c r="X25" s="15">
        <v>6.8680965962214704E-3</v>
      </c>
      <c r="Y25" s="16">
        <v>9.5283322956420304E-3</v>
      </c>
      <c r="Z25" s="14">
        <v>0.705394454106403</v>
      </c>
      <c r="AA25" s="15">
        <v>3.2082333781338099E-3</v>
      </c>
      <c r="AB25" s="16">
        <v>0</v>
      </c>
      <c r="AC25" s="28">
        <f t="shared" si="0"/>
        <v>0.12994674393010969</v>
      </c>
      <c r="AF25" s="25"/>
    </row>
    <row r="26" spans="1:32" x14ac:dyDescent="0.3">
      <c r="A26" s="17" t="s">
        <v>26</v>
      </c>
      <c r="B26">
        <v>2000</v>
      </c>
      <c r="C26" s="18">
        <v>3650.1219999999998</v>
      </c>
      <c r="D26" s="14">
        <v>1.51803145209941E-3</v>
      </c>
      <c r="E26" s="16">
        <v>2.8766161788564901E-5</v>
      </c>
      <c r="F26" s="14">
        <v>0</v>
      </c>
      <c r="G26" s="16">
        <v>0</v>
      </c>
      <c r="H26" s="14">
        <v>4.2684874642546201E-2</v>
      </c>
      <c r="I26" s="16">
        <v>1.8411713361909499E-2</v>
      </c>
      <c r="J26" s="14">
        <v>2.4582739974170699E-3</v>
      </c>
      <c r="K26" s="15">
        <v>8.7120375702510802E-5</v>
      </c>
      <c r="L26" s="15">
        <v>4.1159994104306701E-2</v>
      </c>
      <c r="M26" s="15">
        <v>1.72761348798752E-3</v>
      </c>
      <c r="N26" s="16">
        <v>2.7034712812338902E-3</v>
      </c>
      <c r="O26" s="14">
        <v>0</v>
      </c>
      <c r="P26" s="16">
        <v>0</v>
      </c>
      <c r="Q26" s="14">
        <v>0</v>
      </c>
      <c r="R26" s="15">
        <v>0</v>
      </c>
      <c r="S26" s="15">
        <v>1.7692285353749799E-2</v>
      </c>
      <c r="T26" s="15">
        <v>0</v>
      </c>
      <c r="U26" s="14">
        <v>1.4715363291180065E-6</v>
      </c>
      <c r="V26" s="16">
        <v>4.4620779011965357E-7</v>
      </c>
      <c r="W26" s="14">
        <v>3.7550525708455802E-2</v>
      </c>
      <c r="X26" s="15">
        <v>3.56042893908752E-3</v>
      </c>
      <c r="Y26" s="16">
        <v>1.2499856169191101E-2</v>
      </c>
      <c r="Z26" s="14">
        <v>0.81764116377480001</v>
      </c>
      <c r="AA26" s="15">
        <v>2.7396344560538002E-4</v>
      </c>
      <c r="AB26" s="16">
        <v>0</v>
      </c>
      <c r="AC26" s="28">
        <f t="shared" si="0"/>
        <v>0.10923306125110338</v>
      </c>
      <c r="AF26" s="25"/>
    </row>
    <row r="27" spans="1:32" x14ac:dyDescent="0.3">
      <c r="A27" s="17" t="s">
        <v>26</v>
      </c>
      <c r="B27">
        <v>2001</v>
      </c>
      <c r="C27" s="18">
        <v>3354.5349999999999</v>
      </c>
      <c r="D27" s="14">
        <v>1.3143401395424401E-3</v>
      </c>
      <c r="E27" s="16">
        <v>6.3078787372914595E-4</v>
      </c>
      <c r="F27" s="14">
        <v>1.5590834497180699E-4</v>
      </c>
      <c r="G27" s="16">
        <v>0</v>
      </c>
      <c r="H27" s="14">
        <v>5.11746039316925E-2</v>
      </c>
      <c r="I27" s="16">
        <v>2.2230502886391099E-2</v>
      </c>
      <c r="J27" s="14">
        <v>2.8239383401872402E-3</v>
      </c>
      <c r="K27" s="15">
        <v>3.5504175690520399E-4</v>
      </c>
      <c r="L27" s="15">
        <v>8.4628719032593197E-2</v>
      </c>
      <c r="M27" s="15">
        <v>1.2654510982893299E-3</v>
      </c>
      <c r="N27" s="16">
        <v>2.0846406431889999E-3</v>
      </c>
      <c r="O27" s="14">
        <v>5.4254911634548503E-5</v>
      </c>
      <c r="P27" s="16">
        <v>0</v>
      </c>
      <c r="Q27" s="14">
        <v>0</v>
      </c>
      <c r="R27" s="15">
        <v>0</v>
      </c>
      <c r="S27" s="15">
        <v>0.16038914484421801</v>
      </c>
      <c r="T27" s="15">
        <v>0</v>
      </c>
      <c r="U27" s="14">
        <v>1.7562466889156621E-3</v>
      </c>
      <c r="V27" s="16">
        <v>5.8446521303199791E-4</v>
      </c>
      <c r="W27" s="14">
        <v>8.3924299493074297E-2</v>
      </c>
      <c r="X27" s="15">
        <v>9.2140937566607597E-3</v>
      </c>
      <c r="Y27" s="16">
        <v>4.8681560931693998E-2</v>
      </c>
      <c r="Z27" s="14">
        <v>0.52843389620320003</v>
      </c>
      <c r="AA27" s="15">
        <v>2.98103910079937E-4</v>
      </c>
      <c r="AB27" s="16">
        <v>0</v>
      </c>
      <c r="AC27" s="28">
        <f t="shared" si="0"/>
        <v>0.16477306094585392</v>
      </c>
      <c r="AF27" s="25"/>
    </row>
    <row r="28" spans="1:32" x14ac:dyDescent="0.3">
      <c r="A28" s="17" t="s">
        <v>26</v>
      </c>
      <c r="B28">
        <v>2002</v>
      </c>
      <c r="C28" s="18">
        <v>5074.2169999999996</v>
      </c>
      <c r="D28" s="14">
        <v>2.6439547224724499E-3</v>
      </c>
      <c r="E28" s="16">
        <v>5.1436507346847802E-5</v>
      </c>
      <c r="F28" s="14">
        <v>1.1686532128996499E-3</v>
      </c>
      <c r="G28" s="16">
        <v>0</v>
      </c>
      <c r="H28" s="14">
        <v>8.1346540756928598E-2</v>
      </c>
      <c r="I28" s="16">
        <v>4.2672987773286E-2</v>
      </c>
      <c r="J28" s="14">
        <v>1.22304584135838E-3</v>
      </c>
      <c r="K28" s="15">
        <v>1.5765979263401599E-6</v>
      </c>
      <c r="L28" s="15">
        <v>3.7758534962142903E-2</v>
      </c>
      <c r="M28" s="15">
        <v>5.4315769309826499E-3</v>
      </c>
      <c r="N28" s="16">
        <v>2.0777589921755399E-3</v>
      </c>
      <c r="O28" s="14">
        <v>1.0573059843518699E-3</v>
      </c>
      <c r="P28" s="16">
        <v>0</v>
      </c>
      <c r="Q28" s="14">
        <v>0</v>
      </c>
      <c r="R28" s="15">
        <v>0</v>
      </c>
      <c r="S28" s="15">
        <v>5.3054096819272797E-2</v>
      </c>
      <c r="T28" s="15">
        <v>0</v>
      </c>
      <c r="U28" s="14">
        <v>4.1428699268622428E-3</v>
      </c>
      <c r="V28" s="16">
        <v>1.6436386122877374E-3</v>
      </c>
      <c r="W28" s="14">
        <v>8.0125268588237403E-2</v>
      </c>
      <c r="X28" s="15">
        <v>2.7870309842878199E-3</v>
      </c>
      <c r="Y28" s="16">
        <v>2.8021072019584502E-2</v>
      </c>
      <c r="Z28" s="14">
        <v>0.65479265076759596</v>
      </c>
      <c r="AA28" s="15">
        <v>0</v>
      </c>
      <c r="AB28" s="16">
        <v>0</v>
      </c>
      <c r="AC28" s="28">
        <f t="shared" si="0"/>
        <v>0.17273798105205193</v>
      </c>
      <c r="AF28" s="25"/>
    </row>
    <row r="29" spans="1:32" x14ac:dyDescent="0.3">
      <c r="A29" s="17" t="s">
        <v>26</v>
      </c>
      <c r="B29">
        <v>2003</v>
      </c>
      <c r="C29" s="18">
        <v>4985.4740000000002</v>
      </c>
      <c r="D29" s="14">
        <v>1.6680460072602901E-3</v>
      </c>
      <c r="E29" s="16">
        <v>1.00291366477892E-6</v>
      </c>
      <c r="F29" s="14">
        <v>2.6837969669483801E-4</v>
      </c>
      <c r="G29" s="16">
        <v>0</v>
      </c>
      <c r="H29" s="14">
        <v>5.4377978904312799E-2</v>
      </c>
      <c r="I29" s="16">
        <v>2.48140898939599E-2</v>
      </c>
      <c r="J29" s="14">
        <v>4.7802876918022199E-3</v>
      </c>
      <c r="K29" s="15">
        <v>0</v>
      </c>
      <c r="L29" s="15">
        <v>3.0092424511691401E-2</v>
      </c>
      <c r="M29" s="15">
        <v>4.7136942244609004E-3</v>
      </c>
      <c r="N29" s="16">
        <v>1.4766900800204799E-3</v>
      </c>
      <c r="O29" s="14">
        <v>0</v>
      </c>
      <c r="P29" s="16">
        <v>0</v>
      </c>
      <c r="Q29" s="14">
        <v>0</v>
      </c>
      <c r="R29" s="15">
        <v>0</v>
      </c>
      <c r="S29" s="15">
        <v>6.0411708094355698E-2</v>
      </c>
      <c r="T29" s="15">
        <v>0</v>
      </c>
      <c r="U29" s="14">
        <v>1.8404202933096302E-3</v>
      </c>
      <c r="V29" s="16">
        <v>8.0165546518394938E-4</v>
      </c>
      <c r="W29" s="14">
        <v>7.7573366143319597E-2</v>
      </c>
      <c r="X29" s="15">
        <v>2.50628124828251E-3</v>
      </c>
      <c r="Y29" s="16">
        <v>1.7109305955662402E-2</v>
      </c>
      <c r="Z29" s="14">
        <v>0.66165824954658303</v>
      </c>
      <c r="AA29" s="15">
        <v>5.5906419329435901E-2</v>
      </c>
      <c r="AB29" s="16">
        <v>0</v>
      </c>
      <c r="AC29" s="28">
        <f t="shared" si="0"/>
        <v>0.12052354500294254</v>
      </c>
      <c r="AF29" s="25"/>
    </row>
    <row r="30" spans="1:32" x14ac:dyDescent="0.3">
      <c r="A30" s="17" t="s">
        <v>26</v>
      </c>
      <c r="B30">
        <v>2004</v>
      </c>
      <c r="C30" s="18">
        <v>6910.93</v>
      </c>
      <c r="D30" s="14">
        <v>1.42904066457047E-3</v>
      </c>
      <c r="E30" s="16">
        <v>0</v>
      </c>
      <c r="F30" s="14">
        <v>1.5604267443021401E-3</v>
      </c>
      <c r="G30" s="16">
        <v>0</v>
      </c>
      <c r="H30" s="14">
        <v>5.0954647203777202E-2</v>
      </c>
      <c r="I30" s="16">
        <v>2.5150450084142101E-2</v>
      </c>
      <c r="J30" s="14">
        <v>3.1170913321361998E-3</v>
      </c>
      <c r="K30" s="15">
        <v>0</v>
      </c>
      <c r="L30" s="15">
        <v>2.73065998353333E-2</v>
      </c>
      <c r="M30" s="15">
        <v>8.6269141779760495E-4</v>
      </c>
      <c r="N30" s="16">
        <v>1.74940275766069E-4</v>
      </c>
      <c r="O30" s="14">
        <v>0</v>
      </c>
      <c r="P30" s="16">
        <v>0</v>
      </c>
      <c r="Q30" s="14">
        <v>0</v>
      </c>
      <c r="R30" s="15">
        <v>0</v>
      </c>
      <c r="S30" s="15">
        <v>4.6251662222016397E-2</v>
      </c>
      <c r="T30" s="15">
        <v>0</v>
      </c>
      <c r="U30" s="14">
        <v>5.9794731152708527E-3</v>
      </c>
      <c r="V30" s="16">
        <v>6.3179338576446753E-4</v>
      </c>
      <c r="W30" s="14">
        <v>6.2416056883805797E-2</v>
      </c>
      <c r="X30" s="15">
        <v>6.9542015329340605E-4</v>
      </c>
      <c r="Y30" s="16">
        <v>1.18167887679372E-2</v>
      </c>
      <c r="Z30" s="14">
        <v>0.75801086105632698</v>
      </c>
      <c r="AA30" s="15">
        <v>3.6420568577601002E-3</v>
      </c>
      <c r="AB30" s="16">
        <v>0</v>
      </c>
      <c r="AC30" s="28">
        <f t="shared" si="0"/>
        <v>0.10912684689325461</v>
      </c>
      <c r="AF30" s="25"/>
    </row>
    <row r="31" spans="1:32" x14ac:dyDescent="0.3">
      <c r="A31" s="17" t="s">
        <v>26</v>
      </c>
      <c r="B31">
        <v>2005</v>
      </c>
      <c r="C31" s="18">
        <v>5119.24</v>
      </c>
      <c r="D31" s="14">
        <v>2.5433462779631401E-4</v>
      </c>
      <c r="E31" s="16">
        <v>0</v>
      </c>
      <c r="F31" s="14">
        <v>1.08336393683437E-3</v>
      </c>
      <c r="G31" s="16">
        <v>0</v>
      </c>
      <c r="H31" s="14">
        <v>6.0482024675537802E-2</v>
      </c>
      <c r="I31" s="16">
        <v>8.6436072542017905E-2</v>
      </c>
      <c r="J31" s="14">
        <v>2.6282416921261799E-2</v>
      </c>
      <c r="K31" s="15">
        <v>0</v>
      </c>
      <c r="L31" s="15">
        <v>8.8737976730921E-2</v>
      </c>
      <c r="M31" s="15">
        <v>1.9813683281112E-2</v>
      </c>
      <c r="N31" s="16">
        <v>2.2257210054617499E-3</v>
      </c>
      <c r="O31" s="14">
        <v>8.4309389675029896E-4</v>
      </c>
      <c r="P31" s="16">
        <v>0</v>
      </c>
      <c r="Q31" s="14">
        <v>0</v>
      </c>
      <c r="R31" s="15">
        <v>0</v>
      </c>
      <c r="S31" s="15">
        <v>4.67782327064174E-2</v>
      </c>
      <c r="T31" s="15">
        <v>0</v>
      </c>
      <c r="U31" s="14">
        <v>2.5896772566825484E-2</v>
      </c>
      <c r="V31" s="16">
        <v>1.2687832578672153E-3</v>
      </c>
      <c r="W31" s="14">
        <v>2.96842890741594E-2</v>
      </c>
      <c r="X31" s="15">
        <v>6.3339480079074202E-3</v>
      </c>
      <c r="Y31" s="16">
        <v>1.4834819230979601E-2</v>
      </c>
      <c r="Z31" s="14">
        <v>0.58904446753814999</v>
      </c>
      <c r="AA31" s="15">
        <v>0</v>
      </c>
      <c r="AB31" s="16">
        <v>0</v>
      </c>
      <c r="AC31" s="28">
        <f t="shared" si="0"/>
        <v>0.28590435298989691</v>
      </c>
      <c r="AF31" s="25"/>
    </row>
    <row r="32" spans="1:32" x14ac:dyDescent="0.3">
      <c r="A32" s="17" t="s">
        <v>26</v>
      </c>
      <c r="B32">
        <v>2006</v>
      </c>
      <c r="C32" s="18">
        <v>2962.4180000000001</v>
      </c>
      <c r="D32" s="14">
        <v>1.8565914735867799E-4</v>
      </c>
      <c r="E32" s="16">
        <v>0</v>
      </c>
      <c r="F32" s="14">
        <v>4.1054300912295302E-3</v>
      </c>
      <c r="G32" s="16">
        <v>0</v>
      </c>
      <c r="H32" s="14">
        <v>7.2024609626325495E-2</v>
      </c>
      <c r="I32" s="16">
        <v>3.8814576470977399E-2</v>
      </c>
      <c r="J32" s="14">
        <v>1.11810689781118E-2</v>
      </c>
      <c r="K32" s="15">
        <v>0</v>
      </c>
      <c r="L32" s="15">
        <v>7.0506930487189895E-2</v>
      </c>
      <c r="M32" s="15">
        <v>3.6844901698544902E-3</v>
      </c>
      <c r="N32" s="16">
        <v>0</v>
      </c>
      <c r="O32" s="14">
        <v>2.2279097683041399E-5</v>
      </c>
      <c r="P32" s="16">
        <v>0</v>
      </c>
      <c r="Q32" s="14">
        <v>0</v>
      </c>
      <c r="R32" s="15">
        <v>0</v>
      </c>
      <c r="S32" s="15">
        <v>4.2752575767497997E-2</v>
      </c>
      <c r="T32" s="15">
        <v>0</v>
      </c>
      <c r="U32" s="14">
        <v>5.4157126017942182E-3</v>
      </c>
      <c r="V32" s="16">
        <v>5.9424277924924101E-4</v>
      </c>
      <c r="W32" s="14">
        <v>2.56567439166249E-2</v>
      </c>
      <c r="X32" s="15">
        <v>2.0230095820373802E-3</v>
      </c>
      <c r="Y32" s="16">
        <v>1.54080214203397E-2</v>
      </c>
      <c r="Z32" s="14">
        <v>0.69866237647759399</v>
      </c>
      <c r="AA32" s="15">
        <v>8.9622733861325406E-3</v>
      </c>
      <c r="AB32" s="16">
        <v>0</v>
      </c>
      <c r="AC32" s="28">
        <f t="shared" si="0"/>
        <v>0.20033938492137165</v>
      </c>
      <c r="AF32" s="25"/>
    </row>
    <row r="33" spans="1:32" x14ac:dyDescent="0.3">
      <c r="A33" s="17" t="s">
        <v>26</v>
      </c>
      <c r="B33">
        <v>2007</v>
      </c>
      <c r="C33" s="18">
        <v>2830.922</v>
      </c>
      <c r="D33" s="14">
        <v>2.8930503913566E-4</v>
      </c>
      <c r="E33" s="16">
        <v>0</v>
      </c>
      <c r="F33" s="14">
        <v>1.8004734853167999E-3</v>
      </c>
      <c r="G33" s="16">
        <v>0</v>
      </c>
      <c r="H33" s="14">
        <v>5.3948501583582997E-2</v>
      </c>
      <c r="I33" s="16">
        <v>3.6626229899658101E-2</v>
      </c>
      <c r="J33" s="14">
        <v>1.76620903013223E-6</v>
      </c>
      <c r="K33" s="15">
        <v>0</v>
      </c>
      <c r="L33" s="15">
        <v>0.13045113924014901</v>
      </c>
      <c r="M33" s="15">
        <v>7.9691351439566301E-4</v>
      </c>
      <c r="N33" s="16">
        <v>0</v>
      </c>
      <c r="O33" s="14">
        <v>3.8150115050856197E-5</v>
      </c>
      <c r="P33" s="16">
        <v>0</v>
      </c>
      <c r="Q33" s="14">
        <v>0</v>
      </c>
      <c r="R33" s="15">
        <v>0</v>
      </c>
      <c r="S33" s="15">
        <v>4.1308096796732703E-2</v>
      </c>
      <c r="T33" s="15">
        <v>0</v>
      </c>
      <c r="U33" s="14">
        <v>1.2984011668225158E-2</v>
      </c>
      <c r="V33" s="16">
        <v>3.7539980685319424E-3</v>
      </c>
      <c r="W33" s="14">
        <v>2.0005143200695699E-2</v>
      </c>
      <c r="X33" s="15">
        <v>4.1587157823493497E-3</v>
      </c>
      <c r="Y33" s="16">
        <v>1.38470787962367E-2</v>
      </c>
      <c r="Z33" s="14">
        <v>0.67893781601895098</v>
      </c>
      <c r="AA33" s="15">
        <v>1.0526605819588101E-3</v>
      </c>
      <c r="AB33" s="16">
        <v>0</v>
      </c>
      <c r="AC33" s="28">
        <f t="shared" si="0"/>
        <v>0.22366317404718355</v>
      </c>
      <c r="AF33" s="25"/>
    </row>
    <row r="34" spans="1:32" x14ac:dyDescent="0.3">
      <c r="A34" s="17" t="s">
        <v>26</v>
      </c>
      <c r="B34">
        <v>2008</v>
      </c>
      <c r="C34" s="18">
        <v>3363.0210000000002</v>
      </c>
      <c r="D34" s="14">
        <v>2.4097381491224698E-3</v>
      </c>
      <c r="E34" s="16">
        <v>0</v>
      </c>
      <c r="F34" s="14">
        <v>0</v>
      </c>
      <c r="G34" s="16">
        <v>0</v>
      </c>
      <c r="H34" s="14">
        <v>8.9814187898321199E-2</v>
      </c>
      <c r="I34" s="16">
        <v>4.6680648143440098E-2</v>
      </c>
      <c r="J34" s="14">
        <v>3.32736548478288E-4</v>
      </c>
      <c r="K34" s="15">
        <v>0</v>
      </c>
      <c r="L34" s="15">
        <v>0.16457226999177199</v>
      </c>
      <c r="M34" s="15">
        <v>7.4959389192039002E-3</v>
      </c>
      <c r="N34" s="16">
        <v>0</v>
      </c>
      <c r="O34" s="14">
        <v>4.2551027781271699E-4</v>
      </c>
      <c r="P34" s="16">
        <v>0</v>
      </c>
      <c r="Q34" s="14">
        <v>1.907321248361139E-3</v>
      </c>
      <c r="R34" s="15">
        <v>0</v>
      </c>
      <c r="S34" s="15">
        <v>7.9681524019033861E-2</v>
      </c>
      <c r="T34" s="15">
        <v>0</v>
      </c>
      <c r="U34" s="14">
        <v>5.8255298763655768E-3</v>
      </c>
      <c r="V34" s="16">
        <v>1.8535776879345018E-3</v>
      </c>
      <c r="W34" s="14">
        <v>3.5011080810973198E-2</v>
      </c>
      <c r="X34" s="15">
        <v>7.2723304433721997E-3</v>
      </c>
      <c r="Y34" s="16">
        <v>2.9834187773433499E-2</v>
      </c>
      <c r="Z34" s="14">
        <v>0.52170652517483496</v>
      </c>
      <c r="AA34" s="15">
        <v>5.1768930375397596E-3</v>
      </c>
      <c r="AB34" s="16">
        <v>0</v>
      </c>
      <c r="AC34" s="28">
        <f t="shared" si="0"/>
        <v>0.30932129177902823</v>
      </c>
      <c r="AF34" s="25"/>
    </row>
    <row r="35" spans="1:32" x14ac:dyDescent="0.3">
      <c r="A35" s="17" t="s">
        <v>26</v>
      </c>
      <c r="B35">
        <v>2009</v>
      </c>
      <c r="C35" s="18">
        <v>3469.4490000000001</v>
      </c>
      <c r="D35" s="14">
        <v>3.2887066505373001E-4</v>
      </c>
      <c r="E35" s="16">
        <v>0</v>
      </c>
      <c r="F35" s="14">
        <v>2.35772308513542E-4</v>
      </c>
      <c r="G35" s="16">
        <v>0</v>
      </c>
      <c r="H35" s="14">
        <v>1.7551490164576598E-2</v>
      </c>
      <c r="I35" s="16">
        <v>2.89048779791834E-2</v>
      </c>
      <c r="J35" s="14">
        <v>6.3528819705953301E-3</v>
      </c>
      <c r="K35" s="15">
        <v>0</v>
      </c>
      <c r="L35" s="15">
        <v>0.15686381324527299</v>
      </c>
      <c r="M35" s="15">
        <v>8.2670187686863308E-3</v>
      </c>
      <c r="N35" s="16">
        <v>3.63458289774543E-4</v>
      </c>
      <c r="O35" s="14">
        <v>2.5566019272800999E-4</v>
      </c>
      <c r="P35" s="16">
        <v>0</v>
      </c>
      <c r="Q35" s="14">
        <v>0</v>
      </c>
      <c r="R35" s="15">
        <v>0</v>
      </c>
      <c r="S35" s="15">
        <v>0.12040615094788799</v>
      </c>
      <c r="T35" s="15">
        <v>0</v>
      </c>
      <c r="U35" s="14">
        <v>2.5514776925592366E-2</v>
      </c>
      <c r="V35" s="16">
        <v>2.9978197432158132E-3</v>
      </c>
      <c r="W35" s="14">
        <v>1.1739616290656001E-2</v>
      </c>
      <c r="X35" s="15">
        <v>6.8030975523779196E-3</v>
      </c>
      <c r="Y35" s="16">
        <v>2.1228442902605001E-2</v>
      </c>
      <c r="Z35" s="14">
        <v>0.58122197501678197</v>
      </c>
      <c r="AA35" s="15">
        <v>1.09642770364977E-2</v>
      </c>
      <c r="AB35" s="16">
        <v>0</v>
      </c>
      <c r="AC35" s="28">
        <f t="shared" si="0"/>
        <v>0.21879497291933075</v>
      </c>
      <c r="AF35" s="25"/>
    </row>
    <row r="36" spans="1:32" x14ac:dyDescent="0.3">
      <c r="A36" s="17" t="s">
        <v>26</v>
      </c>
      <c r="B36">
        <v>2010</v>
      </c>
      <c r="C36" s="18">
        <v>7362.067</v>
      </c>
      <c r="D36" s="14">
        <v>1.60539152930828E-3</v>
      </c>
      <c r="E36" s="16">
        <v>0</v>
      </c>
      <c r="F36" s="14">
        <v>4.5055281349653598E-4</v>
      </c>
      <c r="G36" s="16">
        <v>0</v>
      </c>
      <c r="H36" s="14">
        <v>2.3102207572954701E-2</v>
      </c>
      <c r="I36" s="16">
        <v>2.6743576226622202E-2</v>
      </c>
      <c r="J36" s="14">
        <v>1.5538570893201599E-2</v>
      </c>
      <c r="K36" s="15">
        <v>0</v>
      </c>
      <c r="L36" s="15">
        <v>0.162349242407058</v>
      </c>
      <c r="M36" s="15">
        <v>3.4622070133292701E-3</v>
      </c>
      <c r="N36" s="16">
        <v>3.2029048363727198E-4</v>
      </c>
      <c r="O36" s="14">
        <v>8.3943816322236701E-5</v>
      </c>
      <c r="P36" s="16">
        <v>3.02904062133637E-5</v>
      </c>
      <c r="Q36" s="14">
        <v>8.3501879048630964E-4</v>
      </c>
      <c r="R36" s="15">
        <v>0</v>
      </c>
      <c r="S36" s="15">
        <v>5.2426110183210889E-2</v>
      </c>
      <c r="T36" s="15">
        <v>0</v>
      </c>
      <c r="U36" s="14">
        <v>1.2368347780863322E-2</v>
      </c>
      <c r="V36" s="16">
        <v>5.879320247945592E-4</v>
      </c>
      <c r="W36" s="14">
        <v>2.78822510036923E-2</v>
      </c>
      <c r="X36" s="15">
        <v>6.9214257354626102E-3</v>
      </c>
      <c r="Y36" s="16">
        <v>2.1344413192653601E-2</v>
      </c>
      <c r="Z36" s="14">
        <v>0.63878935087116195</v>
      </c>
      <c r="AA36" s="15">
        <v>4.0939589384339998E-3</v>
      </c>
      <c r="AB36" s="16">
        <v>1.06491831709763E-3</v>
      </c>
      <c r="AC36" s="28">
        <f t="shared" si="0"/>
        <v>0.23208088163283516</v>
      </c>
      <c r="AF36" s="25"/>
    </row>
    <row r="37" spans="1:32" x14ac:dyDescent="0.3">
      <c r="A37" s="17" t="s">
        <v>26</v>
      </c>
      <c r="B37">
        <v>2011</v>
      </c>
      <c r="C37" s="18">
        <v>6731.53</v>
      </c>
      <c r="D37" s="14">
        <v>1.48554637652956E-6</v>
      </c>
      <c r="E37" s="16">
        <v>0</v>
      </c>
      <c r="F37" s="14">
        <v>7.6639337565159802E-4</v>
      </c>
      <c r="G37" s="16">
        <v>0</v>
      </c>
      <c r="H37" s="14">
        <v>3.1110460771919601E-2</v>
      </c>
      <c r="I37" s="16">
        <v>3.2723021363642399E-2</v>
      </c>
      <c r="J37" s="14">
        <v>5.1169644939560504E-3</v>
      </c>
      <c r="K37" s="15">
        <v>0</v>
      </c>
      <c r="L37" s="15">
        <v>0.13726626784698301</v>
      </c>
      <c r="M37" s="15">
        <v>1.9836500765799199E-3</v>
      </c>
      <c r="N37" s="16">
        <v>3.6080950393149801E-3</v>
      </c>
      <c r="O37" s="14">
        <v>5.1028518033790203E-4</v>
      </c>
      <c r="P37" s="16">
        <v>1.1587261736930501E-5</v>
      </c>
      <c r="Q37" s="14">
        <v>2.3827304250527764E-3</v>
      </c>
      <c r="R37" s="15">
        <v>0</v>
      </c>
      <c r="S37" s="15">
        <v>2.3970268076030928E-2</v>
      </c>
      <c r="T37" s="15">
        <v>0</v>
      </c>
      <c r="U37" s="14">
        <v>6.6176927972690404E-3</v>
      </c>
      <c r="V37" s="16">
        <v>6.6806212561482383E-3</v>
      </c>
      <c r="W37" s="14">
        <v>1.45983156875183E-2</v>
      </c>
      <c r="X37" s="15">
        <v>7.2487235442759701E-3</v>
      </c>
      <c r="Y37" s="16">
        <v>2.8068656011337699E-2</v>
      </c>
      <c r="Z37" s="14">
        <v>0.69733478124586801</v>
      </c>
      <c r="AA37" s="15">
        <v>0</v>
      </c>
      <c r="AB37" s="16">
        <v>0</v>
      </c>
      <c r="AC37" s="28">
        <f t="shared" si="0"/>
        <v>0.21309672541012237</v>
      </c>
      <c r="AF37" s="25"/>
    </row>
    <row r="38" spans="1:32" x14ac:dyDescent="0.3">
      <c r="A38" s="17" t="s">
        <v>26</v>
      </c>
      <c r="B38">
        <v>2012</v>
      </c>
      <c r="C38" s="18">
        <v>6325.2330000000002</v>
      </c>
      <c r="D38" s="14">
        <v>2.2433956187859001E-4</v>
      </c>
      <c r="E38" s="16">
        <v>2.59278986244459E-5</v>
      </c>
      <c r="F38" s="14">
        <v>3.0575948743706398E-4</v>
      </c>
      <c r="G38" s="16">
        <v>1.32327141150373E-4</v>
      </c>
      <c r="H38" s="14">
        <v>1.1827074196318101E-2</v>
      </c>
      <c r="I38" s="16">
        <v>3.13006651296482E-2</v>
      </c>
      <c r="J38" s="14">
        <v>3.57963097960186E-3</v>
      </c>
      <c r="K38" s="15">
        <v>3.3737887600346101E-4</v>
      </c>
      <c r="L38" s="15">
        <v>0.20157834501906899</v>
      </c>
      <c r="M38" s="15">
        <v>1.1917347550675201E-3</v>
      </c>
      <c r="N38" s="16">
        <v>2.0849824820682499E-3</v>
      </c>
      <c r="O38" s="14">
        <v>1.12090732467879E-4</v>
      </c>
      <c r="P38" s="16">
        <v>0</v>
      </c>
      <c r="Q38" s="14">
        <v>1.4427308952964168E-3</v>
      </c>
      <c r="R38" s="15">
        <v>0</v>
      </c>
      <c r="S38" s="15">
        <v>4.6282151334338481E-2</v>
      </c>
      <c r="T38" s="15">
        <v>0</v>
      </c>
      <c r="U38" s="14">
        <v>1.8277126929388842E-3</v>
      </c>
      <c r="V38" s="16">
        <v>2.5529954959926464E-3</v>
      </c>
      <c r="W38" s="14">
        <v>5.2140846036817901E-2</v>
      </c>
      <c r="X38" s="15">
        <v>4.2613449970933899E-3</v>
      </c>
      <c r="Y38" s="16">
        <v>5.1060253432561299E-2</v>
      </c>
      <c r="Z38" s="14">
        <v>0.58773170885562598</v>
      </c>
      <c r="AA38" s="15">
        <v>0</v>
      </c>
      <c r="AB38" s="16">
        <v>0</v>
      </c>
      <c r="AC38" s="28">
        <f t="shared" si="0"/>
        <v>0.25244998879883168</v>
      </c>
      <c r="AF38" s="25"/>
    </row>
    <row r="39" spans="1:32" x14ac:dyDescent="0.3">
      <c r="A39" s="17" t="s">
        <v>26</v>
      </c>
      <c r="B39">
        <v>2013</v>
      </c>
      <c r="C39" s="18">
        <v>13720.563</v>
      </c>
      <c r="D39" s="14">
        <v>3.3708529307434402E-4</v>
      </c>
      <c r="E39" s="16">
        <v>2.7615484874782498E-4</v>
      </c>
      <c r="F39" s="14">
        <v>7.7460378265819E-4</v>
      </c>
      <c r="G39" s="16">
        <v>2.2331445145509001E-4</v>
      </c>
      <c r="H39" s="14">
        <v>2.1995598868647E-2</v>
      </c>
      <c r="I39" s="16">
        <v>3.10841472029974E-2</v>
      </c>
      <c r="J39" s="14">
        <v>9.4680517118721705E-3</v>
      </c>
      <c r="K39" s="15">
        <v>1.6187382398229601E-4</v>
      </c>
      <c r="L39" s="15">
        <v>0.13138520627761399</v>
      </c>
      <c r="M39" s="15">
        <v>1.7022625091987801E-3</v>
      </c>
      <c r="N39" s="16">
        <v>6.9173546304185905E-4</v>
      </c>
      <c r="O39" s="14">
        <v>3.3628357670162698E-4</v>
      </c>
      <c r="P39" s="16">
        <v>1.96784927848806E-5</v>
      </c>
      <c r="Q39" s="14">
        <v>3.3303127926208307E-3</v>
      </c>
      <c r="R39" s="15">
        <v>0</v>
      </c>
      <c r="S39" s="15">
        <v>5.1466345332851167E-2</v>
      </c>
      <c r="T39" s="15">
        <v>0</v>
      </c>
      <c r="U39" s="14">
        <v>5.2288074914511509E-3</v>
      </c>
      <c r="V39" s="16">
        <v>1.7053149888869159E-2</v>
      </c>
      <c r="W39" s="14">
        <v>4.9817926567590501E-2</v>
      </c>
      <c r="X39" s="15">
        <v>6.9687373615791104E-3</v>
      </c>
      <c r="Y39" s="16">
        <v>3.5047249883259197E-2</v>
      </c>
      <c r="Z39" s="14">
        <v>0.63003682866366295</v>
      </c>
      <c r="AA39" s="15">
        <v>2.59464571533982E-3</v>
      </c>
      <c r="AB39" s="16">
        <v>0</v>
      </c>
      <c r="AC39" s="28">
        <f t="shared" si="0"/>
        <v>0.19784275616095329</v>
      </c>
      <c r="AF39" s="25"/>
    </row>
    <row r="40" spans="1:32" x14ac:dyDescent="0.3">
      <c r="A40" s="17" t="s">
        <v>26</v>
      </c>
      <c r="B40">
        <v>2014</v>
      </c>
      <c r="C40" s="18">
        <v>12324.564</v>
      </c>
      <c r="D40" s="14">
        <v>1.13894495578099E-3</v>
      </c>
      <c r="E40" s="16">
        <v>4.0569386470791198E-7</v>
      </c>
      <c r="F40" s="14">
        <v>1.3014659179829801E-4</v>
      </c>
      <c r="G40" s="16">
        <v>0</v>
      </c>
      <c r="H40" s="14">
        <v>1.3118597947968E-2</v>
      </c>
      <c r="I40" s="16">
        <v>1.73864162659223E-2</v>
      </c>
      <c r="J40" s="14">
        <v>9.1668151506211493E-3</v>
      </c>
      <c r="K40" s="15">
        <v>7.4793720897550601E-4</v>
      </c>
      <c r="L40" s="15">
        <v>0.13059626287793999</v>
      </c>
      <c r="M40" s="15">
        <v>6.4911018353265896E-4</v>
      </c>
      <c r="N40" s="16">
        <v>9.1987026883871901E-4</v>
      </c>
      <c r="O40" s="14">
        <v>1.46049791294848E-6</v>
      </c>
      <c r="P40" s="16">
        <v>5.5214934986746805E-4</v>
      </c>
      <c r="Q40" s="14">
        <v>5.4612651346004444E-3</v>
      </c>
      <c r="R40" s="15">
        <v>0</v>
      </c>
      <c r="S40" s="15">
        <v>3.1495742026058558E-2</v>
      </c>
      <c r="T40" s="15">
        <v>0</v>
      </c>
      <c r="U40" s="14">
        <v>1.6516706334598081E-2</v>
      </c>
      <c r="V40" s="16">
        <v>1.8217747557645009E-2</v>
      </c>
      <c r="W40" s="14">
        <v>3.3201499055057801E-2</v>
      </c>
      <c r="X40" s="15">
        <v>7.6795414426019401E-3</v>
      </c>
      <c r="Y40" s="16">
        <v>2.2568993110019999E-2</v>
      </c>
      <c r="Z40" s="14">
        <v>0.68708637482023704</v>
      </c>
      <c r="AA40" s="15">
        <v>3.3640135261579999E-3</v>
      </c>
      <c r="AB40" s="16">
        <v>0</v>
      </c>
      <c r="AC40" s="28">
        <f t="shared" si="0"/>
        <v>0.17326876634337704</v>
      </c>
      <c r="AF40" s="25"/>
    </row>
    <row r="41" spans="1:32" x14ac:dyDescent="0.3">
      <c r="A41" s="17" t="s">
        <v>26</v>
      </c>
      <c r="B41">
        <v>2015</v>
      </c>
      <c r="C41" s="18">
        <v>6900.2240000000002</v>
      </c>
      <c r="D41" s="14">
        <v>7.5939563701120402E-5</v>
      </c>
      <c r="E41" s="16">
        <v>2.72454923202493E-5</v>
      </c>
      <c r="F41" s="14">
        <v>5.1389636046597902E-4</v>
      </c>
      <c r="G41" s="16">
        <v>7.7591683980114299E-4</v>
      </c>
      <c r="H41" s="14">
        <v>4.3136280793203202E-3</v>
      </c>
      <c r="I41" s="16">
        <v>1.04771961026193E-2</v>
      </c>
      <c r="J41" s="14">
        <v>7.6425055186614202E-3</v>
      </c>
      <c r="K41" s="15">
        <v>1.6808149996289999E-3</v>
      </c>
      <c r="L41" s="15">
        <v>0.15604623849892399</v>
      </c>
      <c r="M41" s="15">
        <v>9.1170953290791704E-4</v>
      </c>
      <c r="N41" s="16">
        <v>0</v>
      </c>
      <c r="O41" s="14">
        <v>0</v>
      </c>
      <c r="P41" s="16">
        <v>1.99848584625659E-4</v>
      </c>
      <c r="Q41" s="14">
        <v>4.0932887879470302E-3</v>
      </c>
      <c r="R41" s="15">
        <v>0</v>
      </c>
      <c r="S41" s="15">
        <v>5.3631069145940374E-2</v>
      </c>
      <c r="T41" s="15">
        <v>0</v>
      </c>
      <c r="U41" s="14">
        <v>9.5447494445304905E-3</v>
      </c>
      <c r="V41" s="16">
        <v>3.0535833446691606E-2</v>
      </c>
      <c r="W41" s="14">
        <v>2.7387081926615701E-2</v>
      </c>
      <c r="X41" s="15">
        <v>4.3655104529939899E-3</v>
      </c>
      <c r="Y41" s="16">
        <v>2.05629556373822E-2</v>
      </c>
      <c r="Z41" s="14">
        <v>0.65701055501966299</v>
      </c>
      <c r="AA41" s="15">
        <v>1.0204016565259299E-2</v>
      </c>
      <c r="AB41" s="16">
        <v>0</v>
      </c>
      <c r="AC41" s="28">
        <f t="shared" si="0"/>
        <v>0.18256175451695472</v>
      </c>
      <c r="AF41" s="25"/>
    </row>
    <row r="42" spans="1:32" x14ac:dyDescent="0.3">
      <c r="A42" s="17" t="s">
        <v>26</v>
      </c>
      <c r="B42">
        <v>2016</v>
      </c>
      <c r="C42" s="18">
        <v>7814.3410000000003</v>
      </c>
      <c r="D42" s="14">
        <v>6.0593721210784103E-4</v>
      </c>
      <c r="E42" s="16">
        <v>2.6656118538978502E-4</v>
      </c>
      <c r="F42" s="14">
        <v>6.3984922081081403E-4</v>
      </c>
      <c r="G42" s="16">
        <v>0</v>
      </c>
      <c r="H42" s="14">
        <v>1.0287495772196301E-2</v>
      </c>
      <c r="I42" s="16">
        <v>2.60672013161443E-2</v>
      </c>
      <c r="J42" s="14">
        <v>3.6379267298419699E-3</v>
      </c>
      <c r="K42" s="15">
        <v>1.4188016622258999E-3</v>
      </c>
      <c r="L42" s="15">
        <v>0.20221167722268599</v>
      </c>
      <c r="M42" s="15">
        <v>1.3109230835972E-3</v>
      </c>
      <c r="N42" s="16">
        <v>0</v>
      </c>
      <c r="O42" s="14">
        <v>0</v>
      </c>
      <c r="P42" s="16">
        <v>0</v>
      </c>
      <c r="Q42" s="14">
        <v>3.0360215449926429E-3</v>
      </c>
      <c r="R42" s="15">
        <v>0</v>
      </c>
      <c r="S42" s="15">
        <v>5.6484544552647557E-2</v>
      </c>
      <c r="T42" s="15">
        <v>0</v>
      </c>
      <c r="U42" s="14">
        <v>1.4660099249141532E-3</v>
      </c>
      <c r="V42" s="16">
        <v>7.0355387021549766E-3</v>
      </c>
      <c r="W42" s="14">
        <v>2.0046604057847001E-2</v>
      </c>
      <c r="X42" s="15">
        <v>2.1735678030943401E-3</v>
      </c>
      <c r="Y42" s="16">
        <v>7.2125083868236602E-3</v>
      </c>
      <c r="Z42" s="14">
        <v>0.65362133543954604</v>
      </c>
      <c r="AA42" s="15">
        <v>2.4774961829794702E-3</v>
      </c>
      <c r="AB42" s="16">
        <v>0</v>
      </c>
      <c r="AC42" s="28">
        <f t="shared" si="0"/>
        <v>0.2455738750075025</v>
      </c>
      <c r="AF42" s="25"/>
    </row>
    <row r="43" spans="1:32" x14ac:dyDescent="0.3">
      <c r="A43" s="17" t="s">
        <v>26</v>
      </c>
      <c r="B43">
        <v>2017</v>
      </c>
      <c r="C43" s="18">
        <v>6362.5339999999997</v>
      </c>
      <c r="D43" s="14">
        <v>2.81963129784454E-4</v>
      </c>
      <c r="E43" s="16">
        <v>3.8710991564052901E-4</v>
      </c>
      <c r="F43" s="14">
        <v>9.3091840452247496E-4</v>
      </c>
      <c r="G43" s="16">
        <v>0</v>
      </c>
      <c r="H43" s="14">
        <v>1.4945303239244E-2</v>
      </c>
      <c r="I43" s="16">
        <v>3.2953222725410999E-2</v>
      </c>
      <c r="J43" s="14">
        <v>6.3910071050307903E-3</v>
      </c>
      <c r="K43" s="15">
        <v>2.4611263373995299E-3</v>
      </c>
      <c r="L43" s="15">
        <v>0.26447560044472801</v>
      </c>
      <c r="M43" s="15">
        <v>3.1619477396898801E-3</v>
      </c>
      <c r="N43" s="16">
        <v>1.9715415273222898E-3</v>
      </c>
      <c r="O43" s="14">
        <v>3.14340166983783E-5</v>
      </c>
      <c r="P43" s="16">
        <v>6.4439734231675604E-6</v>
      </c>
      <c r="Q43" s="14">
        <v>9.9471764795148153E-4</v>
      </c>
      <c r="R43" s="15">
        <v>0</v>
      </c>
      <c r="S43" s="15">
        <v>7.6909148956140511E-2</v>
      </c>
      <c r="T43" s="15">
        <v>0</v>
      </c>
      <c r="U43" s="14">
        <v>3.688768853169174E-3</v>
      </c>
      <c r="V43" s="16">
        <v>5.3381377221041366E-3</v>
      </c>
      <c r="W43" s="14">
        <v>4.2919849229882297E-2</v>
      </c>
      <c r="X43" s="15">
        <v>2.7000248643072101E-3</v>
      </c>
      <c r="Y43" s="16">
        <v>1.3447472343566301E-2</v>
      </c>
      <c r="Z43" s="14">
        <v>0.517589375553828</v>
      </c>
      <c r="AA43" s="15">
        <v>8.4148862701558802E-3</v>
      </c>
      <c r="AB43" s="16">
        <v>0</v>
      </c>
      <c r="AC43" s="28">
        <f t="shared" si="0"/>
        <v>0.32732854551346946</v>
      </c>
      <c r="AF43" s="25"/>
    </row>
    <row r="44" spans="1:32" x14ac:dyDescent="0.3">
      <c r="A44" s="17" t="s">
        <v>26</v>
      </c>
      <c r="B44">
        <v>2018</v>
      </c>
      <c r="C44" s="18">
        <v>6971.1019999999999</v>
      </c>
      <c r="D44" s="14">
        <v>1.83486054285248E-3</v>
      </c>
      <c r="E44" s="16">
        <v>2.34683124705391E-4</v>
      </c>
      <c r="F44" s="14">
        <v>2.4922888805815799E-3</v>
      </c>
      <c r="G44" s="16">
        <v>0</v>
      </c>
      <c r="H44" s="14">
        <v>4.3612903670036699E-3</v>
      </c>
      <c r="I44" s="16">
        <v>1.2867692941517701E-2</v>
      </c>
      <c r="J44" s="14">
        <v>8.6190103085566697E-3</v>
      </c>
      <c r="K44" s="15">
        <v>2.47765704762317E-3</v>
      </c>
      <c r="L44" s="15">
        <v>0.22025972364197199</v>
      </c>
      <c r="M44" s="15">
        <v>1.50521395326019E-3</v>
      </c>
      <c r="N44" s="16">
        <v>3.3660388271467001E-3</v>
      </c>
      <c r="O44" s="14">
        <v>1.06955829939083E-3</v>
      </c>
      <c r="P44" s="16">
        <v>0</v>
      </c>
      <c r="Q44" s="14">
        <v>0</v>
      </c>
      <c r="R44" s="15">
        <v>0</v>
      </c>
      <c r="S44" s="15">
        <v>2.0740479769195699E-2</v>
      </c>
      <c r="T44" s="15">
        <v>0</v>
      </c>
      <c r="U44" s="14">
        <v>3.2286408799976391E-3</v>
      </c>
      <c r="V44" s="16">
        <v>1.4233304161116352E-2</v>
      </c>
      <c r="W44" s="14">
        <v>4.1678489283329997E-2</v>
      </c>
      <c r="X44" s="15">
        <v>3.3808141094478299E-3</v>
      </c>
      <c r="Y44" s="16">
        <v>1.1841312894288501E-2</v>
      </c>
      <c r="Z44" s="14">
        <v>0.645808940968013</v>
      </c>
      <c r="AA44" s="15">
        <v>0</v>
      </c>
      <c r="AB44" s="16">
        <v>0</v>
      </c>
      <c r="AC44" s="28">
        <f t="shared" si="0"/>
        <v>0.25701847426705249</v>
      </c>
      <c r="AF44" s="25"/>
    </row>
    <row r="45" spans="1:32" x14ac:dyDescent="0.3">
      <c r="A45" s="17" t="s">
        <v>26</v>
      </c>
      <c r="B45">
        <v>2019</v>
      </c>
      <c r="C45" s="18">
        <v>11787.614</v>
      </c>
      <c r="D45" s="14">
        <v>1.0701062997142601E-3</v>
      </c>
      <c r="E45" s="16">
        <v>1.65360012636993E-3</v>
      </c>
      <c r="F45" s="14">
        <v>1.3358937610274599E-3</v>
      </c>
      <c r="G45" s="16">
        <v>0</v>
      </c>
      <c r="H45" s="14">
        <v>4.3056211375771198E-3</v>
      </c>
      <c r="I45" s="16">
        <v>8.6326206474015895E-3</v>
      </c>
      <c r="J45" s="14">
        <v>6.0928360904929501E-4</v>
      </c>
      <c r="K45" s="15">
        <v>5.3445930618359196E-6</v>
      </c>
      <c r="L45" s="15">
        <v>0.165225803966774</v>
      </c>
      <c r="M45" s="15">
        <v>2.54504431515996E-7</v>
      </c>
      <c r="N45" s="16">
        <v>6.1607039388972197E-4</v>
      </c>
      <c r="O45" s="14">
        <v>8.0974826627339504E-4</v>
      </c>
      <c r="P45" s="16">
        <v>5.0052538198145997E-6</v>
      </c>
      <c r="Q45" s="14">
        <v>0</v>
      </c>
      <c r="R45" s="15">
        <v>0</v>
      </c>
      <c r="S45" s="15">
        <v>6.6245891662214298E-2</v>
      </c>
      <c r="T45" s="15">
        <v>0</v>
      </c>
      <c r="U45" s="14">
        <v>2.9497413365947044E-3</v>
      </c>
      <c r="V45" s="16">
        <v>1.6410095990908359E-3</v>
      </c>
      <c r="W45" s="14">
        <v>1.4661745795204999E-2</v>
      </c>
      <c r="X45" s="15">
        <v>6.0767174764969395E-4</v>
      </c>
      <c r="Y45" s="16">
        <v>1.7729033203835801E-2</v>
      </c>
      <c r="Z45" s="14">
        <v>0.71089365498395196</v>
      </c>
      <c r="AA45" s="15">
        <v>1.00189911206797E-3</v>
      </c>
      <c r="AB45" s="16">
        <v>0</v>
      </c>
      <c r="AC45" s="28">
        <f t="shared" si="0"/>
        <v>0.18154564613330573</v>
      </c>
      <c r="AF45" s="25"/>
    </row>
    <row r="46" spans="1:32" x14ac:dyDescent="0.3">
      <c r="A46" s="17" t="s">
        <v>26</v>
      </c>
      <c r="B46">
        <v>2020</v>
      </c>
      <c r="C46" s="18">
        <v>9571.5419999999995</v>
      </c>
      <c r="D46" s="14">
        <v>2.0677963905920299E-3</v>
      </c>
      <c r="E46" s="16">
        <v>1.8564406863596299E-3</v>
      </c>
      <c r="F46" s="14">
        <v>1.08070361076616E-3</v>
      </c>
      <c r="G46" s="16">
        <v>0</v>
      </c>
      <c r="H46" s="14">
        <v>5.3766676257597798E-3</v>
      </c>
      <c r="I46" s="16">
        <v>2.4384785648958098E-3</v>
      </c>
      <c r="J46" s="14">
        <v>2.2879281102250802E-3</v>
      </c>
      <c r="K46" s="15">
        <v>0</v>
      </c>
      <c r="L46" s="15">
        <v>0.242255323123484</v>
      </c>
      <c r="M46" s="15">
        <v>1.2523582929479899E-3</v>
      </c>
      <c r="N46" s="16">
        <v>1.84609752535171E-4</v>
      </c>
      <c r="O46" s="14">
        <v>1.1875829411812601E-3</v>
      </c>
      <c r="P46" s="16">
        <v>9.4028736435571194E-6</v>
      </c>
      <c r="Q46" s="14">
        <v>9.1812200071989002E-4</v>
      </c>
      <c r="R46" s="15">
        <v>0</v>
      </c>
      <c r="S46" s="15">
        <v>0.10562312286870609</v>
      </c>
      <c r="T46" s="15">
        <v>0</v>
      </c>
      <c r="U46" s="14">
        <v>3.5686458126809044E-3</v>
      </c>
      <c r="V46" s="16">
        <v>1.8421750301132335E-2</v>
      </c>
      <c r="W46" s="14">
        <v>3.9153565851771802E-3</v>
      </c>
      <c r="X46" s="15">
        <v>2.9765318900549099E-4</v>
      </c>
      <c r="Y46" s="16">
        <v>2.89489405155407E-2</v>
      </c>
      <c r="Z46" s="14">
        <v>0.57512990069938597</v>
      </c>
      <c r="AA46" s="15">
        <v>3.1792160552604801E-3</v>
      </c>
      <c r="AB46" s="16">
        <v>0</v>
      </c>
      <c r="AC46" s="28">
        <f t="shared" si="0"/>
        <v>0.2560730548954388</v>
      </c>
      <c r="AF46" s="25"/>
    </row>
    <row r="47" spans="1:32" x14ac:dyDescent="0.3">
      <c r="A47" s="17" t="s">
        <v>26</v>
      </c>
      <c r="B47">
        <v>2021</v>
      </c>
      <c r="C47" s="18">
        <v>12181.962</v>
      </c>
      <c r="D47" s="14">
        <v>8.06438240408236E-4</v>
      </c>
      <c r="E47" s="16">
        <v>2.2903535571691998E-3</v>
      </c>
      <c r="F47" s="14">
        <v>3.7736121652653303E-4</v>
      </c>
      <c r="G47" s="16">
        <v>0</v>
      </c>
      <c r="H47" s="14">
        <v>5.26113937968285E-3</v>
      </c>
      <c r="I47" s="16">
        <v>3.3435500783863901E-3</v>
      </c>
      <c r="J47" s="14">
        <v>7.4207258239682604E-3</v>
      </c>
      <c r="K47" s="15">
        <v>0</v>
      </c>
      <c r="L47" s="15">
        <v>0.157343702106442</v>
      </c>
      <c r="M47" s="15">
        <v>9.8021977083822794E-4</v>
      </c>
      <c r="N47" s="16">
        <v>1.3070965087561401E-3</v>
      </c>
      <c r="O47" s="14">
        <v>1.01001792650478E-3</v>
      </c>
      <c r="P47" s="16">
        <v>0</v>
      </c>
      <c r="Q47" s="14">
        <v>0</v>
      </c>
      <c r="R47" s="15">
        <v>0</v>
      </c>
      <c r="S47" s="15">
        <v>7.2628120166521606E-2</v>
      </c>
      <c r="T47" s="15">
        <v>0</v>
      </c>
      <c r="U47" s="14">
        <v>3.7520742298382073E-3</v>
      </c>
      <c r="V47" s="16">
        <v>2.5805972331134495E-2</v>
      </c>
      <c r="W47" s="14">
        <v>1.8253627781797399E-2</v>
      </c>
      <c r="X47" s="15">
        <v>2.57085024563367E-3</v>
      </c>
      <c r="Y47" s="16">
        <v>2.0543570896051098E-2</v>
      </c>
      <c r="Z47" s="14">
        <v>0.674413037899806</v>
      </c>
      <c r="AA47" s="15">
        <v>1.8921418405343901E-3</v>
      </c>
      <c r="AB47" s="16">
        <v>0</v>
      </c>
      <c r="AC47" s="28">
        <f t="shared" si="0"/>
        <v>0.17704381281110518</v>
      </c>
      <c r="AF47" s="25"/>
    </row>
    <row r="48" spans="1:32" x14ac:dyDescent="0.3">
      <c r="A48" s="17" t="s">
        <v>26</v>
      </c>
      <c r="B48">
        <v>2022</v>
      </c>
      <c r="C48" s="18">
        <v>5348.8490000000002</v>
      </c>
      <c r="D48" s="14">
        <v>4.3347643577150898E-3</v>
      </c>
      <c r="E48" s="16">
        <v>7.6838961054985795E-5</v>
      </c>
      <c r="F48" s="14">
        <v>4.39926421553497E-3</v>
      </c>
      <c r="G48" s="16">
        <v>0</v>
      </c>
      <c r="H48" s="14">
        <v>9.5886049503360396E-3</v>
      </c>
      <c r="I48" s="16">
        <v>1.3887099822784301E-2</v>
      </c>
      <c r="J48" s="14">
        <v>2.4413476618988499E-2</v>
      </c>
      <c r="K48" s="15">
        <v>0</v>
      </c>
      <c r="L48" s="15">
        <v>0.16054033306978799</v>
      </c>
      <c r="M48" s="15">
        <v>2.5182987966196102E-4</v>
      </c>
      <c r="N48" s="16">
        <v>3.6269485266830298E-4</v>
      </c>
      <c r="O48" s="14">
        <v>9.8899781990480605E-5</v>
      </c>
      <c r="P48" s="16">
        <v>0</v>
      </c>
      <c r="Q48" s="14">
        <v>0</v>
      </c>
      <c r="R48" s="15">
        <v>0</v>
      </c>
      <c r="S48" s="15">
        <v>6.5910067754763699E-2</v>
      </c>
      <c r="T48" s="15">
        <v>0</v>
      </c>
      <c r="U48" s="14">
        <v>4.1219327599206421E-3</v>
      </c>
      <c r="V48" s="16">
        <v>3.6810424837012821E-2</v>
      </c>
      <c r="W48" s="14">
        <v>1.8525667858636501E-2</v>
      </c>
      <c r="X48" s="15">
        <v>1.49340540366722E-3</v>
      </c>
      <c r="Y48" s="16">
        <v>2.0801671537184901E-2</v>
      </c>
      <c r="Z48" s="14">
        <v>0.62900803518663595</v>
      </c>
      <c r="AA48" s="15">
        <v>5.37498815165655E-3</v>
      </c>
      <c r="AB48" s="16">
        <v>0</v>
      </c>
      <c r="AC48" s="28">
        <f t="shared" si="0"/>
        <v>0.21354220319175254</v>
      </c>
      <c r="AF48" s="25"/>
    </row>
    <row r="49" spans="1:32" x14ac:dyDescent="0.3">
      <c r="A49" s="17" t="s">
        <v>26</v>
      </c>
      <c r="B49">
        <v>2023</v>
      </c>
      <c r="C49" s="18">
        <v>6717.83</v>
      </c>
      <c r="D49" s="14">
        <v>2.11824353995263E-4</v>
      </c>
      <c r="E49" s="16">
        <v>4.4523305888955199E-4</v>
      </c>
      <c r="F49" s="14">
        <v>3.3415552343539498E-3</v>
      </c>
      <c r="G49" s="16">
        <v>0</v>
      </c>
      <c r="H49" s="14">
        <v>5.0879525084737203E-3</v>
      </c>
      <c r="I49" s="16">
        <v>1.08206072496625E-2</v>
      </c>
      <c r="J49" s="14">
        <v>2.2917072923845899E-2</v>
      </c>
      <c r="K49" s="15">
        <v>1.4017919476974E-3</v>
      </c>
      <c r="L49" s="15">
        <v>0.19036310832515899</v>
      </c>
      <c r="M49" s="15">
        <v>6.54645919887821E-3</v>
      </c>
      <c r="N49" s="16">
        <v>4.8083979499332404E-3</v>
      </c>
      <c r="O49" s="14">
        <v>9.66532347499118E-4</v>
      </c>
      <c r="P49" s="16">
        <v>0</v>
      </c>
      <c r="Q49" s="14">
        <v>0</v>
      </c>
      <c r="R49" s="15">
        <v>0</v>
      </c>
      <c r="S49" s="15">
        <v>0.157256882058641</v>
      </c>
      <c r="T49" s="15">
        <v>0</v>
      </c>
      <c r="U49" s="14">
        <v>4.4360968755293389E-4</v>
      </c>
      <c r="V49" s="16">
        <v>1.4481001384772506E-2</v>
      </c>
      <c r="W49" s="14">
        <v>2.2738741528142301E-2</v>
      </c>
      <c r="X49" s="15">
        <v>0</v>
      </c>
      <c r="Y49" s="16">
        <v>4.8306372742388498E-2</v>
      </c>
      <c r="Z49" s="14">
        <v>0.49533137932933702</v>
      </c>
      <c r="AA49" s="15">
        <v>1.39047877067446E-2</v>
      </c>
      <c r="AB49" s="16">
        <v>6.2669046403377295E-4</v>
      </c>
      <c r="AC49" s="28">
        <f t="shared" si="0"/>
        <v>0.24625347768550301</v>
      </c>
      <c r="AF49" s="25"/>
    </row>
    <row r="50" spans="1:32" ht="15" thickBot="1" x14ac:dyDescent="0.35">
      <c r="A50" s="4" t="s">
        <v>26</v>
      </c>
      <c r="B50" s="5">
        <v>2024</v>
      </c>
      <c r="C50" s="19">
        <v>7804.3639999999996</v>
      </c>
      <c r="D50" s="20">
        <v>1.12611722750814E-3</v>
      </c>
      <c r="E50" s="21">
        <v>3.9737240966246801E-4</v>
      </c>
      <c r="F50" s="20">
        <v>6.5700568580300098E-4</v>
      </c>
      <c r="G50" s="21">
        <v>0</v>
      </c>
      <c r="H50" s="20">
        <v>4.6662874391792701E-3</v>
      </c>
      <c r="I50" s="21">
        <v>2.70455280163805E-2</v>
      </c>
      <c r="J50" s="20">
        <v>1.8538514593198299E-2</v>
      </c>
      <c r="K50" s="22">
        <v>3.2070511115773102E-3</v>
      </c>
      <c r="L50" s="22">
        <v>0.16252618889790499</v>
      </c>
      <c r="M50" s="22">
        <v>1.24763707900304E-7</v>
      </c>
      <c r="N50" s="21">
        <v>2.1998336976981601E-3</v>
      </c>
      <c r="O50" s="20">
        <v>7.4409075391741297E-4</v>
      </c>
      <c r="P50" s="21">
        <v>0</v>
      </c>
      <c r="Q50" s="20">
        <v>0</v>
      </c>
      <c r="R50" s="22">
        <v>0</v>
      </c>
      <c r="S50" s="22">
        <v>0.109753760493942</v>
      </c>
      <c r="T50" s="22">
        <v>0</v>
      </c>
      <c r="U50" s="20">
        <v>8.1812890629514752E-3</v>
      </c>
      <c r="V50" s="21">
        <v>6.4754077411071434E-2</v>
      </c>
      <c r="W50" s="20">
        <v>6.1943933335421898E-3</v>
      </c>
      <c r="X50" s="22">
        <v>1.04083498507607E-3</v>
      </c>
      <c r="Y50" s="21">
        <v>3.0585434426035001E-2</v>
      </c>
      <c r="Z50" s="20">
        <v>0.54102247337359599</v>
      </c>
      <c r="AA50" s="22">
        <v>1.7359622317248299E-2</v>
      </c>
      <c r="AB50" s="21">
        <v>0</v>
      </c>
      <c r="AC50" s="29">
        <f t="shared" si="0"/>
        <v>0.21958462495936684</v>
      </c>
      <c r="AF50" s="25"/>
    </row>
    <row r="52" spans="1:32" ht="15" thickBot="1" x14ac:dyDescent="0.35">
      <c r="A52" t="s">
        <v>75</v>
      </c>
    </row>
    <row r="53" spans="1:32" ht="15" thickBot="1" x14ac:dyDescent="0.35">
      <c r="A53" s="1"/>
      <c r="B53" s="2"/>
      <c r="C53" s="3"/>
      <c r="D53" s="88" t="s">
        <v>2</v>
      </c>
      <c r="E53" s="89"/>
      <c r="F53" s="89"/>
      <c r="G53" s="89"/>
      <c r="H53" s="89"/>
      <c r="I53" s="90"/>
      <c r="J53" s="88" t="s">
        <v>3</v>
      </c>
      <c r="K53" s="89"/>
      <c r="L53" s="89"/>
      <c r="M53" s="89"/>
      <c r="N53" s="89"/>
      <c r="O53" s="89"/>
      <c r="P53" s="89"/>
      <c r="Q53" s="89"/>
      <c r="R53" s="89"/>
      <c r="S53" s="89"/>
      <c r="T53" s="89"/>
      <c r="U53" s="89"/>
      <c r="V53" s="89"/>
      <c r="W53" s="89"/>
      <c r="X53" s="89"/>
      <c r="Y53" s="90"/>
      <c r="Z53" s="91" t="s">
        <v>4</v>
      </c>
      <c r="AA53" s="92"/>
      <c r="AB53" s="93"/>
      <c r="AC53" s="97" t="s">
        <v>38</v>
      </c>
    </row>
    <row r="54" spans="1:32" ht="15" thickBot="1" x14ac:dyDescent="0.35">
      <c r="A54" s="4"/>
      <c r="B54" s="5"/>
      <c r="C54" s="6"/>
      <c r="D54" s="85" t="s">
        <v>5</v>
      </c>
      <c r="E54" s="86"/>
      <c r="F54" s="85" t="s">
        <v>6</v>
      </c>
      <c r="G54" s="86"/>
      <c r="H54" s="85" t="s">
        <v>7</v>
      </c>
      <c r="I54" s="86"/>
      <c r="J54" s="85" t="s">
        <v>8</v>
      </c>
      <c r="K54" s="87"/>
      <c r="L54" s="87"/>
      <c r="M54" s="87"/>
      <c r="N54" s="86"/>
      <c r="O54" s="85" t="s">
        <v>9</v>
      </c>
      <c r="P54" s="86"/>
      <c r="Q54" s="85" t="s">
        <v>10</v>
      </c>
      <c r="R54" s="87"/>
      <c r="S54" s="87"/>
      <c r="T54" s="87"/>
      <c r="U54" s="87"/>
      <c r="V54" s="86"/>
      <c r="W54" s="85" t="s">
        <v>11</v>
      </c>
      <c r="X54" s="87"/>
      <c r="Y54" s="86"/>
      <c r="Z54" s="94"/>
      <c r="AA54" s="95"/>
      <c r="AB54" s="96"/>
      <c r="AC54" s="98"/>
    </row>
    <row r="55" spans="1:32" ht="43.8" thickBot="1" x14ac:dyDescent="0.35">
      <c r="A55" s="7" t="s">
        <v>12</v>
      </c>
      <c r="B55" s="8" t="s">
        <v>27</v>
      </c>
      <c r="C55" s="9" t="s">
        <v>13</v>
      </c>
      <c r="D55" s="7" t="s">
        <v>14</v>
      </c>
      <c r="E55" s="9" t="s">
        <v>15</v>
      </c>
      <c r="F55" s="7" t="s">
        <v>16</v>
      </c>
      <c r="G55" s="9" t="s">
        <v>17</v>
      </c>
      <c r="H55" s="7" t="s">
        <v>18</v>
      </c>
      <c r="I55" s="9" t="s">
        <v>19</v>
      </c>
      <c r="J55" s="7" t="s">
        <v>20</v>
      </c>
      <c r="K55" s="8" t="s">
        <v>21</v>
      </c>
      <c r="L55" s="8" t="s">
        <v>22</v>
      </c>
      <c r="M55" s="8" t="s">
        <v>7</v>
      </c>
      <c r="N55" s="9" t="s">
        <v>6</v>
      </c>
      <c r="O55" s="31" t="s">
        <v>40</v>
      </c>
      <c r="P55" s="31" t="s">
        <v>42</v>
      </c>
      <c r="Q55" s="7" t="s">
        <v>23</v>
      </c>
      <c r="R55" s="8" t="s">
        <v>60</v>
      </c>
      <c r="S55" s="8" t="s">
        <v>24</v>
      </c>
      <c r="T55" s="8" t="s">
        <v>25</v>
      </c>
      <c r="U55" s="7" t="s">
        <v>44</v>
      </c>
      <c r="V55" s="31" t="s">
        <v>62</v>
      </c>
      <c r="W55" s="7" t="s">
        <v>36</v>
      </c>
      <c r="X55" s="8" t="s">
        <v>35</v>
      </c>
      <c r="Y55" s="9" t="s">
        <v>43</v>
      </c>
      <c r="Z55" s="7" t="s">
        <v>4</v>
      </c>
      <c r="AA55" s="8" t="s">
        <v>28</v>
      </c>
      <c r="AB55" s="9" t="s">
        <v>29</v>
      </c>
      <c r="AC55" s="30" t="s">
        <v>37</v>
      </c>
    </row>
    <row r="56" spans="1:32" x14ac:dyDescent="0.3">
      <c r="A56" s="17" t="s">
        <v>26</v>
      </c>
      <c r="B56">
        <v>1985</v>
      </c>
      <c r="C56" s="18">
        <v>2345.3649999999998</v>
      </c>
      <c r="D56" s="14">
        <v>1.0802841213383299E-2</v>
      </c>
      <c r="E56" s="16">
        <v>9.0126804829806703E-4</v>
      </c>
      <c r="F56" s="14">
        <v>3.3895701267194801E-3</v>
      </c>
      <c r="G56" s="16">
        <v>0</v>
      </c>
      <c r="H56" s="14">
        <v>0.32659274163435897</v>
      </c>
      <c r="I56" s="16">
        <v>0</v>
      </c>
      <c r="J56" s="14">
        <v>4.4069105751771498E-3</v>
      </c>
      <c r="K56" s="15">
        <v>1.66000601698839E-3</v>
      </c>
      <c r="L56" s="15">
        <v>0.208378549649756</v>
      </c>
      <c r="M56" s="15">
        <v>0</v>
      </c>
      <c r="N56" s="16">
        <v>0</v>
      </c>
      <c r="O56" s="14">
        <v>4.2199998719789703E-2</v>
      </c>
      <c r="P56" s="16">
        <v>8.2253938246922703E-2</v>
      </c>
      <c r="Q56" s="14">
        <v>1.5648497485226472E-3</v>
      </c>
      <c r="R56" s="15">
        <v>0</v>
      </c>
      <c r="S56" s="15">
        <v>8.1207946133245237E-3</v>
      </c>
      <c r="T56" s="15">
        <v>0</v>
      </c>
      <c r="U56" s="14">
        <v>1.6092127036431498E-2</v>
      </c>
      <c r="V56" s="16">
        <v>3.0444564663519046E-3</v>
      </c>
      <c r="W56" s="14">
        <v>3.7813571509346597E-2</v>
      </c>
      <c r="X56" s="15">
        <v>3.5057278742321403E-2</v>
      </c>
      <c r="Y56" s="16">
        <v>4.5157284503267697E-2</v>
      </c>
      <c r="Z56" s="14">
        <v>0.12464127440667599</v>
      </c>
      <c r="AA56" s="15">
        <v>4.7922538742364101E-2</v>
      </c>
      <c r="AB56" s="16">
        <v>0</v>
      </c>
      <c r="AC56" s="28">
        <f t="shared" ref="AC56:AC95" si="1">SUM(F56:P56)</f>
        <v>0.66888171496971249</v>
      </c>
      <c r="AE56" s="25"/>
    </row>
    <row r="57" spans="1:32" x14ac:dyDescent="0.3">
      <c r="A57" s="17" t="s">
        <v>26</v>
      </c>
      <c r="B57">
        <v>1986</v>
      </c>
      <c r="C57" s="18">
        <v>2156.5419999999999</v>
      </c>
      <c r="D57" s="14">
        <v>6.5892526090379898E-4</v>
      </c>
      <c r="E57" s="16">
        <v>4.6370532083307398E-7</v>
      </c>
      <c r="F57" s="14">
        <v>7.8180717092456303E-3</v>
      </c>
      <c r="G57" s="16">
        <v>0</v>
      </c>
      <c r="H57" s="14">
        <v>0.211486259020228</v>
      </c>
      <c r="I57" s="16">
        <v>3.4777899062480601E-4</v>
      </c>
      <c r="J57" s="14">
        <v>0</v>
      </c>
      <c r="K57" s="15">
        <v>5.9354281066633497E-5</v>
      </c>
      <c r="L57" s="15">
        <v>0.184383146722855</v>
      </c>
      <c r="M57" s="15">
        <v>0</v>
      </c>
      <c r="N57" s="16">
        <v>0</v>
      </c>
      <c r="O57" s="14">
        <v>6.1622727496148902E-2</v>
      </c>
      <c r="P57" s="16">
        <v>0.125247270862334</v>
      </c>
      <c r="Q57" s="14">
        <v>2.2407333551033087E-3</v>
      </c>
      <c r="R57" s="15">
        <v>0</v>
      </c>
      <c r="S57" s="15">
        <v>9.5429462579067915E-3</v>
      </c>
      <c r="T57" s="15">
        <v>0</v>
      </c>
      <c r="U57" s="14">
        <v>6.1752821609225954E-2</v>
      </c>
      <c r="V57" s="16">
        <v>5.301286309840743E-3</v>
      </c>
      <c r="W57" s="14">
        <v>3.0038830683566602E-2</v>
      </c>
      <c r="X57" s="15">
        <v>3.4995376857951302E-2</v>
      </c>
      <c r="Y57" s="16">
        <v>6.6784695127662705E-2</v>
      </c>
      <c r="Z57" s="14">
        <v>0.186441998347354</v>
      </c>
      <c r="AA57" s="15">
        <v>1.12773134026604E-2</v>
      </c>
      <c r="AB57" s="16">
        <v>0</v>
      </c>
      <c r="AC57" s="28">
        <f t="shared" si="1"/>
        <v>0.59096460908250292</v>
      </c>
      <c r="AE57" s="25"/>
    </row>
    <row r="58" spans="1:32" x14ac:dyDescent="0.3">
      <c r="A58" s="17" t="s">
        <v>26</v>
      </c>
      <c r="B58">
        <v>1987</v>
      </c>
      <c r="C58" s="18">
        <v>2664.0439999999999</v>
      </c>
      <c r="D58" s="14">
        <v>8.34821046499232E-4</v>
      </c>
      <c r="E58" s="16">
        <v>7.6950680994758306E-5</v>
      </c>
      <c r="F58" s="14">
        <v>7.3358397984417704E-3</v>
      </c>
      <c r="G58" s="16">
        <v>0</v>
      </c>
      <c r="H58" s="14">
        <v>0.18237611691098199</v>
      </c>
      <c r="I58" s="16">
        <v>5.2987112825463797E-3</v>
      </c>
      <c r="J58" s="14">
        <v>0</v>
      </c>
      <c r="K58" s="15">
        <v>3.1542271824339199E-3</v>
      </c>
      <c r="L58" s="15">
        <v>0.18630397996429501</v>
      </c>
      <c r="M58" s="15">
        <v>0</v>
      </c>
      <c r="N58" s="16">
        <v>0</v>
      </c>
      <c r="O58" s="14">
        <v>1.25594772458713E-2</v>
      </c>
      <c r="P58" s="16">
        <v>0.152357093201163</v>
      </c>
      <c r="Q58" s="14">
        <v>0</v>
      </c>
      <c r="R58" s="15">
        <v>0</v>
      </c>
      <c r="S58" s="15">
        <v>1.21349347082856E-2</v>
      </c>
      <c r="T58" s="15">
        <v>0</v>
      </c>
      <c r="U58" s="14">
        <v>1.2575329922286604E-2</v>
      </c>
      <c r="V58" s="16">
        <v>6.1105476382941953E-3</v>
      </c>
      <c r="W58" s="14">
        <v>3.89903470062807E-2</v>
      </c>
      <c r="X58" s="15">
        <v>3.3096300211257798E-2</v>
      </c>
      <c r="Y58" s="16">
        <v>2.9758517501963198E-2</v>
      </c>
      <c r="Z58" s="14">
        <v>0.29749884010924699</v>
      </c>
      <c r="AA58" s="15">
        <v>1.9537965589156901E-2</v>
      </c>
      <c r="AB58" s="16">
        <v>0</v>
      </c>
      <c r="AC58" s="28">
        <f t="shared" si="1"/>
        <v>0.54938544558573343</v>
      </c>
      <c r="AE58" s="25"/>
    </row>
    <row r="59" spans="1:32" x14ac:dyDescent="0.3">
      <c r="A59" s="17" t="s">
        <v>26</v>
      </c>
      <c r="B59">
        <v>1988</v>
      </c>
      <c r="C59" s="18">
        <v>2492.2449999999999</v>
      </c>
      <c r="D59" s="14">
        <v>4.3853868510502804E-3</v>
      </c>
      <c r="E59" s="16">
        <v>1.76424990335484E-3</v>
      </c>
      <c r="F59" s="14">
        <v>2.07311381695306E-3</v>
      </c>
      <c r="G59" s="16">
        <v>0</v>
      </c>
      <c r="H59" s="14">
        <v>0.187566925522134</v>
      </c>
      <c r="I59" s="16">
        <v>4.0060170375904598E-7</v>
      </c>
      <c r="J59" s="14">
        <v>1.31397358832967E-4</v>
      </c>
      <c r="K59" s="15">
        <v>4.00601703759046E-6</v>
      </c>
      <c r="L59" s="15">
        <v>0.1296531390148</v>
      </c>
      <c r="M59" s="15">
        <v>0</v>
      </c>
      <c r="N59" s="16">
        <v>0</v>
      </c>
      <c r="O59" s="14">
        <v>7.1483368018764202E-3</v>
      </c>
      <c r="P59" s="16">
        <v>6.2340835935575198E-2</v>
      </c>
      <c r="Q59" s="14">
        <v>0</v>
      </c>
      <c r="R59" s="15">
        <v>0</v>
      </c>
      <c r="S59" s="15">
        <v>2.4284475281873399E-2</v>
      </c>
      <c r="T59" s="15">
        <v>0</v>
      </c>
      <c r="U59" s="14">
        <v>1.4911133306968215E-2</v>
      </c>
      <c r="V59" s="16">
        <v>1.5547415433239585E-2</v>
      </c>
      <c r="W59" s="14">
        <v>4.1791570939551201E-2</v>
      </c>
      <c r="X59" s="15">
        <v>2.63263421659332E-2</v>
      </c>
      <c r="Y59" s="16">
        <v>2.1711811140332798E-2</v>
      </c>
      <c r="Z59" s="14">
        <v>0.43736492211301398</v>
      </c>
      <c r="AA59" s="15">
        <v>2.2994537795769199E-2</v>
      </c>
      <c r="AB59" s="16">
        <v>0</v>
      </c>
      <c r="AC59" s="28">
        <f t="shared" si="1"/>
        <v>0.38891815506891297</v>
      </c>
      <c r="AE59" s="25"/>
    </row>
    <row r="60" spans="1:32" x14ac:dyDescent="0.3">
      <c r="A60" s="17" t="s">
        <v>26</v>
      </c>
      <c r="B60">
        <v>1989</v>
      </c>
      <c r="C60" s="18">
        <v>1221.3599999999999</v>
      </c>
      <c r="D60" s="14">
        <v>4.5490273138141099E-3</v>
      </c>
      <c r="E60" s="16">
        <v>5.7313159101329698E-6</v>
      </c>
      <c r="F60" s="14">
        <v>3.1931617213597997E-5</v>
      </c>
      <c r="G60" s="16">
        <v>0</v>
      </c>
      <c r="H60" s="14">
        <v>0.202320364184188</v>
      </c>
      <c r="I60" s="16">
        <v>1.51716119735377E-3</v>
      </c>
      <c r="J60" s="14">
        <v>5.3948057902665899E-3</v>
      </c>
      <c r="K60" s="15">
        <v>8.3185956638501398E-4</v>
      </c>
      <c r="L60" s="15">
        <v>0.18365428702430101</v>
      </c>
      <c r="M60" s="15">
        <v>1.9077094386585401E-4</v>
      </c>
      <c r="N60" s="16">
        <v>0</v>
      </c>
      <c r="O60" s="14">
        <v>2.5062225715595701E-2</v>
      </c>
      <c r="P60" s="16">
        <v>2.0282308246544801E-2</v>
      </c>
      <c r="Q60" s="14">
        <v>0</v>
      </c>
      <c r="R60" s="15">
        <v>0</v>
      </c>
      <c r="S60" s="15">
        <v>5.7517848955263001E-3</v>
      </c>
      <c r="T60" s="15">
        <v>0</v>
      </c>
      <c r="U60" s="14">
        <v>1.1384345823823149E-2</v>
      </c>
      <c r="V60" s="16">
        <v>1.4849146726725847E-3</v>
      </c>
      <c r="W60" s="14">
        <v>5.4472882688150898E-2</v>
      </c>
      <c r="X60" s="15">
        <v>3.2580074670858702E-2</v>
      </c>
      <c r="Y60" s="16">
        <v>1.9482380297373401E-2</v>
      </c>
      <c r="Z60" s="14">
        <v>0.40879838868147</v>
      </c>
      <c r="AA60" s="15">
        <v>2.2204755354686599E-2</v>
      </c>
      <c r="AB60" s="16">
        <v>0</v>
      </c>
      <c r="AC60" s="28">
        <f t="shared" si="1"/>
        <v>0.43928571428571433</v>
      </c>
      <c r="AE60" s="25"/>
    </row>
    <row r="61" spans="1:32" x14ac:dyDescent="0.3">
      <c r="A61" s="17" t="s">
        <v>26</v>
      </c>
      <c r="B61">
        <v>1990</v>
      </c>
      <c r="C61" s="18">
        <v>1761.886</v>
      </c>
      <c r="D61" s="14">
        <v>7.8177589242436792E-3</v>
      </c>
      <c r="E61" s="16">
        <v>8.0595452827254396E-5</v>
      </c>
      <c r="F61" s="14">
        <v>1.2231211326953E-3</v>
      </c>
      <c r="G61" s="16">
        <v>0</v>
      </c>
      <c r="H61" s="14">
        <v>0.127586574840824</v>
      </c>
      <c r="I61" s="16">
        <v>1.9283313449337799E-2</v>
      </c>
      <c r="J61" s="14">
        <v>3.3288192312101901E-3</v>
      </c>
      <c r="K61" s="15">
        <v>3.6625525147484001E-3</v>
      </c>
      <c r="L61" s="15">
        <v>0.14402293905508101</v>
      </c>
      <c r="M61" s="15">
        <v>5.6757361145953799E-7</v>
      </c>
      <c r="N61" s="16">
        <v>0</v>
      </c>
      <c r="O61" s="14">
        <v>3.14606052832022E-2</v>
      </c>
      <c r="P61" s="16">
        <v>5.0000964875139498E-2</v>
      </c>
      <c r="Q61" s="14">
        <v>0</v>
      </c>
      <c r="R61" s="15">
        <v>0</v>
      </c>
      <c r="S61" s="15">
        <v>1.0560274614816199E-2</v>
      </c>
      <c r="T61" s="15">
        <v>0</v>
      </c>
      <c r="U61" s="14">
        <v>6.3801580301512699E-3</v>
      </c>
      <c r="V61" s="16">
        <v>1.084626865125716E-2</v>
      </c>
      <c r="W61" s="14">
        <v>7.65480854039364E-2</v>
      </c>
      <c r="X61" s="15">
        <v>8.9823632175975096E-2</v>
      </c>
      <c r="Y61" s="16">
        <v>6.8293294798868906E-2</v>
      </c>
      <c r="Z61" s="14">
        <v>0.307698681980559</v>
      </c>
      <c r="AA61" s="15">
        <v>4.1381792011514901E-2</v>
      </c>
      <c r="AB61" s="16">
        <v>0</v>
      </c>
      <c r="AC61" s="28">
        <f t="shared" si="1"/>
        <v>0.38056945795584984</v>
      </c>
      <c r="AE61" s="25"/>
    </row>
    <row r="62" spans="1:32" x14ac:dyDescent="0.3">
      <c r="A62" s="17" t="s">
        <v>26</v>
      </c>
      <c r="B62">
        <v>1991</v>
      </c>
      <c r="C62" s="18">
        <v>3054.4960000000001</v>
      </c>
      <c r="D62" s="14">
        <v>2.6577216012068799E-3</v>
      </c>
      <c r="E62" s="16">
        <v>1.0004923889243901E-3</v>
      </c>
      <c r="F62" s="14">
        <v>3.6444637675086202E-3</v>
      </c>
      <c r="G62" s="16">
        <v>0</v>
      </c>
      <c r="H62" s="14">
        <v>0.19665142792788101</v>
      </c>
      <c r="I62" s="16">
        <v>4.8423700669439403E-3</v>
      </c>
      <c r="J62" s="14">
        <v>4.2363781127884902E-3</v>
      </c>
      <c r="K62" s="15">
        <v>2.2039642546593601E-3</v>
      </c>
      <c r="L62" s="15">
        <v>0.147728463222738</v>
      </c>
      <c r="M62" s="15">
        <v>1.6267822907609E-3</v>
      </c>
      <c r="N62" s="16">
        <v>0</v>
      </c>
      <c r="O62" s="14">
        <v>2.6593257938461901E-2</v>
      </c>
      <c r="P62" s="16">
        <v>8.8832003708631493E-2</v>
      </c>
      <c r="Q62" s="14">
        <v>1.5261254247980712E-3</v>
      </c>
      <c r="R62" s="15">
        <v>0</v>
      </c>
      <c r="S62" s="15">
        <v>1.3626619905364429E-2</v>
      </c>
      <c r="T62" s="15">
        <v>0</v>
      </c>
      <c r="U62" s="14">
        <v>1.3814457731276443E-2</v>
      </c>
      <c r="V62" s="16">
        <v>1.0906150840481401E-2</v>
      </c>
      <c r="W62" s="14">
        <v>0.13251122280075001</v>
      </c>
      <c r="X62" s="15">
        <v>4.3836364493520401E-2</v>
      </c>
      <c r="Y62" s="16">
        <v>5.5069314217468301E-2</v>
      </c>
      <c r="Z62" s="14">
        <v>0.238893748755932</v>
      </c>
      <c r="AA62" s="15">
        <v>9.7986705499041402E-3</v>
      </c>
      <c r="AB62" s="16">
        <v>0</v>
      </c>
      <c r="AC62" s="28">
        <f t="shared" si="1"/>
        <v>0.47635911129037367</v>
      </c>
      <c r="AE62" s="25"/>
    </row>
    <row r="63" spans="1:32" x14ac:dyDescent="0.3">
      <c r="A63" s="17" t="s">
        <v>26</v>
      </c>
      <c r="B63">
        <v>1992</v>
      </c>
      <c r="C63" s="18">
        <v>4152.125</v>
      </c>
      <c r="D63" s="14">
        <v>3.0442243429569201E-3</v>
      </c>
      <c r="E63" s="16">
        <v>1.44504320077069E-6</v>
      </c>
      <c r="F63" s="14">
        <v>9.7371827678598296E-4</v>
      </c>
      <c r="G63" s="16">
        <v>0</v>
      </c>
      <c r="H63" s="14">
        <v>0.186234277628925</v>
      </c>
      <c r="I63" s="16">
        <v>1.3190836017701801E-3</v>
      </c>
      <c r="J63" s="14">
        <v>4.4801156034560601E-3</v>
      </c>
      <c r="K63" s="15">
        <v>1.6721558238251501E-3</v>
      </c>
      <c r="L63" s="15">
        <v>0.10557076195923799</v>
      </c>
      <c r="M63" s="15">
        <v>2.0134268597404899E-4</v>
      </c>
      <c r="N63" s="16">
        <v>0</v>
      </c>
      <c r="O63" s="14">
        <v>1.12564048529367E-2</v>
      </c>
      <c r="P63" s="16">
        <v>7.0518830719210002E-2</v>
      </c>
      <c r="Q63" s="14">
        <v>0</v>
      </c>
      <c r="R63" s="15">
        <v>0</v>
      </c>
      <c r="S63" s="15">
        <v>1.16944937833037E-2</v>
      </c>
      <c r="T63" s="15">
        <v>0</v>
      </c>
      <c r="U63" s="14">
        <v>4.6171297829424706E-3</v>
      </c>
      <c r="V63" s="16">
        <v>5.1301442032694112E-4</v>
      </c>
      <c r="W63" s="14">
        <v>8.42585423126712E-2</v>
      </c>
      <c r="X63" s="15">
        <v>8.2967155372249204E-3</v>
      </c>
      <c r="Y63" s="16">
        <v>3.6934581690098403E-2</v>
      </c>
      <c r="Z63" s="14">
        <v>0.453160730951019</v>
      </c>
      <c r="AA63" s="15">
        <v>1.5252430984134599E-2</v>
      </c>
      <c r="AB63" s="16">
        <v>0</v>
      </c>
      <c r="AC63" s="28">
        <f t="shared" si="1"/>
        <v>0.38222669115212116</v>
      </c>
      <c r="AE63" s="25"/>
    </row>
    <row r="64" spans="1:32" x14ac:dyDescent="0.3">
      <c r="A64" s="17" t="s">
        <v>26</v>
      </c>
      <c r="B64">
        <v>1993</v>
      </c>
      <c r="C64" s="18">
        <v>2012.08</v>
      </c>
      <c r="D64" s="14">
        <v>2.02626138125721E-3</v>
      </c>
      <c r="E64" s="16">
        <v>0</v>
      </c>
      <c r="F64" s="14">
        <v>2.8328893483360498E-4</v>
      </c>
      <c r="G64" s="16">
        <v>0</v>
      </c>
      <c r="H64" s="14">
        <v>0.12523706810862401</v>
      </c>
      <c r="I64" s="16">
        <v>3.5485666573893699E-3</v>
      </c>
      <c r="J64" s="14">
        <v>1.60430996779452E-3</v>
      </c>
      <c r="K64" s="15">
        <v>3.3333664665420901E-3</v>
      </c>
      <c r="L64" s="15">
        <v>7.1515049103415398E-2</v>
      </c>
      <c r="M64" s="15">
        <v>1.9879925251481098E-6</v>
      </c>
      <c r="N64" s="16">
        <v>0</v>
      </c>
      <c r="O64" s="14">
        <v>1.11774879726452E-3</v>
      </c>
      <c r="P64" s="16">
        <v>7.7635084092083806E-2</v>
      </c>
      <c r="Q64" s="14">
        <v>4.547559573805704E-3</v>
      </c>
      <c r="R64" s="15">
        <v>0</v>
      </c>
      <c r="S64" s="15">
        <v>1.5312485752423896E-2</v>
      </c>
      <c r="T64" s="15">
        <v>0</v>
      </c>
      <c r="U64" s="14">
        <v>1.0568804421295394E-2</v>
      </c>
      <c r="V64" s="16">
        <v>2.4644745735756075E-3</v>
      </c>
      <c r="W64" s="14">
        <v>7.1086636714246004E-2</v>
      </c>
      <c r="X64" s="15">
        <v>0</v>
      </c>
      <c r="Y64" s="16">
        <v>1.0799769392867101E-2</v>
      </c>
      <c r="Z64" s="14">
        <v>0.57816289610751104</v>
      </c>
      <c r="AA64" s="15">
        <v>2.07546419625462E-2</v>
      </c>
      <c r="AB64" s="16">
        <v>0</v>
      </c>
      <c r="AC64" s="28">
        <f t="shared" si="1"/>
        <v>0.28427647012047241</v>
      </c>
      <c r="AE64" s="25"/>
    </row>
    <row r="65" spans="1:31" x14ac:dyDescent="0.3">
      <c r="A65" s="17" t="s">
        <v>26</v>
      </c>
      <c r="B65">
        <v>1994</v>
      </c>
      <c r="C65" s="18">
        <v>745.23500000000001</v>
      </c>
      <c r="D65" s="14">
        <v>4.7917770904479804E-3</v>
      </c>
      <c r="E65" s="16">
        <v>3.5451904432829899E-3</v>
      </c>
      <c r="F65" s="14">
        <v>5.3057089374492598E-3</v>
      </c>
      <c r="G65" s="16">
        <v>0</v>
      </c>
      <c r="H65" s="14">
        <v>9.7108965628291702E-2</v>
      </c>
      <c r="I65" s="16">
        <v>9.4601031889269801E-4</v>
      </c>
      <c r="J65" s="14">
        <v>3.9316457224902197E-3</v>
      </c>
      <c r="K65" s="15">
        <v>1.40358410434293E-3</v>
      </c>
      <c r="L65" s="15">
        <v>0.102370393231665</v>
      </c>
      <c r="M65" s="15">
        <v>2.13623890450663E-2</v>
      </c>
      <c r="N65" s="16">
        <v>0</v>
      </c>
      <c r="O65" s="14">
        <v>5.4676712714781202E-2</v>
      </c>
      <c r="P65" s="16">
        <v>2.7324266842002901E-2</v>
      </c>
      <c r="Q65" s="14">
        <v>1.1792010799511032E-2</v>
      </c>
      <c r="R65" s="15">
        <v>0</v>
      </c>
      <c r="S65" s="15">
        <v>4.3739465848794561E-2</v>
      </c>
      <c r="T65" s="15">
        <v>0</v>
      </c>
      <c r="U65" s="14">
        <v>6.8151740726079841E-3</v>
      </c>
      <c r="V65" s="16">
        <v>7.7238639489557153E-3</v>
      </c>
      <c r="W65" s="14">
        <v>1.52247277704348E-2</v>
      </c>
      <c r="X65" s="15">
        <v>3.2031506840124298E-2</v>
      </c>
      <c r="Y65" s="16">
        <v>5.6360745268271097E-2</v>
      </c>
      <c r="Z65" s="14">
        <v>0.50354586137258694</v>
      </c>
      <c r="AA65" s="15">
        <v>0</v>
      </c>
      <c r="AB65" s="16">
        <v>0</v>
      </c>
      <c r="AC65" s="28">
        <f t="shared" si="1"/>
        <v>0.31442967654498222</v>
      </c>
      <c r="AE65" s="25"/>
    </row>
    <row r="66" spans="1:31" x14ac:dyDescent="0.3">
      <c r="A66" s="17" t="s">
        <v>26</v>
      </c>
      <c r="B66">
        <v>1995</v>
      </c>
      <c r="C66" s="18">
        <v>2201.0929999999998</v>
      </c>
      <c r="D66" s="14">
        <v>6.4649699035888104E-4</v>
      </c>
      <c r="E66" s="16">
        <v>1.50379834018826E-4</v>
      </c>
      <c r="F66" s="14">
        <v>4.5431974023814502E-7</v>
      </c>
      <c r="G66" s="16">
        <v>0</v>
      </c>
      <c r="H66" s="14">
        <v>0.111775831371051</v>
      </c>
      <c r="I66" s="16">
        <v>4.3841854932980999E-3</v>
      </c>
      <c r="J66" s="14">
        <v>3.1075470232289098E-4</v>
      </c>
      <c r="K66" s="15">
        <v>2.4301562905338402E-3</v>
      </c>
      <c r="L66" s="15">
        <v>8.96881685598927E-2</v>
      </c>
      <c r="M66" s="15">
        <v>0</v>
      </c>
      <c r="N66" s="16">
        <v>0</v>
      </c>
      <c r="O66" s="14">
        <v>1.17927774973615E-2</v>
      </c>
      <c r="P66" s="16">
        <v>7.6552876230127497E-4</v>
      </c>
      <c r="Q66" s="14">
        <v>1.4863827501457986E-3</v>
      </c>
      <c r="R66" s="15">
        <v>0</v>
      </c>
      <c r="S66" s="15">
        <v>7.4319137507289921E-3</v>
      </c>
      <c r="T66" s="15">
        <v>0</v>
      </c>
      <c r="U66" s="14">
        <v>7.6912060273816992E-3</v>
      </c>
      <c r="V66" s="16">
        <v>1.0698294098237702E-2</v>
      </c>
      <c r="W66" s="14">
        <v>1.27981870825086E-2</v>
      </c>
      <c r="X66" s="15">
        <v>1.01617696299066E-2</v>
      </c>
      <c r="Y66" s="16">
        <v>2.29604110321554E-2</v>
      </c>
      <c r="Z66" s="14">
        <v>0.704368238870416</v>
      </c>
      <c r="AA66" s="15">
        <v>4.58862937640527E-4</v>
      </c>
      <c r="AB66" s="16">
        <v>0</v>
      </c>
      <c r="AC66" s="28">
        <f t="shared" si="1"/>
        <v>0.22114785699650152</v>
      </c>
      <c r="AE66" s="25"/>
    </row>
    <row r="67" spans="1:31" x14ac:dyDescent="0.3">
      <c r="A67" s="17" t="s">
        <v>26</v>
      </c>
      <c r="B67">
        <v>1996</v>
      </c>
      <c r="C67" s="18">
        <v>1700.6010000000001</v>
      </c>
      <c r="D67" s="14">
        <v>3.6845797456311002E-3</v>
      </c>
      <c r="E67" s="16">
        <v>1.17605481826719E-6</v>
      </c>
      <c r="F67" s="14">
        <v>3.36351678024416E-4</v>
      </c>
      <c r="G67" s="16">
        <v>0</v>
      </c>
      <c r="H67" s="14">
        <v>2.5780297671235099E-2</v>
      </c>
      <c r="I67" s="16">
        <v>4.6959868893408901E-3</v>
      </c>
      <c r="J67" s="14">
        <v>1.36645809334465E-2</v>
      </c>
      <c r="K67" s="15">
        <v>8.6087212697158195E-4</v>
      </c>
      <c r="L67" s="15">
        <v>0.16653818267777101</v>
      </c>
      <c r="M67" s="15">
        <v>4.4301985004125003E-3</v>
      </c>
      <c r="N67" s="16">
        <v>0</v>
      </c>
      <c r="O67" s="14">
        <v>1.46124811169698E-2</v>
      </c>
      <c r="P67" s="16">
        <v>4.2102762493965399E-4</v>
      </c>
      <c r="Q67" s="14">
        <v>0</v>
      </c>
      <c r="R67" s="15">
        <v>0</v>
      </c>
      <c r="S67" s="15">
        <v>2.0381618027979501E-2</v>
      </c>
      <c r="T67" s="15">
        <v>0</v>
      </c>
      <c r="U67" s="14">
        <v>8.2655595985883373E-3</v>
      </c>
      <c r="V67" s="16">
        <v>5.9895359410060416E-4</v>
      </c>
      <c r="W67" s="14">
        <v>4.6086060163436297E-2</v>
      </c>
      <c r="X67" s="15">
        <v>8.6581155720830503E-3</v>
      </c>
      <c r="Y67" s="16">
        <v>4.3444641041608202E-2</v>
      </c>
      <c r="Z67" s="14">
        <v>0.63695128957350999</v>
      </c>
      <c r="AA67" s="15">
        <v>5.8802740913359395E-4</v>
      </c>
      <c r="AB67" s="16">
        <v>0</v>
      </c>
      <c r="AC67" s="28">
        <f t="shared" si="1"/>
        <v>0.23133997921911145</v>
      </c>
      <c r="AE67" s="25"/>
    </row>
    <row r="68" spans="1:31" x14ac:dyDescent="0.3">
      <c r="A68" s="17" t="s">
        <v>26</v>
      </c>
      <c r="B68">
        <v>1997</v>
      </c>
      <c r="C68" s="18">
        <v>2293.5590000000002</v>
      </c>
      <c r="D68" s="14">
        <v>7.3946211978850301E-3</v>
      </c>
      <c r="E68" s="16">
        <v>0</v>
      </c>
      <c r="F68" s="14">
        <v>1.18898184001371E-3</v>
      </c>
      <c r="G68" s="16">
        <v>0</v>
      </c>
      <c r="H68" s="14">
        <v>9.9172944755290801E-2</v>
      </c>
      <c r="I68" s="16">
        <v>9.3775656087329799E-3</v>
      </c>
      <c r="J68" s="14">
        <v>1.7034660978854301E-3</v>
      </c>
      <c r="K68" s="15">
        <v>4.5745498589746299E-3</v>
      </c>
      <c r="L68" s="15">
        <v>0.14165888036889401</v>
      </c>
      <c r="M68" s="15">
        <v>1.07243807549751E-2</v>
      </c>
      <c r="N68" s="16">
        <v>1.7222142530451599E-4</v>
      </c>
      <c r="O68" s="14">
        <v>1.21448805110311E-2</v>
      </c>
      <c r="P68" s="16">
        <v>2.6583140002066699E-3</v>
      </c>
      <c r="Q68" s="14">
        <v>0</v>
      </c>
      <c r="R68" s="15">
        <v>0</v>
      </c>
      <c r="S68" s="15">
        <v>2.6437514796872501E-2</v>
      </c>
      <c r="T68" s="15">
        <v>0</v>
      </c>
      <c r="U68" s="14">
        <v>2.6005422321466864E-2</v>
      </c>
      <c r="V68" s="16">
        <v>3.6407591250053607E-4</v>
      </c>
      <c r="W68" s="14">
        <v>5.2987518524703299E-2</v>
      </c>
      <c r="X68" s="15">
        <v>2.2000306074533099E-2</v>
      </c>
      <c r="Y68" s="16">
        <v>3.8614223571314298E-2</v>
      </c>
      <c r="Z68" s="14">
        <v>0.54282013237941595</v>
      </c>
      <c r="AA68" s="15">
        <v>0</v>
      </c>
      <c r="AB68" s="16">
        <v>0</v>
      </c>
      <c r="AC68" s="28">
        <f t="shared" si="1"/>
        <v>0.28337618522130897</v>
      </c>
      <c r="AE68" s="25"/>
    </row>
    <row r="69" spans="1:31" x14ac:dyDescent="0.3">
      <c r="A69" s="17" t="s">
        <v>26</v>
      </c>
      <c r="B69">
        <v>1998</v>
      </c>
      <c r="C69" s="18">
        <v>3277.12</v>
      </c>
      <c r="D69" s="14">
        <v>4.4404843277023702E-3</v>
      </c>
      <c r="E69" s="16">
        <v>0</v>
      </c>
      <c r="F69" s="14">
        <v>1.3456937799043099E-4</v>
      </c>
      <c r="G69" s="16">
        <v>0</v>
      </c>
      <c r="H69" s="14">
        <v>3.9662874719265696E-3</v>
      </c>
      <c r="I69" s="16">
        <v>1.48392490967679E-3</v>
      </c>
      <c r="J69" s="14">
        <v>2.6138804804218302E-3</v>
      </c>
      <c r="K69" s="15">
        <v>2.4899912117957198E-4</v>
      </c>
      <c r="L69" s="15">
        <v>4.7052594961429599E-2</v>
      </c>
      <c r="M69" s="15">
        <v>3.0047724831559399E-3</v>
      </c>
      <c r="N69" s="16">
        <v>2.20162825895909E-3</v>
      </c>
      <c r="O69" s="14">
        <v>3.1094375549262798E-4</v>
      </c>
      <c r="P69" s="16">
        <v>3.6617517820525301E-6</v>
      </c>
      <c r="Q69" s="14">
        <v>0</v>
      </c>
      <c r="R69" s="15">
        <v>0</v>
      </c>
      <c r="S69" s="15">
        <v>1.26159554730983E-2</v>
      </c>
      <c r="T69" s="15">
        <v>0</v>
      </c>
      <c r="U69" s="14">
        <v>1.5423023444838526E-3</v>
      </c>
      <c r="V69" s="16">
        <v>2.2388259839281732E-4</v>
      </c>
      <c r="W69" s="14">
        <v>4.3900131823064202E-2</v>
      </c>
      <c r="X69" s="15">
        <v>2.2718118347817601E-3</v>
      </c>
      <c r="Y69" s="16">
        <v>7.1925959378966904E-3</v>
      </c>
      <c r="Z69" s="14">
        <v>0.86224184649936497</v>
      </c>
      <c r="AA69" s="15">
        <v>4.5497265892002698E-3</v>
      </c>
      <c r="AB69" s="16">
        <v>0</v>
      </c>
      <c r="AC69" s="28">
        <f t="shared" si="1"/>
        <v>6.1021262572014505E-2</v>
      </c>
      <c r="AE69" s="25"/>
    </row>
    <row r="70" spans="1:31" x14ac:dyDescent="0.3">
      <c r="A70" s="17" t="s">
        <v>26</v>
      </c>
      <c r="B70">
        <v>1999</v>
      </c>
      <c r="C70" s="18">
        <v>3310.2330000000002</v>
      </c>
      <c r="D70" s="14">
        <v>1.1896443543400099E-3</v>
      </c>
      <c r="E70" s="16">
        <v>0</v>
      </c>
      <c r="F70" s="14">
        <v>1.4153082275477299E-3</v>
      </c>
      <c r="G70" s="16">
        <v>0</v>
      </c>
      <c r="H70" s="14">
        <v>3.9900514555924003E-3</v>
      </c>
      <c r="I70" s="16">
        <v>1.4437050201602099E-2</v>
      </c>
      <c r="J70" s="14">
        <v>3.0822603726082102E-3</v>
      </c>
      <c r="K70" s="15">
        <v>1.05732738450737E-3</v>
      </c>
      <c r="L70" s="15">
        <v>0.101002859919528</v>
      </c>
      <c r="M70" s="15">
        <v>4.6658347010618299E-3</v>
      </c>
      <c r="N70" s="16">
        <v>2.9605166766206499E-4</v>
      </c>
      <c r="O70" s="14">
        <v>0</v>
      </c>
      <c r="P70" s="16">
        <v>0</v>
      </c>
      <c r="Q70" s="14">
        <v>0</v>
      </c>
      <c r="R70" s="15">
        <v>0</v>
      </c>
      <c r="S70" s="15">
        <v>1.6380720027865101E-2</v>
      </c>
      <c r="T70" s="15">
        <v>0</v>
      </c>
      <c r="U70" s="14">
        <v>3.6784648206053387E-3</v>
      </c>
      <c r="V70" s="16">
        <v>4.0070422882411096E-4</v>
      </c>
      <c r="W70" s="14">
        <v>0.123404606261855</v>
      </c>
      <c r="X70" s="15">
        <v>6.8680965962214704E-3</v>
      </c>
      <c r="Y70" s="16">
        <v>9.5283322956420304E-3</v>
      </c>
      <c r="Z70" s="14">
        <v>0.705394454106403</v>
      </c>
      <c r="AA70" s="15">
        <v>3.2082333781338099E-3</v>
      </c>
      <c r="AB70" s="16">
        <v>0</v>
      </c>
      <c r="AC70" s="28">
        <f t="shared" si="1"/>
        <v>0.12994674393010969</v>
      </c>
      <c r="AE70" s="25"/>
    </row>
    <row r="71" spans="1:31" x14ac:dyDescent="0.3">
      <c r="A71" s="17" t="s">
        <v>26</v>
      </c>
      <c r="B71">
        <v>2000</v>
      </c>
      <c r="C71" s="18">
        <v>3650.1219999999998</v>
      </c>
      <c r="D71" s="14">
        <v>1.51803145209941E-3</v>
      </c>
      <c r="E71" s="16">
        <v>2.8766161788564901E-5</v>
      </c>
      <c r="F71" s="14">
        <v>0</v>
      </c>
      <c r="G71" s="16">
        <v>0</v>
      </c>
      <c r="H71" s="14">
        <v>4.2684874642546201E-2</v>
      </c>
      <c r="I71" s="16">
        <v>1.8411713361909499E-2</v>
      </c>
      <c r="J71" s="14">
        <v>2.4582739974170699E-3</v>
      </c>
      <c r="K71" s="15">
        <v>8.7120375702510802E-5</v>
      </c>
      <c r="L71" s="15">
        <v>4.1159994104306701E-2</v>
      </c>
      <c r="M71" s="15">
        <v>1.72761348798752E-3</v>
      </c>
      <c r="N71" s="16">
        <v>2.7034712812338902E-3</v>
      </c>
      <c r="O71" s="14">
        <v>0</v>
      </c>
      <c r="P71" s="16">
        <v>0</v>
      </c>
      <c r="Q71" s="14">
        <v>0</v>
      </c>
      <c r="R71" s="15">
        <v>0</v>
      </c>
      <c r="S71" s="15">
        <v>1.7692285353749799E-2</v>
      </c>
      <c r="T71" s="15">
        <v>0</v>
      </c>
      <c r="U71" s="14">
        <v>1.4715363291180065E-6</v>
      </c>
      <c r="V71" s="16">
        <v>4.4620779011965357E-7</v>
      </c>
      <c r="W71" s="14">
        <v>3.7550525708455802E-2</v>
      </c>
      <c r="X71" s="15">
        <v>3.56042893908752E-3</v>
      </c>
      <c r="Y71" s="16">
        <v>1.2499856169191101E-2</v>
      </c>
      <c r="Z71" s="14">
        <v>0.81764116377480001</v>
      </c>
      <c r="AA71" s="15">
        <v>2.7396344560538002E-4</v>
      </c>
      <c r="AB71" s="16">
        <v>0</v>
      </c>
      <c r="AC71" s="28">
        <f t="shared" si="1"/>
        <v>0.10923306125110338</v>
      </c>
      <c r="AE71" s="25"/>
    </row>
    <row r="72" spans="1:31" x14ac:dyDescent="0.3">
      <c r="A72" s="17" t="s">
        <v>26</v>
      </c>
      <c r="B72">
        <v>2001</v>
      </c>
      <c r="C72" s="18">
        <v>3354.5349999999999</v>
      </c>
      <c r="D72" s="14">
        <v>1.3143401395424401E-3</v>
      </c>
      <c r="E72" s="16">
        <v>6.3078787372914595E-4</v>
      </c>
      <c r="F72" s="14">
        <v>1.5590834497180699E-4</v>
      </c>
      <c r="G72" s="16">
        <v>0</v>
      </c>
      <c r="H72" s="14">
        <v>5.11746039316925E-2</v>
      </c>
      <c r="I72" s="16">
        <v>2.2230502886391099E-2</v>
      </c>
      <c r="J72" s="14">
        <v>2.8239383401872402E-3</v>
      </c>
      <c r="K72" s="15">
        <v>3.5504175690520399E-4</v>
      </c>
      <c r="L72" s="15">
        <v>8.4628719032593197E-2</v>
      </c>
      <c r="M72" s="15">
        <v>1.2654510982893299E-3</v>
      </c>
      <c r="N72" s="16">
        <v>2.0846406431889999E-3</v>
      </c>
      <c r="O72" s="14">
        <v>5.4254911634548503E-5</v>
      </c>
      <c r="P72" s="16">
        <v>0</v>
      </c>
      <c r="Q72" s="14">
        <v>0</v>
      </c>
      <c r="R72" s="15">
        <v>0</v>
      </c>
      <c r="S72" s="15">
        <v>0.16038914484421801</v>
      </c>
      <c r="T72" s="15">
        <v>0</v>
      </c>
      <c r="U72" s="14">
        <v>1.7562466889156621E-3</v>
      </c>
      <c r="V72" s="16">
        <v>5.8446521303199791E-4</v>
      </c>
      <c r="W72" s="14">
        <v>8.3924299493074297E-2</v>
      </c>
      <c r="X72" s="15">
        <v>9.2140937566607597E-3</v>
      </c>
      <c r="Y72" s="16">
        <v>4.8681560931693998E-2</v>
      </c>
      <c r="Z72" s="14">
        <v>0.52843389620320003</v>
      </c>
      <c r="AA72" s="15">
        <v>2.98103910079937E-4</v>
      </c>
      <c r="AB72" s="16">
        <v>0</v>
      </c>
      <c r="AC72" s="28">
        <f t="shared" si="1"/>
        <v>0.16477306094585392</v>
      </c>
      <c r="AE72" s="25"/>
    </row>
    <row r="73" spans="1:31" x14ac:dyDescent="0.3">
      <c r="A73" s="17" t="s">
        <v>26</v>
      </c>
      <c r="B73">
        <v>2002</v>
      </c>
      <c r="C73" s="18">
        <v>5074.2169999999996</v>
      </c>
      <c r="D73" s="14">
        <v>2.6439547224724499E-3</v>
      </c>
      <c r="E73" s="16">
        <v>5.1436507346847802E-5</v>
      </c>
      <c r="F73" s="14">
        <v>1.1686532128996499E-3</v>
      </c>
      <c r="G73" s="16">
        <v>0</v>
      </c>
      <c r="H73" s="14">
        <v>8.1346540756928598E-2</v>
      </c>
      <c r="I73" s="16">
        <v>4.2672987773286E-2</v>
      </c>
      <c r="J73" s="14">
        <v>1.22304584135838E-3</v>
      </c>
      <c r="K73" s="15">
        <v>1.5765979263401599E-6</v>
      </c>
      <c r="L73" s="15">
        <v>3.7758534962142903E-2</v>
      </c>
      <c r="M73" s="15">
        <v>5.4315769309826499E-3</v>
      </c>
      <c r="N73" s="16">
        <v>2.0777589921755399E-3</v>
      </c>
      <c r="O73" s="14">
        <v>1.0573059843518699E-3</v>
      </c>
      <c r="P73" s="16">
        <v>0</v>
      </c>
      <c r="Q73" s="14">
        <v>0</v>
      </c>
      <c r="R73" s="15">
        <v>0</v>
      </c>
      <c r="S73" s="15">
        <v>5.3054096819272797E-2</v>
      </c>
      <c r="T73" s="15">
        <v>0</v>
      </c>
      <c r="U73" s="14">
        <v>4.1428699268622428E-3</v>
      </c>
      <c r="V73" s="16">
        <v>1.6436386122877374E-3</v>
      </c>
      <c r="W73" s="14">
        <v>8.0125268588237403E-2</v>
      </c>
      <c r="X73" s="15">
        <v>2.7870309842878199E-3</v>
      </c>
      <c r="Y73" s="16">
        <v>2.8021072019584502E-2</v>
      </c>
      <c r="Z73" s="14">
        <v>0.65479265076759596</v>
      </c>
      <c r="AA73" s="15">
        <v>0</v>
      </c>
      <c r="AB73" s="16">
        <v>0</v>
      </c>
      <c r="AC73" s="28">
        <f t="shared" si="1"/>
        <v>0.17273798105205193</v>
      </c>
      <c r="AE73" s="25"/>
    </row>
    <row r="74" spans="1:31" x14ac:dyDescent="0.3">
      <c r="A74" s="17" t="s">
        <v>26</v>
      </c>
      <c r="B74">
        <v>2003</v>
      </c>
      <c r="C74" s="18">
        <v>4985.4740000000002</v>
      </c>
      <c r="D74" s="14">
        <v>1.6680460072602901E-3</v>
      </c>
      <c r="E74" s="16">
        <v>1.00291366477892E-6</v>
      </c>
      <c r="F74" s="14">
        <v>2.6837969669483801E-4</v>
      </c>
      <c r="G74" s="16">
        <v>0</v>
      </c>
      <c r="H74" s="14">
        <v>5.4377978904312799E-2</v>
      </c>
      <c r="I74" s="16">
        <v>2.48140898939599E-2</v>
      </c>
      <c r="J74" s="14">
        <v>4.7802876918022199E-3</v>
      </c>
      <c r="K74" s="15">
        <v>0</v>
      </c>
      <c r="L74" s="15">
        <v>3.0092424511691401E-2</v>
      </c>
      <c r="M74" s="15">
        <v>4.7136942244609004E-3</v>
      </c>
      <c r="N74" s="16">
        <v>1.4766900800204799E-3</v>
      </c>
      <c r="O74" s="14">
        <v>0</v>
      </c>
      <c r="P74" s="16">
        <v>0</v>
      </c>
      <c r="Q74" s="14">
        <v>0</v>
      </c>
      <c r="R74" s="15">
        <v>0</v>
      </c>
      <c r="S74" s="15">
        <v>6.0411708094355698E-2</v>
      </c>
      <c r="T74" s="15">
        <v>0</v>
      </c>
      <c r="U74" s="14">
        <v>1.8404202933096302E-3</v>
      </c>
      <c r="V74" s="16">
        <v>8.0165546518394938E-4</v>
      </c>
      <c r="W74" s="14">
        <v>7.7573366143319597E-2</v>
      </c>
      <c r="X74" s="15">
        <v>2.50628124828251E-3</v>
      </c>
      <c r="Y74" s="16">
        <v>1.7109305955662402E-2</v>
      </c>
      <c r="Z74" s="14">
        <v>0.66165824954658303</v>
      </c>
      <c r="AA74" s="15">
        <v>5.5906419329435901E-2</v>
      </c>
      <c r="AB74" s="16">
        <v>0</v>
      </c>
      <c r="AC74" s="28">
        <f t="shared" si="1"/>
        <v>0.12052354500294254</v>
      </c>
      <c r="AE74" s="25"/>
    </row>
    <row r="75" spans="1:31" x14ac:dyDescent="0.3">
      <c r="A75" s="17" t="s">
        <v>26</v>
      </c>
      <c r="B75">
        <v>2004</v>
      </c>
      <c r="C75" s="18">
        <v>6910.93</v>
      </c>
      <c r="D75" s="14">
        <v>1.42904066457047E-3</v>
      </c>
      <c r="E75" s="16">
        <v>0</v>
      </c>
      <c r="F75" s="14">
        <v>1.5604267443021401E-3</v>
      </c>
      <c r="G75" s="16">
        <v>0</v>
      </c>
      <c r="H75" s="14">
        <v>5.0954647203777202E-2</v>
      </c>
      <c r="I75" s="16">
        <v>2.5150450084142101E-2</v>
      </c>
      <c r="J75" s="14">
        <v>3.1170913321361998E-3</v>
      </c>
      <c r="K75" s="15">
        <v>0</v>
      </c>
      <c r="L75" s="15">
        <v>2.73065998353333E-2</v>
      </c>
      <c r="M75" s="15">
        <v>8.6269141779760495E-4</v>
      </c>
      <c r="N75" s="16">
        <v>1.74940275766069E-4</v>
      </c>
      <c r="O75" s="14">
        <v>0</v>
      </c>
      <c r="P75" s="16">
        <v>0</v>
      </c>
      <c r="Q75" s="14">
        <v>0</v>
      </c>
      <c r="R75" s="15">
        <v>0</v>
      </c>
      <c r="S75" s="15">
        <v>4.6251662222016397E-2</v>
      </c>
      <c r="T75" s="15">
        <v>0</v>
      </c>
      <c r="U75" s="14">
        <v>5.9794731152708527E-3</v>
      </c>
      <c r="V75" s="16">
        <v>6.3179338576446753E-4</v>
      </c>
      <c r="W75" s="14">
        <v>6.2416056883805797E-2</v>
      </c>
      <c r="X75" s="15">
        <v>6.9542015329340605E-4</v>
      </c>
      <c r="Y75" s="16">
        <v>1.18167887679372E-2</v>
      </c>
      <c r="Z75" s="14">
        <v>0.75801086105632698</v>
      </c>
      <c r="AA75" s="15">
        <v>3.6420568577601002E-3</v>
      </c>
      <c r="AB75" s="16">
        <v>0</v>
      </c>
      <c r="AC75" s="28">
        <f t="shared" si="1"/>
        <v>0.10912684689325461</v>
      </c>
      <c r="AE75" s="25"/>
    </row>
    <row r="76" spans="1:31" x14ac:dyDescent="0.3">
      <c r="A76" s="17" t="s">
        <v>26</v>
      </c>
      <c r="B76">
        <v>2005</v>
      </c>
      <c r="C76" s="18">
        <v>5115.5389999999998</v>
      </c>
      <c r="D76" s="14">
        <v>2.5451863430227002E-4</v>
      </c>
      <c r="E76" s="16">
        <v>0</v>
      </c>
      <c r="F76" s="14">
        <v>1.0841477310602099E-3</v>
      </c>
      <c r="G76" s="16">
        <v>0</v>
      </c>
      <c r="H76" s="14">
        <v>6.0525782327140898E-2</v>
      </c>
      <c r="I76" s="16">
        <v>8.6498607478117107E-2</v>
      </c>
      <c r="J76" s="14">
        <v>2.63014317748335E-2</v>
      </c>
      <c r="K76" s="15">
        <v>0</v>
      </c>
      <c r="L76" s="15">
        <v>8.8802177053092499E-2</v>
      </c>
      <c r="M76" s="15">
        <v>1.9828018122821499E-2</v>
      </c>
      <c r="N76" s="16">
        <v>2.22733127437793E-3</v>
      </c>
      <c r="O76" s="14">
        <v>8.4370385994515904E-4</v>
      </c>
      <c r="P76" s="16">
        <v>0</v>
      </c>
      <c r="Q76" s="14">
        <v>0</v>
      </c>
      <c r="R76" s="15">
        <v>0</v>
      </c>
      <c r="S76" s="15">
        <v>4.6816767499964301E-2</v>
      </c>
      <c r="T76" s="15">
        <v>0</v>
      </c>
      <c r="U76" s="14">
        <v>2.5916067471723311E-2</v>
      </c>
      <c r="V76" s="16">
        <v>1.269728590040687E-3</v>
      </c>
      <c r="W76" s="14">
        <v>2.97057651207429E-2</v>
      </c>
      <c r="X76" s="15">
        <v>6.3387259876232002E-3</v>
      </c>
      <c r="Y76" s="16">
        <v>1.39367523148587E-2</v>
      </c>
      <c r="Z76" s="14">
        <v>0.58965047475935595</v>
      </c>
      <c r="AA76" s="15">
        <v>0</v>
      </c>
      <c r="AB76" s="16">
        <v>0</v>
      </c>
      <c r="AC76" s="28">
        <f t="shared" si="1"/>
        <v>0.28611119962138876</v>
      </c>
      <c r="AE76" s="25"/>
    </row>
    <row r="77" spans="1:31" x14ac:dyDescent="0.3">
      <c r="A77" s="17" t="s">
        <v>26</v>
      </c>
      <c r="B77">
        <v>2006</v>
      </c>
      <c r="C77" s="18">
        <v>2963.0630000000001</v>
      </c>
      <c r="D77" s="14">
        <v>1.85618733047526E-4</v>
      </c>
      <c r="E77" s="16">
        <v>0</v>
      </c>
      <c r="F77" s="14">
        <v>4.1052113978001801E-3</v>
      </c>
      <c r="G77" s="16">
        <v>0</v>
      </c>
      <c r="H77" s="14">
        <v>7.2087228654942506E-2</v>
      </c>
      <c r="I77" s="16">
        <v>3.8850675804058203E-2</v>
      </c>
      <c r="J77" s="14">
        <v>1.11789725699386E-2</v>
      </c>
      <c r="K77" s="15">
        <v>0</v>
      </c>
      <c r="L77" s="15">
        <v>7.0580004542596594E-2</v>
      </c>
      <c r="M77" s="15">
        <v>3.68368812947953E-3</v>
      </c>
      <c r="N77" s="16">
        <v>0</v>
      </c>
      <c r="O77" s="14">
        <v>2.22742479657031E-5</v>
      </c>
      <c r="P77" s="16">
        <v>0</v>
      </c>
      <c r="Q77" s="14">
        <v>0</v>
      </c>
      <c r="R77" s="15">
        <v>0</v>
      </c>
      <c r="S77" s="15">
        <v>4.2821566736853001E-2</v>
      </c>
      <c r="T77" s="15">
        <v>0</v>
      </c>
      <c r="U77" s="14">
        <v>5.4270025854319514E-3</v>
      </c>
      <c r="V77" s="16">
        <v>5.9548158044639865E-4</v>
      </c>
      <c r="W77" s="14">
        <v>2.5696044937282801E-2</v>
      </c>
      <c r="X77" s="15">
        <v>2.02830651930114E-3</v>
      </c>
      <c r="Y77" s="16">
        <v>1.4305129523064499E-2</v>
      </c>
      <c r="Z77" s="14">
        <v>0.69947247156067904</v>
      </c>
      <c r="AA77" s="15">
        <v>8.9603224771123702E-3</v>
      </c>
      <c r="AB77" s="16">
        <v>0</v>
      </c>
      <c r="AC77" s="28">
        <f t="shared" si="1"/>
        <v>0.20050805534678132</v>
      </c>
      <c r="AE77" s="25"/>
    </row>
    <row r="78" spans="1:31" x14ac:dyDescent="0.3">
      <c r="A78" s="17" t="s">
        <v>26</v>
      </c>
      <c r="B78">
        <v>2007</v>
      </c>
      <c r="C78" s="18">
        <v>2827.8580000000002</v>
      </c>
      <c r="D78" s="14">
        <v>2.8961850276781903E-4</v>
      </c>
      <c r="E78" s="16">
        <v>0</v>
      </c>
      <c r="F78" s="14">
        <v>1.81091129752626E-3</v>
      </c>
      <c r="G78" s="16">
        <v>0</v>
      </c>
      <c r="H78" s="14">
        <v>5.4133552674851398E-2</v>
      </c>
      <c r="I78" s="16">
        <v>3.6699508956956103E-2</v>
      </c>
      <c r="J78" s="14">
        <v>0</v>
      </c>
      <c r="K78" s="15">
        <v>0</v>
      </c>
      <c r="L78" s="15">
        <v>0.13069538852375201</v>
      </c>
      <c r="M78" s="15">
        <v>0</v>
      </c>
      <c r="N78" s="16">
        <v>0</v>
      </c>
      <c r="O78" s="14">
        <v>3.81914509144377E-5</v>
      </c>
      <c r="P78" s="16">
        <v>0</v>
      </c>
      <c r="Q78" s="14">
        <v>0</v>
      </c>
      <c r="R78" s="15">
        <v>0</v>
      </c>
      <c r="S78" s="15">
        <v>4.1399532791250498E-2</v>
      </c>
      <c r="T78" s="15">
        <v>0</v>
      </c>
      <c r="U78" s="14">
        <v>1.3041147167106359E-2</v>
      </c>
      <c r="V78" s="16">
        <v>3.7705173507018392E-3</v>
      </c>
      <c r="W78" s="14">
        <v>2.00473291091703E-2</v>
      </c>
      <c r="X78" s="15">
        <v>4.1706478896748004E-3</v>
      </c>
      <c r="Y78" s="16">
        <v>1.19030022016664E-2</v>
      </c>
      <c r="Z78" s="14">
        <v>0.68094685093805996</v>
      </c>
      <c r="AA78" s="15">
        <v>1.0538011456020799E-3</v>
      </c>
      <c r="AB78" s="16">
        <v>0</v>
      </c>
      <c r="AC78" s="28">
        <f t="shared" si="1"/>
        <v>0.22337755290400022</v>
      </c>
      <c r="AE78" s="25"/>
    </row>
    <row r="79" spans="1:31" x14ac:dyDescent="0.3">
      <c r="A79" s="17" t="s">
        <v>26</v>
      </c>
      <c r="B79">
        <v>2008</v>
      </c>
      <c r="C79" s="18">
        <v>3354.107</v>
      </c>
      <c r="D79" s="14">
        <v>2.4173349270014302E-3</v>
      </c>
      <c r="E79" s="16">
        <v>0</v>
      </c>
      <c r="F79" s="14">
        <v>0</v>
      </c>
      <c r="G79" s="16">
        <v>0</v>
      </c>
      <c r="H79" s="14">
        <v>9.01775047725073E-2</v>
      </c>
      <c r="I79" s="16">
        <v>4.6868808896078799E-2</v>
      </c>
      <c r="J79" s="14">
        <v>0</v>
      </c>
      <c r="K79" s="15">
        <v>0</v>
      </c>
      <c r="L79" s="15">
        <v>0.16520910036561101</v>
      </c>
      <c r="M79" s="15">
        <v>7.5230158131508601E-3</v>
      </c>
      <c r="N79" s="16">
        <v>0</v>
      </c>
      <c r="O79" s="14">
        <v>4.2723741371399298E-4</v>
      </c>
      <c r="P79" s="16">
        <v>0</v>
      </c>
      <c r="Q79" s="14">
        <v>1.9304069765894028E-3</v>
      </c>
      <c r="R79" s="15">
        <v>0</v>
      </c>
      <c r="S79" s="15">
        <v>8.0645968791983297E-2</v>
      </c>
      <c r="T79" s="15">
        <v>0</v>
      </c>
      <c r="U79" s="14">
        <v>5.903662954514958E-3</v>
      </c>
      <c r="V79" s="16">
        <v>1.8784382128002142E-3</v>
      </c>
      <c r="W79" s="14">
        <v>3.5151830278521201E-2</v>
      </c>
      <c r="X79" s="15">
        <v>7.3515841921560597E-3</v>
      </c>
      <c r="Y79" s="16">
        <v>2.1178811528672199E-2</v>
      </c>
      <c r="Z79" s="14">
        <v>0.52814564353492599</v>
      </c>
      <c r="AA79" s="15">
        <v>5.1906513417729399E-3</v>
      </c>
      <c r="AB79" s="16">
        <v>0</v>
      </c>
      <c r="AC79" s="28">
        <f t="shared" si="1"/>
        <v>0.31020566726106191</v>
      </c>
      <c r="AE79" s="25"/>
    </row>
    <row r="80" spans="1:31" x14ac:dyDescent="0.3">
      <c r="A80" s="17" t="s">
        <v>26</v>
      </c>
      <c r="B80">
        <v>2009</v>
      </c>
      <c r="C80" s="18">
        <v>3472.7130000000002</v>
      </c>
      <c r="D80" s="14">
        <v>3.2856155979489197E-4</v>
      </c>
      <c r="E80" s="16">
        <v>0</v>
      </c>
      <c r="F80" s="14">
        <v>2.35550706320966E-4</v>
      </c>
      <c r="G80" s="16">
        <v>0</v>
      </c>
      <c r="H80" s="14">
        <v>1.7649313375450299E-2</v>
      </c>
      <c r="I80" s="16">
        <v>2.9001820766645599E-2</v>
      </c>
      <c r="J80" s="14">
        <v>6.2766488333473001E-3</v>
      </c>
      <c r="K80" s="15">
        <v>0</v>
      </c>
      <c r="L80" s="15">
        <v>0.15733635345045799</v>
      </c>
      <c r="M80" s="15">
        <v>8.3179923016961105E-3</v>
      </c>
      <c r="N80" s="16">
        <v>0</v>
      </c>
      <c r="O80" s="14">
        <v>2.5541989792994698E-4</v>
      </c>
      <c r="P80" s="16">
        <v>0</v>
      </c>
      <c r="Q80" s="14">
        <v>0</v>
      </c>
      <c r="R80" s="15">
        <v>0</v>
      </c>
      <c r="S80" s="15">
        <v>0.121560002223046</v>
      </c>
      <c r="T80" s="15">
        <v>0</v>
      </c>
      <c r="U80" s="14">
        <v>2.5981424429209032E-2</v>
      </c>
      <c r="V80" s="16">
        <v>3.0526477788887897E-3</v>
      </c>
      <c r="W80" s="14">
        <v>1.17660169441011E-2</v>
      </c>
      <c r="X80" s="15">
        <v>6.8721486630193701E-3</v>
      </c>
      <c r="Y80" s="16">
        <v>1.4869930224582301E-2</v>
      </c>
      <c r="Z80" s="14">
        <v>0.58554219712369004</v>
      </c>
      <c r="AA80" s="15">
        <v>1.0953971721821E-2</v>
      </c>
      <c r="AB80" s="16">
        <v>0</v>
      </c>
      <c r="AC80" s="28">
        <f t="shared" si="1"/>
        <v>0.21907309933184824</v>
      </c>
      <c r="AE80" s="25"/>
    </row>
    <row r="81" spans="1:31" x14ac:dyDescent="0.3">
      <c r="A81" s="17" t="s">
        <v>26</v>
      </c>
      <c r="B81">
        <v>2010</v>
      </c>
      <c r="C81" s="18">
        <v>7346.59</v>
      </c>
      <c r="D81" s="14">
        <v>1.6163961783630201E-3</v>
      </c>
      <c r="E81" s="16">
        <v>0</v>
      </c>
      <c r="F81" s="14">
        <v>4.5163810693124302E-4</v>
      </c>
      <c r="G81" s="16">
        <v>0</v>
      </c>
      <c r="H81" s="14">
        <v>2.31725194954394E-2</v>
      </c>
      <c r="I81" s="16">
        <v>2.6817475862951402E-2</v>
      </c>
      <c r="J81" s="14">
        <v>1.5907788511404598E-2</v>
      </c>
      <c r="K81" s="15">
        <v>0</v>
      </c>
      <c r="L81" s="15">
        <v>0.16302338908255401</v>
      </c>
      <c r="M81" s="15">
        <v>3.4765789298164202E-3</v>
      </c>
      <c r="N81" s="16">
        <v>0</v>
      </c>
      <c r="O81" s="14">
        <v>8.4120660061334597E-5</v>
      </c>
      <c r="P81" s="16">
        <v>3.0354218759996101E-5</v>
      </c>
      <c r="Q81" s="14">
        <v>8.4204896634364603E-4</v>
      </c>
      <c r="R81" s="15">
        <v>0</v>
      </c>
      <c r="S81" s="15">
        <v>5.2867495189516452E-2</v>
      </c>
      <c r="T81" s="15">
        <v>0</v>
      </c>
      <c r="U81" s="14">
        <v>1.2472628443258386E-2</v>
      </c>
      <c r="V81" s="16">
        <v>5.9288902811263449E-4</v>
      </c>
      <c r="W81" s="14">
        <v>2.7954465949508501E-2</v>
      </c>
      <c r="X81" s="15">
        <v>6.9598276207056596E-3</v>
      </c>
      <c r="Y81" s="16">
        <v>1.3902912779942799E-2</v>
      </c>
      <c r="Z81" s="14">
        <v>0.64465772555702705</v>
      </c>
      <c r="AA81" s="15">
        <v>4.1025836476514897E-3</v>
      </c>
      <c r="AB81" s="16">
        <v>1.06716177165188E-3</v>
      </c>
      <c r="AC81" s="28">
        <f t="shared" si="1"/>
        <v>0.2329638648679184</v>
      </c>
      <c r="AE81" s="25"/>
    </row>
    <row r="82" spans="1:31" x14ac:dyDescent="0.3">
      <c r="A82" s="17" t="s">
        <v>26</v>
      </c>
      <c r="B82">
        <v>2011</v>
      </c>
      <c r="C82" s="18">
        <v>6732.2089999999998</v>
      </c>
      <c r="D82" s="14">
        <v>1.48539654666098E-6</v>
      </c>
      <c r="E82" s="16">
        <v>0</v>
      </c>
      <c r="F82" s="14">
        <v>7.7121788702638305E-4</v>
      </c>
      <c r="G82" s="16">
        <v>0</v>
      </c>
      <c r="H82" s="14">
        <v>3.12193219194472E-2</v>
      </c>
      <c r="I82" s="16">
        <v>3.2856525993177003E-2</v>
      </c>
      <c r="J82" s="14">
        <v>5.3298998887289402E-3</v>
      </c>
      <c r="K82" s="15">
        <v>0</v>
      </c>
      <c r="L82" s="15">
        <v>0.13775329910286499</v>
      </c>
      <c r="M82" s="15">
        <v>1.9980068949136901E-3</v>
      </c>
      <c r="N82" s="16">
        <v>3.6245161135074699E-3</v>
      </c>
      <c r="O82" s="14">
        <v>5.17363617202021E-4</v>
      </c>
      <c r="P82" s="16">
        <v>1.15860930639557E-5</v>
      </c>
      <c r="Q82" s="14">
        <v>2.4040458159933368E-3</v>
      </c>
      <c r="R82" s="15">
        <v>0</v>
      </c>
      <c r="S82" s="15">
        <v>2.4184700908892964E-2</v>
      </c>
      <c r="T82" s="15">
        <v>0</v>
      </c>
      <c r="U82" s="14">
        <v>6.6900567044956803E-3</v>
      </c>
      <c r="V82" s="16">
        <v>6.7536732807142209E-3</v>
      </c>
      <c r="W82" s="14">
        <v>1.4631750143229399E-2</v>
      </c>
      <c r="X82" s="15">
        <v>7.3160236112693499E-3</v>
      </c>
      <c r="Y82" s="16">
        <v>1.8691487444908499E-2</v>
      </c>
      <c r="Z82" s="14">
        <v>0.70524503918401804</v>
      </c>
      <c r="AA82" s="15">
        <v>0</v>
      </c>
      <c r="AB82" s="16">
        <v>0</v>
      </c>
      <c r="AC82" s="28">
        <f t="shared" si="1"/>
        <v>0.21408173750993165</v>
      </c>
      <c r="AE82" s="25"/>
    </row>
    <row r="83" spans="1:31" x14ac:dyDescent="0.3">
      <c r="A83" s="17" t="s">
        <v>26</v>
      </c>
      <c r="B83">
        <v>2012</v>
      </c>
      <c r="C83" s="18">
        <v>6259.5839999999998</v>
      </c>
      <c r="D83" s="14">
        <v>2.2669238083553199E-4</v>
      </c>
      <c r="E83" s="16">
        <v>2.61998241416682E-5</v>
      </c>
      <c r="F83" s="14">
        <v>3.0960523894239599E-4</v>
      </c>
      <c r="G83" s="16">
        <v>0</v>
      </c>
      <c r="H83" s="14">
        <v>1.1991531705621301E-2</v>
      </c>
      <c r="I83" s="16">
        <v>3.1729904095863203E-2</v>
      </c>
      <c r="J83" s="14">
        <v>3.62819637854528E-3</v>
      </c>
      <c r="K83" s="15">
        <v>0</v>
      </c>
      <c r="L83" s="15">
        <v>0.204526211326503</v>
      </c>
      <c r="M83" s="15">
        <v>1.2115821115269E-3</v>
      </c>
      <c r="N83" s="16">
        <v>2.1271381612580002E-3</v>
      </c>
      <c r="O83" s="14">
        <v>1.13266312905139E-4</v>
      </c>
      <c r="P83" s="16">
        <v>0</v>
      </c>
      <c r="Q83" s="14">
        <v>1.4769767524636514E-3</v>
      </c>
      <c r="R83" s="15">
        <v>0</v>
      </c>
      <c r="S83" s="15">
        <v>4.7380742865964651E-2</v>
      </c>
      <c r="T83" s="15">
        <v>0</v>
      </c>
      <c r="U83" s="14">
        <v>1.8892058027230173E-3</v>
      </c>
      <c r="V83" s="16">
        <v>2.638890633078463E-3</v>
      </c>
      <c r="W83" s="14">
        <v>5.2839294112835597E-2</v>
      </c>
      <c r="X83" s="15">
        <v>4.37441210150706E-3</v>
      </c>
      <c r="Y83" s="16">
        <v>3.1163732286362801E-2</v>
      </c>
      <c r="Z83" s="14">
        <v>0.60234641790892196</v>
      </c>
      <c r="AA83" s="15">
        <v>0</v>
      </c>
      <c r="AB83" s="16">
        <v>0</v>
      </c>
      <c r="AC83" s="28">
        <f t="shared" si="1"/>
        <v>0.25563743533116517</v>
      </c>
      <c r="AE83" s="25"/>
    </row>
    <row r="84" spans="1:31" x14ac:dyDescent="0.3">
      <c r="A84" s="17" t="s">
        <v>26</v>
      </c>
      <c r="B84">
        <v>2013</v>
      </c>
      <c r="C84" s="18">
        <v>13678.630999999999</v>
      </c>
      <c r="D84" s="14">
        <v>3.3892280594454203E-4</v>
      </c>
      <c r="E84" s="16">
        <v>2.77805578643067E-4</v>
      </c>
      <c r="F84" s="14">
        <v>7.9064929816441399E-4</v>
      </c>
      <c r="G84" s="16">
        <v>2.2465698504477499E-4</v>
      </c>
      <c r="H84" s="14">
        <v>2.22039032999721E-2</v>
      </c>
      <c r="I84" s="16">
        <v>2.88803755288084E-2</v>
      </c>
      <c r="J84" s="14">
        <v>8.9176321811736906E-3</v>
      </c>
      <c r="K84" s="15">
        <v>0</v>
      </c>
      <c r="L84" s="15">
        <v>0.12786469640126999</v>
      </c>
      <c r="M84" s="15">
        <v>1.9713961141286699E-3</v>
      </c>
      <c r="N84" s="16">
        <v>5.3974699661099102E-4</v>
      </c>
      <c r="O84" s="14">
        <v>3.3811863190110202E-4</v>
      </c>
      <c r="P84" s="16">
        <v>1.9738817429902199E-5</v>
      </c>
      <c r="Q84" s="14">
        <v>3.4246302196263277E-3</v>
      </c>
      <c r="R84" s="15">
        <v>0</v>
      </c>
      <c r="S84" s="15">
        <v>5.2923918110977769E-2</v>
      </c>
      <c r="T84" s="15">
        <v>0</v>
      </c>
      <c r="U84" s="14">
        <v>5.3919459908010389E-3</v>
      </c>
      <c r="V84" s="16">
        <v>1.7585207205304564E-2</v>
      </c>
      <c r="W84" s="14">
        <v>5.02116037781851E-2</v>
      </c>
      <c r="X84" s="15">
        <v>7.0412748176334299E-3</v>
      </c>
      <c r="Y84" s="16">
        <v>1.9689909026714698E-2</v>
      </c>
      <c r="Z84" s="14">
        <v>0.64876126858016703</v>
      </c>
      <c r="AA84" s="15">
        <v>2.6025996314982102E-3</v>
      </c>
      <c r="AB84" s="16">
        <v>0</v>
      </c>
      <c r="AC84" s="28">
        <f t="shared" si="1"/>
        <v>0.19175091425450402</v>
      </c>
      <c r="AE84" s="25"/>
    </row>
    <row r="85" spans="1:31" x14ac:dyDescent="0.3">
      <c r="A85" s="17" t="s">
        <v>26</v>
      </c>
      <c r="B85">
        <v>2014</v>
      </c>
      <c r="C85" s="18">
        <v>12436.272000000001</v>
      </c>
      <c r="D85" s="14">
        <v>1.1479324350577101E-3</v>
      </c>
      <c r="E85" s="16">
        <v>4.0204974609754401E-7</v>
      </c>
      <c r="F85" s="14">
        <v>1.2921878839575101E-4</v>
      </c>
      <c r="G85" s="16">
        <v>0</v>
      </c>
      <c r="H85" s="14">
        <v>1.31467050575928E-2</v>
      </c>
      <c r="I85" s="16">
        <v>1.6788954117439699E-2</v>
      </c>
      <c r="J85" s="14">
        <v>8.5677604992878895E-3</v>
      </c>
      <c r="K85" s="15">
        <v>7.2626266135060403E-4</v>
      </c>
      <c r="L85" s="15">
        <v>0.14006319578729101</v>
      </c>
      <c r="M85" s="15">
        <v>5.8602770991178098E-4</v>
      </c>
      <c r="N85" s="16">
        <v>8.0112432407396705E-4</v>
      </c>
      <c r="O85" s="14">
        <v>1.4473790859511599E-6</v>
      </c>
      <c r="P85" s="16">
        <v>5.5000405266144095E-4</v>
      </c>
      <c r="Q85" s="14">
        <v>5.4679146365420464E-3</v>
      </c>
      <c r="R85" s="15">
        <v>0</v>
      </c>
      <c r="S85" s="15">
        <v>3.1534090465951653E-2</v>
      </c>
      <c r="T85" s="15">
        <v>0</v>
      </c>
      <c r="U85" s="14">
        <v>1.6487336616112028E-2</v>
      </c>
      <c r="V85" s="16">
        <v>1.8185353077390963E-2</v>
      </c>
      <c r="W85" s="14">
        <v>3.3209952307250899E-2</v>
      </c>
      <c r="X85" s="15">
        <v>7.6753708828497802E-3</v>
      </c>
      <c r="Y85" s="16">
        <v>1.3948633481159E-2</v>
      </c>
      <c r="Z85" s="14">
        <v>0.68764851717620801</v>
      </c>
      <c r="AA85" s="15">
        <v>3.33379649464084E-3</v>
      </c>
      <c r="AB85" s="16">
        <v>0</v>
      </c>
      <c r="AC85" s="28">
        <f t="shared" si="1"/>
        <v>0.1813607003770909</v>
      </c>
      <c r="AE85" s="25"/>
    </row>
    <row r="86" spans="1:31" x14ac:dyDescent="0.3">
      <c r="A86" s="17" t="s">
        <v>26</v>
      </c>
      <c r="B86">
        <v>2015</v>
      </c>
      <c r="C86" s="18">
        <v>6890.3850000000002</v>
      </c>
      <c r="D86" s="14">
        <v>7.6193129992010598E-5</v>
      </c>
      <c r="E86" s="16">
        <v>2.72843970257105E-5</v>
      </c>
      <c r="F86" s="14">
        <v>5.1680711600295202E-4</v>
      </c>
      <c r="G86" s="16">
        <v>7.5859331517759898E-4</v>
      </c>
      <c r="H86" s="14">
        <v>4.3308175087458803E-3</v>
      </c>
      <c r="I86" s="16">
        <v>1.0577348000148E-2</v>
      </c>
      <c r="J86" s="14">
        <v>8.0523802370985106E-3</v>
      </c>
      <c r="K86" s="15">
        <v>1.74068647833176E-3</v>
      </c>
      <c r="L86" s="15">
        <v>0.15071233320054001</v>
      </c>
      <c r="M86" s="15">
        <v>9.1097957516161996E-4</v>
      </c>
      <c r="N86" s="16">
        <v>0</v>
      </c>
      <c r="O86" s="14">
        <v>0</v>
      </c>
      <c r="P86" s="16">
        <v>2.00424214321841E-4</v>
      </c>
      <c r="Q86" s="14">
        <v>4.1509503667952067E-3</v>
      </c>
      <c r="R86" s="15">
        <v>0</v>
      </c>
      <c r="S86" s="15">
        <v>5.4386562413695293E-2</v>
      </c>
      <c r="T86" s="15">
        <v>0</v>
      </c>
      <c r="U86" s="14">
        <v>9.7153550163336343E-3</v>
      </c>
      <c r="V86" s="16">
        <v>3.1081639636359962E-2</v>
      </c>
      <c r="W86" s="14">
        <v>2.7491642339288701E-2</v>
      </c>
      <c r="X86" s="15">
        <v>4.3866924707400201E-3</v>
      </c>
      <c r="Y86" s="16">
        <v>1.33523743593428E-2</v>
      </c>
      <c r="Z86" s="14">
        <v>0.66731234901968495</v>
      </c>
      <c r="AA86" s="15">
        <v>1.0218587205214199E-2</v>
      </c>
      <c r="AB86" s="16">
        <v>0</v>
      </c>
      <c r="AC86" s="28">
        <f t="shared" si="1"/>
        <v>0.17780036964552817</v>
      </c>
      <c r="AE86" s="25"/>
    </row>
    <row r="87" spans="1:31" x14ac:dyDescent="0.3">
      <c r="A87" s="17" t="s">
        <v>26</v>
      </c>
      <c r="B87">
        <v>2016</v>
      </c>
      <c r="C87" s="18">
        <v>7845.9539999999997</v>
      </c>
      <c r="D87" s="14">
        <v>6.0553503117657796E-4</v>
      </c>
      <c r="E87" s="16">
        <v>2.6548715427085099E-4</v>
      </c>
      <c r="F87" s="14">
        <v>6.4007512661940196E-4</v>
      </c>
      <c r="G87" s="16">
        <v>0</v>
      </c>
      <c r="H87" s="14">
        <v>1.0319586375347099E-2</v>
      </c>
      <c r="I87" s="16">
        <v>2.5825795053093601E-2</v>
      </c>
      <c r="J87" s="14">
        <v>3.6044055318193301E-3</v>
      </c>
      <c r="K87" s="15">
        <v>1.42098717377135E-3</v>
      </c>
      <c r="L87" s="15">
        <v>0.20262711201212799</v>
      </c>
      <c r="M87" s="15">
        <v>1.4756650370369201E-3</v>
      </c>
      <c r="N87" s="16">
        <v>0</v>
      </c>
      <c r="O87" s="14">
        <v>0</v>
      </c>
      <c r="P87" s="16">
        <v>0</v>
      </c>
      <c r="Q87" s="14">
        <v>3.037636283746752E-3</v>
      </c>
      <c r="R87" s="15">
        <v>0</v>
      </c>
      <c r="S87" s="15">
        <v>5.6514586428749451E-2</v>
      </c>
      <c r="T87" s="15">
        <v>0</v>
      </c>
      <c r="U87" s="14">
        <v>1.4733559471433308E-3</v>
      </c>
      <c r="V87" s="16">
        <v>7.0707930499066089E-3</v>
      </c>
      <c r="W87" s="14">
        <v>2.00346573533314E-2</v>
      </c>
      <c r="X87" s="15">
        <v>2.1692709388813698E-3</v>
      </c>
      <c r="Y87" s="16">
        <v>6.2104621056916698E-3</v>
      </c>
      <c r="Z87" s="14">
        <v>0.65423707556786603</v>
      </c>
      <c r="AA87" s="15">
        <v>2.4675138294208698E-3</v>
      </c>
      <c r="AB87" s="16">
        <v>0</v>
      </c>
      <c r="AC87" s="28">
        <f t="shared" si="1"/>
        <v>0.2459136263098157</v>
      </c>
      <c r="AE87" s="25"/>
    </row>
    <row r="88" spans="1:31" x14ac:dyDescent="0.3">
      <c r="A88" s="17" t="s">
        <v>26</v>
      </c>
      <c r="B88">
        <v>2017</v>
      </c>
      <c r="C88" s="18">
        <v>6353.6120000000001</v>
      </c>
      <c r="D88" s="14">
        <v>2.8235907386223798E-4</v>
      </c>
      <c r="E88" s="16">
        <v>3.8765351110517902E-4</v>
      </c>
      <c r="F88" s="14">
        <v>9.3238302874018705E-4</v>
      </c>
      <c r="G88" s="16">
        <v>0</v>
      </c>
      <c r="H88" s="14">
        <v>1.4969280465977499E-2</v>
      </c>
      <c r="I88" s="16">
        <v>3.28971929667723E-2</v>
      </c>
      <c r="J88" s="14">
        <v>6.1435920229312097E-3</v>
      </c>
      <c r="K88" s="15">
        <v>2.3534644545496301E-3</v>
      </c>
      <c r="L88" s="15">
        <v>0.26339490041255298</v>
      </c>
      <c r="M88" s="15">
        <v>3.2397319823747502E-3</v>
      </c>
      <c r="N88" s="16">
        <v>1.69919094839282E-3</v>
      </c>
      <c r="O88" s="14">
        <v>3.1478157621208199E-5</v>
      </c>
      <c r="P88" s="16">
        <v>6.4530223123476803E-6</v>
      </c>
      <c r="Q88" s="14">
        <v>1.0020931753820809E-3</v>
      </c>
      <c r="R88" s="15">
        <v>0</v>
      </c>
      <c r="S88" s="15">
        <v>7.7479406796602326E-2</v>
      </c>
      <c r="T88" s="15">
        <v>0</v>
      </c>
      <c r="U88" s="14">
        <v>3.719225121878349E-3</v>
      </c>
      <c r="V88" s="16">
        <v>5.3822119819296908E-3</v>
      </c>
      <c r="W88" s="14">
        <v>4.2985470312005197E-2</v>
      </c>
      <c r="X88" s="15">
        <v>2.7108989343384501E-3</v>
      </c>
      <c r="Y88" s="16">
        <v>1.1062683714397401E-2</v>
      </c>
      <c r="Z88" s="14">
        <v>0.52089362712107701</v>
      </c>
      <c r="AA88" s="15">
        <v>8.4267027951974403E-3</v>
      </c>
      <c r="AB88" s="16">
        <v>0</v>
      </c>
      <c r="AC88" s="28">
        <f t="shared" si="1"/>
        <v>0.32566766746222497</v>
      </c>
      <c r="AE88" s="25"/>
    </row>
    <row r="89" spans="1:31" x14ac:dyDescent="0.3">
      <c r="A89" s="17" t="s">
        <v>26</v>
      </c>
      <c r="B89">
        <v>2018</v>
      </c>
      <c r="C89" s="18">
        <v>6964.77</v>
      </c>
      <c r="D89" s="14">
        <v>1.8404053543763801E-3</v>
      </c>
      <c r="E89" s="16">
        <v>2.3489648617255101E-4</v>
      </c>
      <c r="F89" s="14">
        <v>2.5041745815009E-3</v>
      </c>
      <c r="G89" s="16">
        <v>0</v>
      </c>
      <c r="H89" s="14">
        <v>4.37430094604703E-3</v>
      </c>
      <c r="I89" s="16">
        <v>1.30157923377226E-2</v>
      </c>
      <c r="J89" s="14">
        <v>8.0134735246102894E-3</v>
      </c>
      <c r="K89" s="15">
        <v>2.6039625141964502E-3</v>
      </c>
      <c r="L89" s="15">
        <v>0.21729906371638999</v>
      </c>
      <c r="M89" s="15">
        <v>1.48935284295102E-3</v>
      </c>
      <c r="N89" s="16">
        <v>3.1636364158471801E-3</v>
      </c>
      <c r="O89" s="14">
        <v>1.07842757190833E-3</v>
      </c>
      <c r="P89" s="16">
        <v>0</v>
      </c>
      <c r="Q89" s="14">
        <v>0</v>
      </c>
      <c r="R89" s="15">
        <v>0</v>
      </c>
      <c r="S89" s="15">
        <v>2.08562522524075E-2</v>
      </c>
      <c r="T89" s="15">
        <v>0</v>
      </c>
      <c r="U89" s="14">
        <v>3.263432948372072E-3</v>
      </c>
      <c r="V89" s="16">
        <v>1.4386683279443077E-2</v>
      </c>
      <c r="W89" s="14">
        <v>4.1770797887080303E-2</v>
      </c>
      <c r="X89" s="15">
        <v>3.3853235641665099E-3</v>
      </c>
      <c r="Y89" s="16">
        <v>9.4946423212826803E-3</v>
      </c>
      <c r="Z89" s="14">
        <v>0.651225381455525</v>
      </c>
      <c r="AA89" s="15">
        <v>0</v>
      </c>
      <c r="AB89" s="16">
        <v>0</v>
      </c>
      <c r="AC89" s="28">
        <f t="shared" si="1"/>
        <v>0.25354218445117377</v>
      </c>
      <c r="AE89" s="25"/>
    </row>
    <row r="90" spans="1:31" x14ac:dyDescent="0.3">
      <c r="A90" s="17" t="s">
        <v>26</v>
      </c>
      <c r="B90">
        <v>2019</v>
      </c>
      <c r="C90" s="18">
        <v>11764.513000000001</v>
      </c>
      <c r="D90" s="14">
        <v>1.0761176429487599E-3</v>
      </c>
      <c r="E90" s="16">
        <v>1.66313726713549E-3</v>
      </c>
      <c r="F90" s="14">
        <v>1.3393669589212901E-3</v>
      </c>
      <c r="G90" s="16">
        <v>0</v>
      </c>
      <c r="H90" s="14">
        <v>4.3214708505145902E-3</v>
      </c>
      <c r="I90" s="16">
        <v>8.0146964009474905E-3</v>
      </c>
      <c r="J90" s="14">
        <v>6.1753512448836602E-4</v>
      </c>
      <c r="K90" s="15">
        <v>0</v>
      </c>
      <c r="L90" s="15">
        <v>0.16029664806354499</v>
      </c>
      <c r="M90" s="15">
        <v>0</v>
      </c>
      <c r="N90" s="16">
        <v>5.8081452245409596E-4</v>
      </c>
      <c r="O90" s="14">
        <v>8.1167830746585099E-4</v>
      </c>
      <c r="P90" s="16">
        <v>5.0150822222730298E-6</v>
      </c>
      <c r="Q90" s="14">
        <v>0</v>
      </c>
      <c r="R90" s="15">
        <v>0</v>
      </c>
      <c r="S90" s="15">
        <v>6.7329263863281003E-2</v>
      </c>
      <c r="T90" s="15">
        <v>0</v>
      </c>
      <c r="U90" s="14">
        <v>3.0021216295505748E-3</v>
      </c>
      <c r="V90" s="16">
        <v>1.6701499723423446E-3</v>
      </c>
      <c r="W90" s="14">
        <v>1.4737796626175701E-2</v>
      </c>
      <c r="X90" s="15">
        <v>6.1107501857492902E-4</v>
      </c>
      <c r="Y90" s="16">
        <v>1.0205352316751201E-2</v>
      </c>
      <c r="Z90" s="14">
        <v>0.72271389389428997</v>
      </c>
      <c r="AA90" s="15">
        <v>1.00386645839059E-3</v>
      </c>
      <c r="AB90" s="16">
        <v>0</v>
      </c>
      <c r="AC90" s="28">
        <f t="shared" si="1"/>
        <v>0.17598722531055894</v>
      </c>
      <c r="AE90" s="25"/>
    </row>
    <row r="91" spans="1:31" x14ac:dyDescent="0.3">
      <c r="A91" s="17" t="s">
        <v>26</v>
      </c>
      <c r="B91">
        <v>2020</v>
      </c>
      <c r="C91" s="18">
        <v>9540.9959999999992</v>
      </c>
      <c r="D91" s="14">
        <v>2.0926536390959601E-3</v>
      </c>
      <c r="E91" s="16">
        <v>1.8648996394087199E-3</v>
      </c>
      <c r="F91" s="14">
        <v>1.0855260813441301E-3</v>
      </c>
      <c r="G91" s="16">
        <v>0</v>
      </c>
      <c r="H91" s="14">
        <v>5.40457201742879E-3</v>
      </c>
      <c r="I91" s="16">
        <v>2.4410449391237599E-3</v>
      </c>
      <c r="J91" s="14">
        <v>2.2269163512907901E-3</v>
      </c>
      <c r="K91" s="15">
        <v>0</v>
      </c>
      <c r="L91" s="15">
        <v>0.237467660609018</v>
      </c>
      <c r="M91" s="15">
        <v>1.29179385464578E-3</v>
      </c>
      <c r="N91" s="16">
        <v>0</v>
      </c>
      <c r="O91" s="14">
        <v>1.20364792103466E-3</v>
      </c>
      <c r="P91" s="16">
        <v>9.4329774375757007E-6</v>
      </c>
      <c r="Q91" s="14">
        <v>9.4449882235496862E-4</v>
      </c>
      <c r="R91" s="15">
        <v>0</v>
      </c>
      <c r="S91" s="15">
        <v>0.10865758045741802</v>
      </c>
      <c r="T91" s="15">
        <v>0</v>
      </c>
      <c r="U91" s="14">
        <v>3.6877714867645894E-3</v>
      </c>
      <c r="V91" s="16">
        <v>1.903669040379697E-2</v>
      </c>
      <c r="W91" s="14">
        <v>3.9388969453503604E-3</v>
      </c>
      <c r="X91" s="15">
        <v>3.0636214500037501E-4</v>
      </c>
      <c r="Y91" s="16">
        <v>1.24901006142336E-2</v>
      </c>
      <c r="Z91" s="14">
        <v>0.59266055661274797</v>
      </c>
      <c r="AA91" s="15">
        <v>3.18939448250476E-3</v>
      </c>
      <c r="AB91" s="16">
        <v>0</v>
      </c>
      <c r="AC91" s="28">
        <f t="shared" si="1"/>
        <v>0.25113059475132343</v>
      </c>
      <c r="AE91" s="25"/>
    </row>
    <row r="92" spans="1:31" x14ac:dyDescent="0.3">
      <c r="A92" s="17" t="s">
        <v>26</v>
      </c>
      <c r="B92">
        <v>2021</v>
      </c>
      <c r="C92" s="18">
        <v>12217.517</v>
      </c>
      <c r="D92" s="14">
        <v>8.1080304615086701E-4</v>
      </c>
      <c r="E92" s="16">
        <v>2.2847522945947198E-3</v>
      </c>
      <c r="F92" s="14">
        <v>3.7650858189925199E-4</v>
      </c>
      <c r="G92" s="16">
        <v>0</v>
      </c>
      <c r="H92" s="14">
        <v>5.25163991996082E-3</v>
      </c>
      <c r="I92" s="16">
        <v>3.2973966805202701E-3</v>
      </c>
      <c r="J92" s="14">
        <v>6.8193889151126202E-3</v>
      </c>
      <c r="K92" s="15">
        <v>0</v>
      </c>
      <c r="L92" s="15">
        <v>0.153359066330745</v>
      </c>
      <c r="M92" s="15">
        <v>9.8579768704230202E-4</v>
      </c>
      <c r="N92" s="16">
        <v>1.2739904515786599E-3</v>
      </c>
      <c r="O92" s="14">
        <v>1.00724230627222E-3</v>
      </c>
      <c r="P92" s="16">
        <v>0</v>
      </c>
      <c r="Q92" s="14">
        <v>0</v>
      </c>
      <c r="R92" s="15">
        <v>0</v>
      </c>
      <c r="S92" s="15">
        <v>7.3901104455185093E-2</v>
      </c>
      <c r="T92" s="15">
        <v>0</v>
      </c>
      <c r="U92" s="14">
        <v>3.8406906285013503E-3</v>
      </c>
      <c r="V92" s="16">
        <v>2.6415457163230811E-2</v>
      </c>
      <c r="W92" s="14">
        <v>1.8268933040977101E-2</v>
      </c>
      <c r="X92" s="15">
        <v>2.5819485252199801E-3</v>
      </c>
      <c r="Y92" s="16">
        <v>1.0508272671116399E-2</v>
      </c>
      <c r="Z92" s="14">
        <v>0.68713037190781101</v>
      </c>
      <c r="AA92" s="15">
        <v>1.88663539408212E-3</v>
      </c>
      <c r="AB92" s="16">
        <v>0</v>
      </c>
      <c r="AC92" s="28">
        <f t="shared" si="1"/>
        <v>0.17237103087313116</v>
      </c>
      <c r="AE92" s="25"/>
    </row>
    <row r="93" spans="1:31" x14ac:dyDescent="0.3">
      <c r="A93" s="17" t="s">
        <v>26</v>
      </c>
      <c r="B93">
        <v>2022</v>
      </c>
      <c r="C93" s="18">
        <v>5352.5479999999998</v>
      </c>
      <c r="D93" s="14">
        <v>4.3810910243121601E-3</v>
      </c>
      <c r="E93" s="16">
        <v>7.7159513562512704E-5</v>
      </c>
      <c r="F93" s="14">
        <v>4.4362049625711001E-3</v>
      </c>
      <c r="G93" s="16">
        <v>0</v>
      </c>
      <c r="H93" s="14">
        <v>9.6492362142291902E-3</v>
      </c>
      <c r="I93" s="16">
        <v>1.35901630401073E-2</v>
      </c>
      <c r="J93" s="14">
        <v>2.3067518497732298E-2</v>
      </c>
      <c r="K93" s="15">
        <v>0</v>
      </c>
      <c r="L93" s="15">
        <v>0.15910702715790701</v>
      </c>
      <c r="M93" s="15">
        <v>0</v>
      </c>
      <c r="N93" s="16">
        <v>0</v>
      </c>
      <c r="O93" s="14">
        <v>9.8831435047382995E-5</v>
      </c>
      <c r="P93" s="16">
        <v>0</v>
      </c>
      <c r="Q93" s="14">
        <v>0</v>
      </c>
      <c r="R93" s="15">
        <v>0</v>
      </c>
      <c r="S93" s="15">
        <v>6.7201265640214697E-2</v>
      </c>
      <c r="T93" s="15">
        <v>0</v>
      </c>
      <c r="U93" s="14">
        <v>4.2190788722926593E-3</v>
      </c>
      <c r="V93" s="16">
        <v>3.767797651142369E-2</v>
      </c>
      <c r="W93" s="14">
        <v>1.8609828440585698E-2</v>
      </c>
      <c r="X93" s="15">
        <v>1.50246200501144E-3</v>
      </c>
      <c r="Y93" s="16">
        <v>1.17211466389465E-2</v>
      </c>
      <c r="Z93" s="14">
        <v>0.63928973640217701</v>
      </c>
      <c r="AA93" s="15">
        <v>5.3712736438795098E-3</v>
      </c>
      <c r="AB93" s="16">
        <v>0</v>
      </c>
      <c r="AC93" s="28">
        <f t="shared" si="1"/>
        <v>0.20994898130759429</v>
      </c>
      <c r="AE93" s="25"/>
    </row>
    <row r="94" spans="1:31" x14ac:dyDescent="0.3">
      <c r="A94" s="17" t="s">
        <v>26</v>
      </c>
      <c r="B94">
        <v>2023</v>
      </c>
      <c r="C94" s="18">
        <v>6638.9639999999999</v>
      </c>
      <c r="D94" s="14">
        <v>2.14340671225209E-4</v>
      </c>
      <c r="E94" s="16">
        <v>4.5157648090876802E-4</v>
      </c>
      <c r="F94" s="14">
        <v>3.41212875984868E-3</v>
      </c>
      <c r="G94" s="16">
        <v>0</v>
      </c>
      <c r="H94" s="14">
        <v>5.1848451053507797E-3</v>
      </c>
      <c r="I94" s="16">
        <v>1.08315092535522E-2</v>
      </c>
      <c r="J94" s="14">
        <v>2.2117908758053199E-2</v>
      </c>
      <c r="K94" s="15">
        <v>0</v>
      </c>
      <c r="L94" s="15">
        <v>0.18640589103962599</v>
      </c>
      <c r="M94" s="15">
        <v>6.6490795853087897E-3</v>
      </c>
      <c r="N94" s="16">
        <v>5.04913115962069E-3</v>
      </c>
      <c r="O94" s="14">
        <v>9.8012280229264697E-4</v>
      </c>
      <c r="P94" s="16">
        <v>0</v>
      </c>
      <c r="Q94" s="14">
        <v>0</v>
      </c>
      <c r="R94" s="15">
        <v>0</v>
      </c>
      <c r="S94" s="15">
        <v>0.164933564935734</v>
      </c>
      <c r="T94" s="15">
        <v>0</v>
      </c>
      <c r="U94" s="14">
        <v>4.6925029052067907E-4</v>
      </c>
      <c r="V94" s="16">
        <v>1.531800205788791E-2</v>
      </c>
      <c r="W94" s="14">
        <v>2.31277048647952E-2</v>
      </c>
      <c r="X94" s="15">
        <v>0</v>
      </c>
      <c r="Y94" s="16">
        <v>2.14464184472156E-2</v>
      </c>
      <c r="Z94" s="14">
        <v>0.51870442436500597</v>
      </c>
      <c r="AA94" s="15">
        <v>1.40699663381214E-2</v>
      </c>
      <c r="AB94" s="16">
        <v>6.3413508493192605E-4</v>
      </c>
      <c r="AC94" s="28">
        <f t="shared" si="1"/>
        <v>0.24063061646365297</v>
      </c>
      <c r="AE94" s="25"/>
    </row>
    <row r="95" spans="1:31" ht="15" thickBot="1" x14ac:dyDescent="0.35">
      <c r="A95" s="4" t="s">
        <v>26</v>
      </c>
      <c r="B95" s="5">
        <v>2024</v>
      </c>
      <c r="C95" s="19">
        <v>7872.2280000000001</v>
      </c>
      <c r="D95" s="20">
        <v>1.1360604372619601E-3</v>
      </c>
      <c r="E95" s="21">
        <v>4.00113229478823E-4</v>
      </c>
      <c r="F95" s="20">
        <v>6.6313086856201501E-4</v>
      </c>
      <c r="G95" s="21">
        <v>0</v>
      </c>
      <c r="H95" s="20">
        <v>4.7682147648590197E-3</v>
      </c>
      <c r="I95" s="21">
        <v>2.6976821591064001E-2</v>
      </c>
      <c r="J95" s="20">
        <v>1.7108701081652501E-2</v>
      </c>
      <c r="K95" s="22">
        <v>2.9843399993539702E-3</v>
      </c>
      <c r="L95" s="22">
        <v>0.143289498864274</v>
      </c>
      <c r="M95" s="22">
        <v>0</v>
      </c>
      <c r="N95" s="21">
        <v>2.2175086201080799E-3</v>
      </c>
      <c r="O95" s="20">
        <v>8.0587600251790599E-4</v>
      </c>
      <c r="P95" s="21">
        <v>0</v>
      </c>
      <c r="Q95" s="20">
        <v>0</v>
      </c>
      <c r="R95" s="22">
        <v>0</v>
      </c>
      <c r="S95" s="22">
        <v>0.115873770511284</v>
      </c>
      <c r="T95" s="22">
        <v>0</v>
      </c>
      <c r="U95" s="20">
        <v>8.5992046689187408E-3</v>
      </c>
      <c r="V95" s="21">
        <v>6.8061837263078961E-2</v>
      </c>
      <c r="W95" s="20">
        <v>6.4021883078985197E-3</v>
      </c>
      <c r="X95" s="22">
        <v>1.0593416376534499E-3</v>
      </c>
      <c r="Y95" s="21">
        <v>1.5997414851262499E-2</v>
      </c>
      <c r="Z95" s="20">
        <v>0.566187588612449</v>
      </c>
      <c r="AA95" s="22">
        <v>1.74683886883224E-2</v>
      </c>
      <c r="AB95" s="21">
        <v>0</v>
      </c>
      <c r="AC95" s="29">
        <f t="shared" si="1"/>
        <v>0.19881409179239151</v>
      </c>
      <c r="AE95" s="25"/>
    </row>
    <row r="97" spans="1:29" x14ac:dyDescent="0.3">
      <c r="A97" s="23" t="s">
        <v>31</v>
      </c>
    </row>
    <row r="98" spans="1:29" x14ac:dyDescent="0.3">
      <c r="A98" t="s">
        <v>32</v>
      </c>
    </row>
    <row r="99" spans="1:29" x14ac:dyDescent="0.3">
      <c r="A99" t="s">
        <v>33</v>
      </c>
    </row>
    <row r="100" spans="1:29" x14ac:dyDescent="0.3">
      <c r="A100" t="s">
        <v>45</v>
      </c>
    </row>
    <row r="102" spans="1:29" ht="15" thickBot="1" x14ac:dyDescent="0.35">
      <c r="A102" t="s">
        <v>84</v>
      </c>
    </row>
    <row r="103" spans="1:29" ht="15" thickBot="1" x14ac:dyDescent="0.35">
      <c r="A103" s="1"/>
      <c r="B103" s="2"/>
      <c r="C103" s="3"/>
      <c r="D103" s="88" t="s">
        <v>2</v>
      </c>
      <c r="E103" s="89"/>
      <c r="F103" s="89"/>
      <c r="G103" s="89"/>
      <c r="H103" s="89"/>
      <c r="I103" s="90"/>
      <c r="J103" s="88" t="s">
        <v>3</v>
      </c>
      <c r="K103" s="89"/>
      <c r="L103" s="89"/>
      <c r="M103" s="89"/>
      <c r="N103" s="89"/>
      <c r="O103" s="89"/>
      <c r="P103" s="89"/>
      <c r="Q103" s="89"/>
      <c r="R103" s="89"/>
      <c r="S103" s="89"/>
      <c r="T103" s="89"/>
      <c r="U103" s="89"/>
      <c r="V103" s="89"/>
      <c r="W103" s="89"/>
      <c r="X103" s="89"/>
      <c r="Y103" s="90"/>
      <c r="Z103" s="91" t="s">
        <v>4</v>
      </c>
      <c r="AA103" s="92"/>
      <c r="AB103" s="93"/>
      <c r="AC103" s="97" t="s">
        <v>38</v>
      </c>
    </row>
    <row r="104" spans="1:29" ht="15" thickBot="1" x14ac:dyDescent="0.35">
      <c r="A104" s="4"/>
      <c r="B104" s="5"/>
      <c r="C104" s="6"/>
      <c r="D104" s="85" t="s">
        <v>5</v>
      </c>
      <c r="E104" s="86"/>
      <c r="F104" s="85" t="s">
        <v>6</v>
      </c>
      <c r="G104" s="86"/>
      <c r="H104" s="85" t="s">
        <v>7</v>
      </c>
      <c r="I104" s="86"/>
      <c r="J104" s="85" t="s">
        <v>8</v>
      </c>
      <c r="K104" s="87"/>
      <c r="L104" s="87"/>
      <c r="M104" s="87"/>
      <c r="N104" s="86"/>
      <c r="O104" s="85" t="s">
        <v>9</v>
      </c>
      <c r="P104" s="86"/>
      <c r="Q104" s="85" t="s">
        <v>10</v>
      </c>
      <c r="R104" s="87"/>
      <c r="S104" s="87"/>
      <c r="T104" s="87"/>
      <c r="U104" s="87"/>
      <c r="V104" s="86"/>
      <c r="W104" s="85" t="s">
        <v>11</v>
      </c>
      <c r="X104" s="87"/>
      <c r="Y104" s="86"/>
      <c r="Z104" s="94"/>
      <c r="AA104" s="95"/>
      <c r="AB104" s="96"/>
      <c r="AC104" s="98"/>
    </row>
    <row r="105" spans="1:29" ht="43.8" thickBot="1" x14ac:dyDescent="0.35">
      <c r="A105" s="7" t="s">
        <v>12</v>
      </c>
      <c r="B105" s="8" t="s">
        <v>27</v>
      </c>
      <c r="C105" s="9" t="s">
        <v>13</v>
      </c>
      <c r="D105" s="7" t="s">
        <v>14</v>
      </c>
      <c r="E105" s="9" t="s">
        <v>15</v>
      </c>
      <c r="F105" s="7" t="s">
        <v>16</v>
      </c>
      <c r="G105" s="9" t="s">
        <v>17</v>
      </c>
      <c r="H105" s="7" t="s">
        <v>18</v>
      </c>
      <c r="I105" s="9" t="s">
        <v>19</v>
      </c>
      <c r="J105" s="7" t="s">
        <v>20</v>
      </c>
      <c r="K105" s="8" t="s">
        <v>21</v>
      </c>
      <c r="L105" s="8" t="s">
        <v>22</v>
      </c>
      <c r="M105" s="8" t="s">
        <v>7</v>
      </c>
      <c r="N105" s="9" t="s">
        <v>6</v>
      </c>
      <c r="O105" s="31" t="s">
        <v>40</v>
      </c>
      <c r="P105" s="31" t="s">
        <v>42</v>
      </c>
      <c r="Q105" s="7" t="s">
        <v>23</v>
      </c>
      <c r="R105" s="8" t="s">
        <v>60</v>
      </c>
      <c r="S105" s="8" t="s">
        <v>24</v>
      </c>
      <c r="T105" s="8" t="s">
        <v>25</v>
      </c>
      <c r="U105" s="7" t="s">
        <v>44</v>
      </c>
      <c r="V105" s="31" t="s">
        <v>62</v>
      </c>
      <c r="W105" s="7" t="s">
        <v>36</v>
      </c>
      <c r="X105" s="8" t="s">
        <v>35</v>
      </c>
      <c r="Y105" s="9" t="s">
        <v>43</v>
      </c>
      <c r="Z105" s="7" t="s">
        <v>4</v>
      </c>
      <c r="AA105" s="8" t="s">
        <v>28</v>
      </c>
      <c r="AB105" s="9" t="s">
        <v>29</v>
      </c>
      <c r="AC105" s="30" t="s">
        <v>37</v>
      </c>
    </row>
    <row r="106" spans="1:29" x14ac:dyDescent="0.3">
      <c r="A106" s="1" t="s">
        <v>26</v>
      </c>
      <c r="B106" s="2">
        <v>1985</v>
      </c>
      <c r="C106" s="10">
        <f>C11-C56</f>
        <v>0</v>
      </c>
      <c r="D106" s="11">
        <f t="shared" ref="D106:AC106" si="2">D11-D56</f>
        <v>0</v>
      </c>
      <c r="E106" s="12">
        <f t="shared" si="2"/>
        <v>0</v>
      </c>
      <c r="F106" s="11">
        <f t="shared" si="2"/>
        <v>0</v>
      </c>
      <c r="G106" s="12">
        <f t="shared" si="2"/>
        <v>0</v>
      </c>
      <c r="H106" s="11">
        <f t="shared" si="2"/>
        <v>0</v>
      </c>
      <c r="I106" s="12">
        <f t="shared" si="2"/>
        <v>0</v>
      </c>
      <c r="J106" s="11">
        <f t="shared" si="2"/>
        <v>0</v>
      </c>
      <c r="K106" s="13">
        <f t="shared" si="2"/>
        <v>0</v>
      </c>
      <c r="L106" s="13">
        <f t="shared" si="2"/>
        <v>0</v>
      </c>
      <c r="M106" s="13">
        <f t="shared" si="2"/>
        <v>0</v>
      </c>
      <c r="N106" s="12">
        <f t="shared" si="2"/>
        <v>0</v>
      </c>
      <c r="O106" s="13">
        <f t="shared" si="2"/>
        <v>0</v>
      </c>
      <c r="P106" s="13">
        <f t="shared" si="2"/>
        <v>0</v>
      </c>
      <c r="Q106" s="11">
        <f t="shared" si="2"/>
        <v>0</v>
      </c>
      <c r="R106" s="13">
        <f t="shared" si="2"/>
        <v>0</v>
      </c>
      <c r="S106" s="13">
        <f t="shared" si="2"/>
        <v>0</v>
      </c>
      <c r="T106" s="12">
        <f t="shared" si="2"/>
        <v>0</v>
      </c>
      <c r="U106" s="13">
        <f t="shared" si="2"/>
        <v>0</v>
      </c>
      <c r="V106" s="13">
        <f t="shared" si="2"/>
        <v>0</v>
      </c>
      <c r="W106" s="11">
        <f t="shared" si="2"/>
        <v>0</v>
      </c>
      <c r="X106" s="13">
        <f t="shared" si="2"/>
        <v>0</v>
      </c>
      <c r="Y106" s="12">
        <f t="shared" si="2"/>
        <v>0</v>
      </c>
      <c r="Z106" s="13">
        <f t="shared" si="2"/>
        <v>0</v>
      </c>
      <c r="AA106" s="13">
        <f t="shared" si="2"/>
        <v>0</v>
      </c>
      <c r="AB106" s="13">
        <f t="shared" si="2"/>
        <v>0</v>
      </c>
      <c r="AC106" s="82">
        <f t="shared" si="2"/>
        <v>0</v>
      </c>
    </row>
    <row r="107" spans="1:29" x14ac:dyDescent="0.3">
      <c r="A107" s="17" t="s">
        <v>26</v>
      </c>
      <c r="B107" s="72">
        <v>1986</v>
      </c>
      <c r="C107" s="18">
        <f t="shared" ref="C107:AC107" si="3">C12-C57</f>
        <v>0</v>
      </c>
      <c r="D107" s="14">
        <f t="shared" si="3"/>
        <v>0</v>
      </c>
      <c r="E107" s="16">
        <f t="shared" si="3"/>
        <v>0</v>
      </c>
      <c r="F107" s="14">
        <f t="shared" si="3"/>
        <v>0</v>
      </c>
      <c r="G107" s="16">
        <f t="shared" si="3"/>
        <v>0</v>
      </c>
      <c r="H107" s="14">
        <f t="shared" si="3"/>
        <v>0</v>
      </c>
      <c r="I107" s="16">
        <f t="shared" si="3"/>
        <v>0</v>
      </c>
      <c r="J107" s="14">
        <f t="shared" si="3"/>
        <v>0</v>
      </c>
      <c r="K107" s="15">
        <f t="shared" si="3"/>
        <v>0</v>
      </c>
      <c r="L107" s="15">
        <f t="shared" si="3"/>
        <v>0</v>
      </c>
      <c r="M107" s="15">
        <f t="shared" si="3"/>
        <v>0</v>
      </c>
      <c r="N107" s="16">
        <f t="shared" si="3"/>
        <v>0</v>
      </c>
      <c r="O107" s="15">
        <f t="shared" si="3"/>
        <v>0</v>
      </c>
      <c r="P107" s="15">
        <f t="shared" si="3"/>
        <v>0</v>
      </c>
      <c r="Q107" s="14">
        <f t="shared" si="3"/>
        <v>0</v>
      </c>
      <c r="R107" s="15">
        <f t="shared" si="3"/>
        <v>0</v>
      </c>
      <c r="S107" s="15">
        <f t="shared" si="3"/>
        <v>0</v>
      </c>
      <c r="T107" s="16">
        <f t="shared" si="3"/>
        <v>0</v>
      </c>
      <c r="U107" s="15">
        <f t="shared" si="3"/>
        <v>0</v>
      </c>
      <c r="V107" s="15">
        <f t="shared" si="3"/>
        <v>0</v>
      </c>
      <c r="W107" s="14">
        <f t="shared" si="3"/>
        <v>0</v>
      </c>
      <c r="X107" s="15">
        <f t="shared" si="3"/>
        <v>0</v>
      </c>
      <c r="Y107" s="16">
        <f t="shared" si="3"/>
        <v>0</v>
      </c>
      <c r="Z107" s="15">
        <f t="shared" si="3"/>
        <v>0</v>
      </c>
      <c r="AA107" s="15">
        <f t="shared" si="3"/>
        <v>0</v>
      </c>
      <c r="AB107" s="15">
        <f t="shared" si="3"/>
        <v>0</v>
      </c>
      <c r="AC107" s="83">
        <f t="shared" si="3"/>
        <v>0</v>
      </c>
    </row>
    <row r="108" spans="1:29" x14ac:dyDescent="0.3">
      <c r="A108" s="17" t="s">
        <v>26</v>
      </c>
      <c r="B108" s="72">
        <v>1987</v>
      </c>
      <c r="C108" s="18">
        <f t="shared" ref="C108:AC108" si="4">C13-C58</f>
        <v>0</v>
      </c>
      <c r="D108" s="14">
        <f t="shared" si="4"/>
        <v>0</v>
      </c>
      <c r="E108" s="16">
        <f t="shared" si="4"/>
        <v>0</v>
      </c>
      <c r="F108" s="14">
        <f t="shared" si="4"/>
        <v>0</v>
      </c>
      <c r="G108" s="16">
        <f t="shared" si="4"/>
        <v>0</v>
      </c>
      <c r="H108" s="14">
        <f t="shared" si="4"/>
        <v>0</v>
      </c>
      <c r="I108" s="16">
        <f t="shared" si="4"/>
        <v>0</v>
      </c>
      <c r="J108" s="14">
        <f t="shared" si="4"/>
        <v>0</v>
      </c>
      <c r="K108" s="15">
        <f t="shared" si="4"/>
        <v>0</v>
      </c>
      <c r="L108" s="15">
        <f t="shared" si="4"/>
        <v>0</v>
      </c>
      <c r="M108" s="15">
        <f t="shared" si="4"/>
        <v>0</v>
      </c>
      <c r="N108" s="16">
        <f t="shared" si="4"/>
        <v>0</v>
      </c>
      <c r="O108" s="15">
        <f t="shared" si="4"/>
        <v>0</v>
      </c>
      <c r="P108" s="15">
        <f t="shared" si="4"/>
        <v>0</v>
      </c>
      <c r="Q108" s="14">
        <f t="shared" si="4"/>
        <v>0</v>
      </c>
      <c r="R108" s="15">
        <f t="shared" si="4"/>
        <v>0</v>
      </c>
      <c r="S108" s="15">
        <f t="shared" si="4"/>
        <v>0</v>
      </c>
      <c r="T108" s="16">
        <f t="shared" si="4"/>
        <v>0</v>
      </c>
      <c r="U108" s="15">
        <f t="shared" si="4"/>
        <v>0</v>
      </c>
      <c r="V108" s="15">
        <f t="shared" si="4"/>
        <v>0</v>
      </c>
      <c r="W108" s="14">
        <f t="shared" si="4"/>
        <v>0</v>
      </c>
      <c r="X108" s="15">
        <f t="shared" si="4"/>
        <v>0</v>
      </c>
      <c r="Y108" s="16">
        <f t="shared" si="4"/>
        <v>0</v>
      </c>
      <c r="Z108" s="15">
        <f t="shared" si="4"/>
        <v>0</v>
      </c>
      <c r="AA108" s="15">
        <f t="shared" si="4"/>
        <v>0</v>
      </c>
      <c r="AB108" s="15">
        <f t="shared" si="4"/>
        <v>0</v>
      </c>
      <c r="AC108" s="83">
        <f t="shared" si="4"/>
        <v>0</v>
      </c>
    </row>
    <row r="109" spans="1:29" x14ac:dyDescent="0.3">
      <c r="A109" s="17" t="s">
        <v>26</v>
      </c>
      <c r="B109" s="72">
        <v>1988</v>
      </c>
      <c r="C109" s="18">
        <f t="shared" ref="C109:AC109" si="5">C14-C59</f>
        <v>0</v>
      </c>
      <c r="D109" s="14">
        <f t="shared" si="5"/>
        <v>0</v>
      </c>
      <c r="E109" s="16">
        <f t="shared" si="5"/>
        <v>0</v>
      </c>
      <c r="F109" s="14">
        <f t="shared" si="5"/>
        <v>0</v>
      </c>
      <c r="G109" s="16">
        <f t="shared" si="5"/>
        <v>0</v>
      </c>
      <c r="H109" s="14">
        <f t="shared" si="5"/>
        <v>0</v>
      </c>
      <c r="I109" s="16">
        <f t="shared" si="5"/>
        <v>0</v>
      </c>
      <c r="J109" s="14">
        <f t="shared" si="5"/>
        <v>0</v>
      </c>
      <c r="K109" s="15">
        <f t="shared" si="5"/>
        <v>0</v>
      </c>
      <c r="L109" s="15">
        <f t="shared" si="5"/>
        <v>0</v>
      </c>
      <c r="M109" s="15">
        <f t="shared" si="5"/>
        <v>0</v>
      </c>
      <c r="N109" s="16">
        <f t="shared" si="5"/>
        <v>0</v>
      </c>
      <c r="O109" s="15">
        <f t="shared" si="5"/>
        <v>0</v>
      </c>
      <c r="P109" s="15">
        <f t="shared" si="5"/>
        <v>0</v>
      </c>
      <c r="Q109" s="14">
        <f t="shared" si="5"/>
        <v>0</v>
      </c>
      <c r="R109" s="15">
        <f t="shared" si="5"/>
        <v>0</v>
      </c>
      <c r="S109" s="15">
        <f t="shared" si="5"/>
        <v>0</v>
      </c>
      <c r="T109" s="16">
        <f t="shared" si="5"/>
        <v>0</v>
      </c>
      <c r="U109" s="15">
        <f t="shared" si="5"/>
        <v>0</v>
      </c>
      <c r="V109" s="15">
        <f t="shared" si="5"/>
        <v>0</v>
      </c>
      <c r="W109" s="14">
        <f t="shared" si="5"/>
        <v>0</v>
      </c>
      <c r="X109" s="15">
        <f t="shared" si="5"/>
        <v>0</v>
      </c>
      <c r="Y109" s="16">
        <f t="shared" si="5"/>
        <v>0</v>
      </c>
      <c r="Z109" s="15">
        <f t="shared" si="5"/>
        <v>0</v>
      </c>
      <c r="AA109" s="15">
        <f t="shared" si="5"/>
        <v>0</v>
      </c>
      <c r="AB109" s="15">
        <f t="shared" si="5"/>
        <v>0</v>
      </c>
      <c r="AC109" s="83">
        <f t="shared" si="5"/>
        <v>0</v>
      </c>
    </row>
    <row r="110" spans="1:29" x14ac:dyDescent="0.3">
      <c r="A110" s="17" t="s">
        <v>26</v>
      </c>
      <c r="B110" s="72">
        <v>1989</v>
      </c>
      <c r="C110" s="18">
        <f t="shared" ref="C110:AC110" si="6">C15-C60</f>
        <v>0</v>
      </c>
      <c r="D110" s="14">
        <f t="shared" si="6"/>
        <v>0</v>
      </c>
      <c r="E110" s="16">
        <f t="shared" si="6"/>
        <v>0</v>
      </c>
      <c r="F110" s="14">
        <f t="shared" si="6"/>
        <v>0</v>
      </c>
      <c r="G110" s="16">
        <f t="shared" si="6"/>
        <v>0</v>
      </c>
      <c r="H110" s="14">
        <f t="shared" si="6"/>
        <v>0</v>
      </c>
      <c r="I110" s="16">
        <f t="shared" si="6"/>
        <v>0</v>
      </c>
      <c r="J110" s="14">
        <f t="shared" si="6"/>
        <v>0</v>
      </c>
      <c r="K110" s="15">
        <f t="shared" si="6"/>
        <v>0</v>
      </c>
      <c r="L110" s="15">
        <f t="shared" si="6"/>
        <v>0</v>
      </c>
      <c r="M110" s="15">
        <f t="shared" si="6"/>
        <v>0</v>
      </c>
      <c r="N110" s="16">
        <f t="shared" si="6"/>
        <v>0</v>
      </c>
      <c r="O110" s="15">
        <f t="shared" si="6"/>
        <v>0</v>
      </c>
      <c r="P110" s="15">
        <f t="shared" si="6"/>
        <v>0</v>
      </c>
      <c r="Q110" s="14">
        <f t="shared" si="6"/>
        <v>0</v>
      </c>
      <c r="R110" s="15">
        <f t="shared" si="6"/>
        <v>0</v>
      </c>
      <c r="S110" s="15">
        <f t="shared" si="6"/>
        <v>0</v>
      </c>
      <c r="T110" s="16">
        <f t="shared" si="6"/>
        <v>0</v>
      </c>
      <c r="U110" s="15">
        <f t="shared" si="6"/>
        <v>0</v>
      </c>
      <c r="V110" s="15">
        <f t="shared" si="6"/>
        <v>0</v>
      </c>
      <c r="W110" s="14">
        <f t="shared" si="6"/>
        <v>0</v>
      </c>
      <c r="X110" s="15">
        <f t="shared" si="6"/>
        <v>0</v>
      </c>
      <c r="Y110" s="16">
        <f t="shared" si="6"/>
        <v>0</v>
      </c>
      <c r="Z110" s="15">
        <f t="shared" si="6"/>
        <v>0</v>
      </c>
      <c r="AA110" s="15">
        <f t="shared" si="6"/>
        <v>0</v>
      </c>
      <c r="AB110" s="15">
        <f t="shared" si="6"/>
        <v>0</v>
      </c>
      <c r="AC110" s="83">
        <f t="shared" si="6"/>
        <v>0</v>
      </c>
    </row>
    <row r="111" spans="1:29" x14ac:dyDescent="0.3">
      <c r="A111" s="17" t="s">
        <v>26</v>
      </c>
      <c r="B111" s="72">
        <v>1990</v>
      </c>
      <c r="C111" s="18">
        <f t="shared" ref="C111:AC111" si="7">C16-C61</f>
        <v>0</v>
      </c>
      <c r="D111" s="14">
        <f t="shared" si="7"/>
        <v>0</v>
      </c>
      <c r="E111" s="16">
        <f t="shared" si="7"/>
        <v>0</v>
      </c>
      <c r="F111" s="14">
        <f t="shared" si="7"/>
        <v>0</v>
      </c>
      <c r="G111" s="16">
        <f t="shared" si="7"/>
        <v>0</v>
      </c>
      <c r="H111" s="14">
        <f t="shared" si="7"/>
        <v>0</v>
      </c>
      <c r="I111" s="16">
        <f t="shared" si="7"/>
        <v>0</v>
      </c>
      <c r="J111" s="14">
        <f t="shared" si="7"/>
        <v>0</v>
      </c>
      <c r="K111" s="15">
        <f t="shared" si="7"/>
        <v>0</v>
      </c>
      <c r="L111" s="15">
        <f t="shared" si="7"/>
        <v>0</v>
      </c>
      <c r="M111" s="15">
        <f t="shared" si="7"/>
        <v>0</v>
      </c>
      <c r="N111" s="16">
        <f t="shared" si="7"/>
        <v>0</v>
      </c>
      <c r="O111" s="15">
        <f t="shared" si="7"/>
        <v>0</v>
      </c>
      <c r="P111" s="15">
        <f t="shared" si="7"/>
        <v>0</v>
      </c>
      <c r="Q111" s="14">
        <f t="shared" si="7"/>
        <v>0</v>
      </c>
      <c r="R111" s="15">
        <f t="shared" si="7"/>
        <v>0</v>
      </c>
      <c r="S111" s="15">
        <f t="shared" si="7"/>
        <v>0</v>
      </c>
      <c r="T111" s="16">
        <f t="shared" si="7"/>
        <v>0</v>
      </c>
      <c r="U111" s="15">
        <f t="shared" si="7"/>
        <v>0</v>
      </c>
      <c r="V111" s="15">
        <f t="shared" si="7"/>
        <v>0</v>
      </c>
      <c r="W111" s="14">
        <f t="shared" si="7"/>
        <v>0</v>
      </c>
      <c r="X111" s="15">
        <f t="shared" si="7"/>
        <v>0</v>
      </c>
      <c r="Y111" s="16">
        <f t="shared" si="7"/>
        <v>0</v>
      </c>
      <c r="Z111" s="15">
        <f t="shared" si="7"/>
        <v>0</v>
      </c>
      <c r="AA111" s="15">
        <f t="shared" si="7"/>
        <v>0</v>
      </c>
      <c r="AB111" s="15">
        <f t="shared" si="7"/>
        <v>0</v>
      </c>
      <c r="AC111" s="83">
        <f t="shared" si="7"/>
        <v>0</v>
      </c>
    </row>
    <row r="112" spans="1:29" x14ac:dyDescent="0.3">
      <c r="A112" s="17" t="s">
        <v>26</v>
      </c>
      <c r="B112" s="72">
        <v>1991</v>
      </c>
      <c r="C112" s="18">
        <f t="shared" ref="C112:AC112" si="8">C17-C62</f>
        <v>0</v>
      </c>
      <c r="D112" s="14">
        <f t="shared" si="8"/>
        <v>0</v>
      </c>
      <c r="E112" s="16">
        <f t="shared" si="8"/>
        <v>0</v>
      </c>
      <c r="F112" s="14">
        <f t="shared" si="8"/>
        <v>0</v>
      </c>
      <c r="G112" s="16">
        <f t="shared" si="8"/>
        <v>0</v>
      </c>
      <c r="H112" s="14">
        <f t="shared" si="8"/>
        <v>0</v>
      </c>
      <c r="I112" s="16">
        <f t="shared" si="8"/>
        <v>0</v>
      </c>
      <c r="J112" s="14">
        <f t="shared" si="8"/>
        <v>0</v>
      </c>
      <c r="K112" s="15">
        <f t="shared" si="8"/>
        <v>0</v>
      </c>
      <c r="L112" s="15">
        <f t="shared" si="8"/>
        <v>0</v>
      </c>
      <c r="M112" s="15">
        <f t="shared" si="8"/>
        <v>0</v>
      </c>
      <c r="N112" s="16">
        <f t="shared" si="8"/>
        <v>0</v>
      </c>
      <c r="O112" s="15">
        <f t="shared" si="8"/>
        <v>0</v>
      </c>
      <c r="P112" s="15">
        <f t="shared" si="8"/>
        <v>0</v>
      </c>
      <c r="Q112" s="14">
        <f t="shared" si="8"/>
        <v>0</v>
      </c>
      <c r="R112" s="15">
        <f t="shared" si="8"/>
        <v>0</v>
      </c>
      <c r="S112" s="15">
        <f t="shared" si="8"/>
        <v>0</v>
      </c>
      <c r="T112" s="16">
        <f t="shared" si="8"/>
        <v>0</v>
      </c>
      <c r="U112" s="15">
        <f t="shared" si="8"/>
        <v>0</v>
      </c>
      <c r="V112" s="15">
        <f t="shared" si="8"/>
        <v>0</v>
      </c>
      <c r="W112" s="14">
        <f t="shared" si="8"/>
        <v>0</v>
      </c>
      <c r="X112" s="15">
        <f t="shared" si="8"/>
        <v>0</v>
      </c>
      <c r="Y112" s="16">
        <f t="shared" si="8"/>
        <v>0</v>
      </c>
      <c r="Z112" s="15">
        <f t="shared" si="8"/>
        <v>0</v>
      </c>
      <c r="AA112" s="15">
        <f t="shared" si="8"/>
        <v>0</v>
      </c>
      <c r="AB112" s="15">
        <f t="shared" si="8"/>
        <v>0</v>
      </c>
      <c r="AC112" s="83">
        <f t="shared" si="8"/>
        <v>0</v>
      </c>
    </row>
    <row r="113" spans="1:29" x14ac:dyDescent="0.3">
      <c r="A113" s="17" t="s">
        <v>26</v>
      </c>
      <c r="B113" s="72">
        <v>1992</v>
      </c>
      <c r="C113" s="18">
        <f t="shared" ref="C113:AC113" si="9">C18-C63</f>
        <v>0</v>
      </c>
      <c r="D113" s="14">
        <f t="shared" si="9"/>
        <v>0</v>
      </c>
      <c r="E113" s="16">
        <f t="shared" si="9"/>
        <v>0</v>
      </c>
      <c r="F113" s="14">
        <f t="shared" si="9"/>
        <v>0</v>
      </c>
      <c r="G113" s="16">
        <f t="shared" si="9"/>
        <v>0</v>
      </c>
      <c r="H113" s="14">
        <f t="shared" si="9"/>
        <v>0</v>
      </c>
      <c r="I113" s="16">
        <f t="shared" si="9"/>
        <v>0</v>
      </c>
      <c r="J113" s="14">
        <f t="shared" si="9"/>
        <v>0</v>
      </c>
      <c r="K113" s="15">
        <f t="shared" si="9"/>
        <v>0</v>
      </c>
      <c r="L113" s="15">
        <f t="shared" si="9"/>
        <v>0</v>
      </c>
      <c r="M113" s="15">
        <f t="shared" si="9"/>
        <v>0</v>
      </c>
      <c r="N113" s="16">
        <f t="shared" si="9"/>
        <v>0</v>
      </c>
      <c r="O113" s="15">
        <f t="shared" si="9"/>
        <v>0</v>
      </c>
      <c r="P113" s="15">
        <f t="shared" si="9"/>
        <v>0</v>
      </c>
      <c r="Q113" s="14">
        <f t="shared" si="9"/>
        <v>0</v>
      </c>
      <c r="R113" s="15">
        <f t="shared" si="9"/>
        <v>0</v>
      </c>
      <c r="S113" s="15">
        <f t="shared" si="9"/>
        <v>0</v>
      </c>
      <c r="T113" s="16">
        <f t="shared" si="9"/>
        <v>0</v>
      </c>
      <c r="U113" s="15">
        <f t="shared" si="9"/>
        <v>0</v>
      </c>
      <c r="V113" s="15">
        <f t="shared" si="9"/>
        <v>0</v>
      </c>
      <c r="W113" s="14">
        <f t="shared" si="9"/>
        <v>0</v>
      </c>
      <c r="X113" s="15">
        <f t="shared" si="9"/>
        <v>0</v>
      </c>
      <c r="Y113" s="16">
        <f t="shared" si="9"/>
        <v>0</v>
      </c>
      <c r="Z113" s="15">
        <f t="shared" si="9"/>
        <v>0</v>
      </c>
      <c r="AA113" s="15">
        <f t="shared" si="9"/>
        <v>0</v>
      </c>
      <c r="AB113" s="15">
        <f t="shared" si="9"/>
        <v>0</v>
      </c>
      <c r="AC113" s="83">
        <f t="shared" si="9"/>
        <v>0</v>
      </c>
    </row>
    <row r="114" spans="1:29" x14ac:dyDescent="0.3">
      <c r="A114" s="17" t="s">
        <v>26</v>
      </c>
      <c r="B114" s="72">
        <v>1993</v>
      </c>
      <c r="C114" s="18">
        <f t="shared" ref="C114:AC114" si="10">C19-C64</f>
        <v>0</v>
      </c>
      <c r="D114" s="14">
        <f t="shared" si="10"/>
        <v>0</v>
      </c>
      <c r="E114" s="16">
        <f t="shared" si="10"/>
        <v>0</v>
      </c>
      <c r="F114" s="14">
        <f t="shared" si="10"/>
        <v>0</v>
      </c>
      <c r="G114" s="16">
        <f t="shared" si="10"/>
        <v>0</v>
      </c>
      <c r="H114" s="14">
        <f t="shared" si="10"/>
        <v>0</v>
      </c>
      <c r="I114" s="16">
        <f t="shared" si="10"/>
        <v>0</v>
      </c>
      <c r="J114" s="14">
        <f t="shared" si="10"/>
        <v>0</v>
      </c>
      <c r="K114" s="15">
        <f t="shared" si="10"/>
        <v>0</v>
      </c>
      <c r="L114" s="15">
        <f t="shared" si="10"/>
        <v>0</v>
      </c>
      <c r="M114" s="15">
        <f t="shared" si="10"/>
        <v>0</v>
      </c>
      <c r="N114" s="16">
        <f t="shared" si="10"/>
        <v>0</v>
      </c>
      <c r="O114" s="15">
        <f t="shared" si="10"/>
        <v>0</v>
      </c>
      <c r="P114" s="15">
        <f t="shared" si="10"/>
        <v>0</v>
      </c>
      <c r="Q114" s="14">
        <f t="shared" si="10"/>
        <v>0</v>
      </c>
      <c r="R114" s="15">
        <f t="shared" si="10"/>
        <v>0</v>
      </c>
      <c r="S114" s="15">
        <f t="shared" si="10"/>
        <v>0</v>
      </c>
      <c r="T114" s="16">
        <f t="shared" si="10"/>
        <v>0</v>
      </c>
      <c r="U114" s="15">
        <f t="shared" si="10"/>
        <v>0</v>
      </c>
      <c r="V114" s="15">
        <f t="shared" si="10"/>
        <v>0</v>
      </c>
      <c r="W114" s="14">
        <f t="shared" si="10"/>
        <v>0</v>
      </c>
      <c r="X114" s="15">
        <f t="shared" si="10"/>
        <v>0</v>
      </c>
      <c r="Y114" s="16">
        <f t="shared" si="10"/>
        <v>0</v>
      </c>
      <c r="Z114" s="15">
        <f t="shared" si="10"/>
        <v>0</v>
      </c>
      <c r="AA114" s="15">
        <f t="shared" si="10"/>
        <v>0</v>
      </c>
      <c r="AB114" s="15">
        <f t="shared" si="10"/>
        <v>0</v>
      </c>
      <c r="AC114" s="83">
        <f t="shared" si="10"/>
        <v>0</v>
      </c>
    </row>
    <row r="115" spans="1:29" x14ac:dyDescent="0.3">
      <c r="A115" s="17" t="s">
        <v>26</v>
      </c>
      <c r="B115" s="72">
        <v>1994</v>
      </c>
      <c r="C115" s="18">
        <f t="shared" ref="C115:AC115" si="11">C20-C65</f>
        <v>0</v>
      </c>
      <c r="D115" s="14">
        <f t="shared" si="11"/>
        <v>0</v>
      </c>
      <c r="E115" s="16">
        <f t="shared" si="11"/>
        <v>0</v>
      </c>
      <c r="F115" s="14">
        <f t="shared" si="11"/>
        <v>0</v>
      </c>
      <c r="G115" s="16">
        <f t="shared" si="11"/>
        <v>0</v>
      </c>
      <c r="H115" s="14">
        <f t="shared" si="11"/>
        <v>0</v>
      </c>
      <c r="I115" s="16">
        <f t="shared" si="11"/>
        <v>0</v>
      </c>
      <c r="J115" s="14">
        <f t="shared" si="11"/>
        <v>0</v>
      </c>
      <c r="K115" s="15">
        <f t="shared" si="11"/>
        <v>0</v>
      </c>
      <c r="L115" s="15">
        <f t="shared" si="11"/>
        <v>0</v>
      </c>
      <c r="M115" s="15">
        <f t="shared" si="11"/>
        <v>0</v>
      </c>
      <c r="N115" s="16">
        <f t="shared" si="11"/>
        <v>0</v>
      </c>
      <c r="O115" s="15">
        <f t="shared" si="11"/>
        <v>0</v>
      </c>
      <c r="P115" s="15">
        <f t="shared" si="11"/>
        <v>0</v>
      </c>
      <c r="Q115" s="14">
        <f t="shared" si="11"/>
        <v>0</v>
      </c>
      <c r="R115" s="15">
        <f t="shared" si="11"/>
        <v>0</v>
      </c>
      <c r="S115" s="15">
        <f t="shared" si="11"/>
        <v>0</v>
      </c>
      <c r="T115" s="16">
        <f t="shared" si="11"/>
        <v>0</v>
      </c>
      <c r="U115" s="15">
        <f t="shared" si="11"/>
        <v>0</v>
      </c>
      <c r="V115" s="15">
        <f t="shared" si="11"/>
        <v>0</v>
      </c>
      <c r="W115" s="14">
        <f t="shared" si="11"/>
        <v>0</v>
      </c>
      <c r="X115" s="15">
        <f t="shared" si="11"/>
        <v>0</v>
      </c>
      <c r="Y115" s="16">
        <f t="shared" si="11"/>
        <v>0</v>
      </c>
      <c r="Z115" s="15">
        <f t="shared" si="11"/>
        <v>0</v>
      </c>
      <c r="AA115" s="15">
        <f t="shared" si="11"/>
        <v>0</v>
      </c>
      <c r="AB115" s="15">
        <f t="shared" si="11"/>
        <v>0</v>
      </c>
      <c r="AC115" s="83">
        <f t="shared" si="11"/>
        <v>0</v>
      </c>
    </row>
    <row r="116" spans="1:29" x14ac:dyDescent="0.3">
      <c r="A116" s="17" t="s">
        <v>26</v>
      </c>
      <c r="B116" s="72">
        <v>1995</v>
      </c>
      <c r="C116" s="18">
        <f t="shared" ref="C116:AC116" si="12">C21-C66</f>
        <v>0</v>
      </c>
      <c r="D116" s="14">
        <f t="shared" si="12"/>
        <v>0</v>
      </c>
      <c r="E116" s="16">
        <f t="shared" si="12"/>
        <v>0</v>
      </c>
      <c r="F116" s="14">
        <f t="shared" si="12"/>
        <v>0</v>
      </c>
      <c r="G116" s="16">
        <f t="shared" si="12"/>
        <v>0</v>
      </c>
      <c r="H116" s="14">
        <f t="shared" si="12"/>
        <v>0</v>
      </c>
      <c r="I116" s="16">
        <f t="shared" si="12"/>
        <v>0</v>
      </c>
      <c r="J116" s="14">
        <f t="shared" si="12"/>
        <v>0</v>
      </c>
      <c r="K116" s="15">
        <f t="shared" si="12"/>
        <v>0</v>
      </c>
      <c r="L116" s="15">
        <f t="shared" si="12"/>
        <v>0</v>
      </c>
      <c r="M116" s="15">
        <f t="shared" si="12"/>
        <v>0</v>
      </c>
      <c r="N116" s="16">
        <f t="shared" si="12"/>
        <v>0</v>
      </c>
      <c r="O116" s="15">
        <f t="shared" si="12"/>
        <v>0</v>
      </c>
      <c r="P116" s="15">
        <f t="shared" si="12"/>
        <v>0</v>
      </c>
      <c r="Q116" s="14">
        <f t="shared" si="12"/>
        <v>0</v>
      </c>
      <c r="R116" s="15">
        <f t="shared" si="12"/>
        <v>0</v>
      </c>
      <c r="S116" s="15">
        <f t="shared" si="12"/>
        <v>0</v>
      </c>
      <c r="T116" s="16">
        <f t="shared" si="12"/>
        <v>0</v>
      </c>
      <c r="U116" s="15">
        <f t="shared" si="12"/>
        <v>0</v>
      </c>
      <c r="V116" s="15">
        <f t="shared" si="12"/>
        <v>0</v>
      </c>
      <c r="W116" s="14">
        <f t="shared" si="12"/>
        <v>0</v>
      </c>
      <c r="X116" s="15">
        <f t="shared" si="12"/>
        <v>0</v>
      </c>
      <c r="Y116" s="16">
        <f t="shared" si="12"/>
        <v>0</v>
      </c>
      <c r="Z116" s="15">
        <f t="shared" si="12"/>
        <v>0</v>
      </c>
      <c r="AA116" s="15">
        <f t="shared" si="12"/>
        <v>0</v>
      </c>
      <c r="AB116" s="15">
        <f t="shared" si="12"/>
        <v>0</v>
      </c>
      <c r="AC116" s="83">
        <f t="shared" si="12"/>
        <v>0</v>
      </c>
    </row>
    <row r="117" spans="1:29" x14ac:dyDescent="0.3">
      <c r="A117" s="17" t="s">
        <v>26</v>
      </c>
      <c r="B117" s="72">
        <v>1996</v>
      </c>
      <c r="C117" s="18">
        <f t="shared" ref="C117:AC117" si="13">C22-C67</f>
        <v>0</v>
      </c>
      <c r="D117" s="14">
        <f t="shared" si="13"/>
        <v>0</v>
      </c>
      <c r="E117" s="16">
        <f t="shared" si="13"/>
        <v>0</v>
      </c>
      <c r="F117" s="14">
        <f t="shared" si="13"/>
        <v>0</v>
      </c>
      <c r="G117" s="16">
        <f t="shared" si="13"/>
        <v>0</v>
      </c>
      <c r="H117" s="14">
        <f t="shared" si="13"/>
        <v>0</v>
      </c>
      <c r="I117" s="16">
        <f t="shared" si="13"/>
        <v>0</v>
      </c>
      <c r="J117" s="14">
        <f t="shared" si="13"/>
        <v>0</v>
      </c>
      <c r="K117" s="15">
        <f t="shared" si="13"/>
        <v>0</v>
      </c>
      <c r="L117" s="15">
        <f t="shared" si="13"/>
        <v>0</v>
      </c>
      <c r="M117" s="15">
        <f t="shared" si="13"/>
        <v>0</v>
      </c>
      <c r="N117" s="16">
        <f t="shared" si="13"/>
        <v>0</v>
      </c>
      <c r="O117" s="15">
        <f t="shared" si="13"/>
        <v>0</v>
      </c>
      <c r="P117" s="15">
        <f t="shared" si="13"/>
        <v>0</v>
      </c>
      <c r="Q117" s="14">
        <f t="shared" si="13"/>
        <v>0</v>
      </c>
      <c r="R117" s="15">
        <f t="shared" si="13"/>
        <v>0</v>
      </c>
      <c r="S117" s="15">
        <f t="shared" si="13"/>
        <v>0</v>
      </c>
      <c r="T117" s="16">
        <f t="shared" si="13"/>
        <v>0</v>
      </c>
      <c r="U117" s="15">
        <f t="shared" si="13"/>
        <v>0</v>
      </c>
      <c r="V117" s="15">
        <f t="shared" si="13"/>
        <v>0</v>
      </c>
      <c r="W117" s="14">
        <f t="shared" si="13"/>
        <v>0</v>
      </c>
      <c r="X117" s="15">
        <f t="shared" si="13"/>
        <v>0</v>
      </c>
      <c r="Y117" s="16">
        <f t="shared" si="13"/>
        <v>0</v>
      </c>
      <c r="Z117" s="15">
        <f t="shared" si="13"/>
        <v>0</v>
      </c>
      <c r="AA117" s="15">
        <f t="shared" si="13"/>
        <v>0</v>
      </c>
      <c r="AB117" s="15">
        <f t="shared" si="13"/>
        <v>0</v>
      </c>
      <c r="AC117" s="83">
        <f t="shared" si="13"/>
        <v>0</v>
      </c>
    </row>
    <row r="118" spans="1:29" x14ac:dyDescent="0.3">
      <c r="A118" s="17" t="s">
        <v>26</v>
      </c>
      <c r="B118" s="72">
        <v>1997</v>
      </c>
      <c r="C118" s="18">
        <f t="shared" ref="C118:AC118" si="14">C23-C68</f>
        <v>0</v>
      </c>
      <c r="D118" s="14">
        <f t="shared" si="14"/>
        <v>0</v>
      </c>
      <c r="E118" s="16">
        <f t="shared" si="14"/>
        <v>0</v>
      </c>
      <c r="F118" s="14">
        <f t="shared" si="14"/>
        <v>0</v>
      </c>
      <c r="G118" s="16">
        <f t="shared" si="14"/>
        <v>0</v>
      </c>
      <c r="H118" s="14">
        <f t="shared" si="14"/>
        <v>0</v>
      </c>
      <c r="I118" s="16">
        <f t="shared" si="14"/>
        <v>0</v>
      </c>
      <c r="J118" s="14">
        <f t="shared" si="14"/>
        <v>0</v>
      </c>
      <c r="K118" s="15">
        <f t="shared" si="14"/>
        <v>0</v>
      </c>
      <c r="L118" s="15">
        <f t="shared" si="14"/>
        <v>0</v>
      </c>
      <c r="M118" s="15">
        <f t="shared" si="14"/>
        <v>0</v>
      </c>
      <c r="N118" s="16">
        <f t="shared" si="14"/>
        <v>0</v>
      </c>
      <c r="O118" s="15">
        <f t="shared" si="14"/>
        <v>0</v>
      </c>
      <c r="P118" s="15">
        <f t="shared" si="14"/>
        <v>0</v>
      </c>
      <c r="Q118" s="14">
        <f t="shared" si="14"/>
        <v>0</v>
      </c>
      <c r="R118" s="15">
        <f t="shared" si="14"/>
        <v>0</v>
      </c>
      <c r="S118" s="15">
        <f t="shared" si="14"/>
        <v>0</v>
      </c>
      <c r="T118" s="16">
        <f t="shared" si="14"/>
        <v>0</v>
      </c>
      <c r="U118" s="15">
        <f t="shared" si="14"/>
        <v>0</v>
      </c>
      <c r="V118" s="15">
        <f t="shared" si="14"/>
        <v>0</v>
      </c>
      <c r="W118" s="14">
        <f t="shared" si="14"/>
        <v>0</v>
      </c>
      <c r="X118" s="15">
        <f t="shared" si="14"/>
        <v>0</v>
      </c>
      <c r="Y118" s="16">
        <f t="shared" si="14"/>
        <v>0</v>
      </c>
      <c r="Z118" s="15">
        <f t="shared" si="14"/>
        <v>0</v>
      </c>
      <c r="AA118" s="15">
        <f t="shared" si="14"/>
        <v>0</v>
      </c>
      <c r="AB118" s="15">
        <f t="shared" si="14"/>
        <v>0</v>
      </c>
      <c r="AC118" s="83">
        <f t="shared" si="14"/>
        <v>0</v>
      </c>
    </row>
    <row r="119" spans="1:29" x14ac:dyDescent="0.3">
      <c r="A119" s="17" t="s">
        <v>26</v>
      </c>
      <c r="B119" s="72">
        <v>1998</v>
      </c>
      <c r="C119" s="18">
        <f t="shared" ref="C119:AC119" si="15">C24-C69</f>
        <v>0</v>
      </c>
      <c r="D119" s="14">
        <f t="shared" si="15"/>
        <v>0</v>
      </c>
      <c r="E119" s="16">
        <f t="shared" si="15"/>
        <v>0</v>
      </c>
      <c r="F119" s="14">
        <f t="shared" si="15"/>
        <v>0</v>
      </c>
      <c r="G119" s="16">
        <f t="shared" si="15"/>
        <v>0</v>
      </c>
      <c r="H119" s="14">
        <f t="shared" si="15"/>
        <v>0</v>
      </c>
      <c r="I119" s="16">
        <f t="shared" si="15"/>
        <v>0</v>
      </c>
      <c r="J119" s="14">
        <f t="shared" si="15"/>
        <v>0</v>
      </c>
      <c r="K119" s="15">
        <f t="shared" si="15"/>
        <v>0</v>
      </c>
      <c r="L119" s="15">
        <f t="shared" si="15"/>
        <v>0</v>
      </c>
      <c r="M119" s="15">
        <f t="shared" si="15"/>
        <v>0</v>
      </c>
      <c r="N119" s="16">
        <f t="shared" si="15"/>
        <v>0</v>
      </c>
      <c r="O119" s="15">
        <f t="shared" si="15"/>
        <v>0</v>
      </c>
      <c r="P119" s="15">
        <f t="shared" si="15"/>
        <v>0</v>
      </c>
      <c r="Q119" s="14">
        <f t="shared" si="15"/>
        <v>0</v>
      </c>
      <c r="R119" s="15">
        <f t="shared" si="15"/>
        <v>0</v>
      </c>
      <c r="S119" s="15">
        <f t="shared" si="15"/>
        <v>0</v>
      </c>
      <c r="T119" s="16">
        <f t="shared" si="15"/>
        <v>0</v>
      </c>
      <c r="U119" s="15">
        <f t="shared" si="15"/>
        <v>0</v>
      </c>
      <c r="V119" s="15">
        <f t="shared" si="15"/>
        <v>0</v>
      </c>
      <c r="W119" s="14">
        <f t="shared" si="15"/>
        <v>0</v>
      </c>
      <c r="X119" s="15">
        <f t="shared" si="15"/>
        <v>0</v>
      </c>
      <c r="Y119" s="16">
        <f t="shared" si="15"/>
        <v>0</v>
      </c>
      <c r="Z119" s="15">
        <f t="shared" si="15"/>
        <v>0</v>
      </c>
      <c r="AA119" s="15">
        <f t="shared" si="15"/>
        <v>0</v>
      </c>
      <c r="AB119" s="15">
        <f t="shared" si="15"/>
        <v>0</v>
      </c>
      <c r="AC119" s="83">
        <f t="shared" si="15"/>
        <v>0</v>
      </c>
    </row>
    <row r="120" spans="1:29" x14ac:dyDescent="0.3">
      <c r="A120" s="17" t="s">
        <v>26</v>
      </c>
      <c r="B120" s="72">
        <v>1999</v>
      </c>
      <c r="C120" s="18">
        <f t="shared" ref="C120:AC120" si="16">C25-C70</f>
        <v>0</v>
      </c>
      <c r="D120" s="14">
        <f t="shared" si="16"/>
        <v>0</v>
      </c>
      <c r="E120" s="16">
        <f t="shared" si="16"/>
        <v>0</v>
      </c>
      <c r="F120" s="14">
        <f t="shared" si="16"/>
        <v>0</v>
      </c>
      <c r="G120" s="16">
        <f t="shared" si="16"/>
        <v>0</v>
      </c>
      <c r="H120" s="14">
        <f t="shared" si="16"/>
        <v>0</v>
      </c>
      <c r="I120" s="16">
        <f t="shared" si="16"/>
        <v>0</v>
      </c>
      <c r="J120" s="14">
        <f t="shared" si="16"/>
        <v>0</v>
      </c>
      <c r="K120" s="15">
        <f t="shared" si="16"/>
        <v>0</v>
      </c>
      <c r="L120" s="15">
        <f t="shared" si="16"/>
        <v>0</v>
      </c>
      <c r="M120" s="15">
        <f t="shared" si="16"/>
        <v>0</v>
      </c>
      <c r="N120" s="16">
        <f t="shared" si="16"/>
        <v>0</v>
      </c>
      <c r="O120" s="15">
        <f t="shared" si="16"/>
        <v>0</v>
      </c>
      <c r="P120" s="15">
        <f t="shared" si="16"/>
        <v>0</v>
      </c>
      <c r="Q120" s="14">
        <f t="shared" si="16"/>
        <v>0</v>
      </c>
      <c r="R120" s="15">
        <f t="shared" si="16"/>
        <v>0</v>
      </c>
      <c r="S120" s="15">
        <f t="shared" si="16"/>
        <v>0</v>
      </c>
      <c r="T120" s="16">
        <f t="shared" si="16"/>
        <v>0</v>
      </c>
      <c r="U120" s="15">
        <f t="shared" si="16"/>
        <v>0</v>
      </c>
      <c r="V120" s="15">
        <f t="shared" si="16"/>
        <v>0</v>
      </c>
      <c r="W120" s="14">
        <f t="shared" si="16"/>
        <v>0</v>
      </c>
      <c r="X120" s="15">
        <f t="shared" si="16"/>
        <v>0</v>
      </c>
      <c r="Y120" s="16">
        <f t="shared" si="16"/>
        <v>0</v>
      </c>
      <c r="Z120" s="15">
        <f t="shared" si="16"/>
        <v>0</v>
      </c>
      <c r="AA120" s="15">
        <f t="shared" si="16"/>
        <v>0</v>
      </c>
      <c r="AB120" s="15">
        <f t="shared" si="16"/>
        <v>0</v>
      </c>
      <c r="AC120" s="83">
        <f t="shared" si="16"/>
        <v>0</v>
      </c>
    </row>
    <row r="121" spans="1:29" x14ac:dyDescent="0.3">
      <c r="A121" s="17" t="s">
        <v>26</v>
      </c>
      <c r="B121" s="72">
        <v>2000</v>
      </c>
      <c r="C121" s="18">
        <f t="shared" ref="C121:AC121" si="17">C26-C71</f>
        <v>0</v>
      </c>
      <c r="D121" s="14">
        <f t="shared" si="17"/>
        <v>0</v>
      </c>
      <c r="E121" s="16">
        <f t="shared" si="17"/>
        <v>0</v>
      </c>
      <c r="F121" s="14">
        <f t="shared" si="17"/>
        <v>0</v>
      </c>
      <c r="G121" s="16">
        <f t="shared" si="17"/>
        <v>0</v>
      </c>
      <c r="H121" s="14">
        <f t="shared" si="17"/>
        <v>0</v>
      </c>
      <c r="I121" s="16">
        <f t="shared" si="17"/>
        <v>0</v>
      </c>
      <c r="J121" s="14">
        <f t="shared" si="17"/>
        <v>0</v>
      </c>
      <c r="K121" s="15">
        <f t="shared" si="17"/>
        <v>0</v>
      </c>
      <c r="L121" s="15">
        <f t="shared" si="17"/>
        <v>0</v>
      </c>
      <c r="M121" s="15">
        <f t="shared" si="17"/>
        <v>0</v>
      </c>
      <c r="N121" s="16">
        <f t="shared" si="17"/>
        <v>0</v>
      </c>
      <c r="O121" s="15">
        <f t="shared" si="17"/>
        <v>0</v>
      </c>
      <c r="P121" s="15">
        <f t="shared" si="17"/>
        <v>0</v>
      </c>
      <c r="Q121" s="14">
        <f t="shared" si="17"/>
        <v>0</v>
      </c>
      <c r="R121" s="15">
        <f t="shared" si="17"/>
        <v>0</v>
      </c>
      <c r="S121" s="15">
        <f t="shared" si="17"/>
        <v>0</v>
      </c>
      <c r="T121" s="16">
        <f t="shared" si="17"/>
        <v>0</v>
      </c>
      <c r="U121" s="15">
        <f t="shared" si="17"/>
        <v>0</v>
      </c>
      <c r="V121" s="15">
        <f t="shared" si="17"/>
        <v>0</v>
      </c>
      <c r="W121" s="14">
        <f t="shared" si="17"/>
        <v>0</v>
      </c>
      <c r="X121" s="15">
        <f t="shared" si="17"/>
        <v>0</v>
      </c>
      <c r="Y121" s="16">
        <f t="shared" si="17"/>
        <v>0</v>
      </c>
      <c r="Z121" s="15">
        <f t="shared" si="17"/>
        <v>0</v>
      </c>
      <c r="AA121" s="15">
        <f t="shared" si="17"/>
        <v>0</v>
      </c>
      <c r="AB121" s="15">
        <f t="shared" si="17"/>
        <v>0</v>
      </c>
      <c r="AC121" s="83">
        <f t="shared" si="17"/>
        <v>0</v>
      </c>
    </row>
    <row r="122" spans="1:29" x14ac:dyDescent="0.3">
      <c r="A122" s="17" t="s">
        <v>26</v>
      </c>
      <c r="B122" s="72">
        <v>2001</v>
      </c>
      <c r="C122" s="18">
        <f t="shared" ref="C122:AC122" si="18">C27-C72</f>
        <v>0</v>
      </c>
      <c r="D122" s="14">
        <f t="shared" si="18"/>
        <v>0</v>
      </c>
      <c r="E122" s="16">
        <f t="shared" si="18"/>
        <v>0</v>
      </c>
      <c r="F122" s="14">
        <f t="shared" si="18"/>
        <v>0</v>
      </c>
      <c r="G122" s="16">
        <f t="shared" si="18"/>
        <v>0</v>
      </c>
      <c r="H122" s="14">
        <f t="shared" si="18"/>
        <v>0</v>
      </c>
      <c r="I122" s="16">
        <f t="shared" si="18"/>
        <v>0</v>
      </c>
      <c r="J122" s="14">
        <f t="shared" si="18"/>
        <v>0</v>
      </c>
      <c r="K122" s="15">
        <f t="shared" si="18"/>
        <v>0</v>
      </c>
      <c r="L122" s="15">
        <f t="shared" si="18"/>
        <v>0</v>
      </c>
      <c r="M122" s="15">
        <f t="shared" si="18"/>
        <v>0</v>
      </c>
      <c r="N122" s="16">
        <f t="shared" si="18"/>
        <v>0</v>
      </c>
      <c r="O122" s="15">
        <f t="shared" si="18"/>
        <v>0</v>
      </c>
      <c r="P122" s="15">
        <f t="shared" si="18"/>
        <v>0</v>
      </c>
      <c r="Q122" s="14">
        <f t="shared" si="18"/>
        <v>0</v>
      </c>
      <c r="R122" s="15">
        <f t="shared" si="18"/>
        <v>0</v>
      </c>
      <c r="S122" s="15">
        <f t="shared" si="18"/>
        <v>0</v>
      </c>
      <c r="T122" s="16">
        <f t="shared" si="18"/>
        <v>0</v>
      </c>
      <c r="U122" s="15">
        <f t="shared" si="18"/>
        <v>0</v>
      </c>
      <c r="V122" s="15">
        <f t="shared" si="18"/>
        <v>0</v>
      </c>
      <c r="W122" s="14">
        <f t="shared" si="18"/>
        <v>0</v>
      </c>
      <c r="X122" s="15">
        <f t="shared" si="18"/>
        <v>0</v>
      </c>
      <c r="Y122" s="16">
        <f t="shared" si="18"/>
        <v>0</v>
      </c>
      <c r="Z122" s="15">
        <f t="shared" si="18"/>
        <v>0</v>
      </c>
      <c r="AA122" s="15">
        <f t="shared" si="18"/>
        <v>0</v>
      </c>
      <c r="AB122" s="15">
        <f t="shared" si="18"/>
        <v>0</v>
      </c>
      <c r="AC122" s="83">
        <f t="shared" si="18"/>
        <v>0</v>
      </c>
    </row>
    <row r="123" spans="1:29" x14ac:dyDescent="0.3">
      <c r="A123" s="17" t="s">
        <v>26</v>
      </c>
      <c r="B123" s="72">
        <v>2002</v>
      </c>
      <c r="C123" s="18">
        <f t="shared" ref="C123:AC123" si="19">C28-C73</f>
        <v>0</v>
      </c>
      <c r="D123" s="14">
        <f t="shared" si="19"/>
        <v>0</v>
      </c>
      <c r="E123" s="16">
        <f t="shared" si="19"/>
        <v>0</v>
      </c>
      <c r="F123" s="14">
        <f t="shared" si="19"/>
        <v>0</v>
      </c>
      <c r="G123" s="16">
        <f t="shared" si="19"/>
        <v>0</v>
      </c>
      <c r="H123" s="14">
        <f t="shared" si="19"/>
        <v>0</v>
      </c>
      <c r="I123" s="16">
        <f t="shared" si="19"/>
        <v>0</v>
      </c>
      <c r="J123" s="14">
        <f t="shared" si="19"/>
        <v>0</v>
      </c>
      <c r="K123" s="15">
        <f t="shared" si="19"/>
        <v>0</v>
      </c>
      <c r="L123" s="15">
        <f t="shared" si="19"/>
        <v>0</v>
      </c>
      <c r="M123" s="15">
        <f t="shared" si="19"/>
        <v>0</v>
      </c>
      <c r="N123" s="16">
        <f t="shared" si="19"/>
        <v>0</v>
      </c>
      <c r="O123" s="15">
        <f t="shared" si="19"/>
        <v>0</v>
      </c>
      <c r="P123" s="15">
        <f t="shared" si="19"/>
        <v>0</v>
      </c>
      <c r="Q123" s="14">
        <f t="shared" si="19"/>
        <v>0</v>
      </c>
      <c r="R123" s="15">
        <f t="shared" si="19"/>
        <v>0</v>
      </c>
      <c r="S123" s="15">
        <f t="shared" si="19"/>
        <v>0</v>
      </c>
      <c r="T123" s="16">
        <f t="shared" si="19"/>
        <v>0</v>
      </c>
      <c r="U123" s="15">
        <f t="shared" si="19"/>
        <v>0</v>
      </c>
      <c r="V123" s="15">
        <f t="shared" si="19"/>
        <v>0</v>
      </c>
      <c r="W123" s="14">
        <f t="shared" si="19"/>
        <v>0</v>
      </c>
      <c r="X123" s="15">
        <f t="shared" si="19"/>
        <v>0</v>
      </c>
      <c r="Y123" s="16">
        <f t="shared" si="19"/>
        <v>0</v>
      </c>
      <c r="Z123" s="15">
        <f t="shared" si="19"/>
        <v>0</v>
      </c>
      <c r="AA123" s="15">
        <f t="shared" si="19"/>
        <v>0</v>
      </c>
      <c r="AB123" s="15">
        <f t="shared" si="19"/>
        <v>0</v>
      </c>
      <c r="AC123" s="83">
        <f t="shared" si="19"/>
        <v>0</v>
      </c>
    </row>
    <row r="124" spans="1:29" x14ac:dyDescent="0.3">
      <c r="A124" s="17" t="s">
        <v>26</v>
      </c>
      <c r="B124" s="72">
        <v>2003</v>
      </c>
      <c r="C124" s="18">
        <f t="shared" ref="C124:AC124" si="20">C29-C74</f>
        <v>0</v>
      </c>
      <c r="D124" s="14">
        <f t="shared" si="20"/>
        <v>0</v>
      </c>
      <c r="E124" s="16">
        <f t="shared" si="20"/>
        <v>0</v>
      </c>
      <c r="F124" s="14">
        <f t="shared" si="20"/>
        <v>0</v>
      </c>
      <c r="G124" s="16">
        <f t="shared" si="20"/>
        <v>0</v>
      </c>
      <c r="H124" s="14">
        <f t="shared" si="20"/>
        <v>0</v>
      </c>
      <c r="I124" s="16">
        <f t="shared" si="20"/>
        <v>0</v>
      </c>
      <c r="J124" s="14">
        <f t="shared" si="20"/>
        <v>0</v>
      </c>
      <c r="K124" s="15">
        <f t="shared" si="20"/>
        <v>0</v>
      </c>
      <c r="L124" s="15">
        <f t="shared" si="20"/>
        <v>0</v>
      </c>
      <c r="M124" s="15">
        <f t="shared" si="20"/>
        <v>0</v>
      </c>
      <c r="N124" s="16">
        <f t="shared" si="20"/>
        <v>0</v>
      </c>
      <c r="O124" s="15">
        <f t="shared" si="20"/>
        <v>0</v>
      </c>
      <c r="P124" s="15">
        <f t="shared" si="20"/>
        <v>0</v>
      </c>
      <c r="Q124" s="14">
        <f t="shared" si="20"/>
        <v>0</v>
      </c>
      <c r="R124" s="15">
        <f t="shared" si="20"/>
        <v>0</v>
      </c>
      <c r="S124" s="15">
        <f t="shared" si="20"/>
        <v>0</v>
      </c>
      <c r="T124" s="16">
        <f t="shared" si="20"/>
        <v>0</v>
      </c>
      <c r="U124" s="15">
        <f t="shared" si="20"/>
        <v>0</v>
      </c>
      <c r="V124" s="15">
        <f t="shared" si="20"/>
        <v>0</v>
      </c>
      <c r="W124" s="14">
        <f t="shared" si="20"/>
        <v>0</v>
      </c>
      <c r="X124" s="15">
        <f t="shared" si="20"/>
        <v>0</v>
      </c>
      <c r="Y124" s="16">
        <f t="shared" si="20"/>
        <v>0</v>
      </c>
      <c r="Z124" s="15">
        <f t="shared" si="20"/>
        <v>0</v>
      </c>
      <c r="AA124" s="15">
        <f t="shared" si="20"/>
        <v>0</v>
      </c>
      <c r="AB124" s="15">
        <f t="shared" si="20"/>
        <v>0</v>
      </c>
      <c r="AC124" s="83">
        <f t="shared" si="20"/>
        <v>0</v>
      </c>
    </row>
    <row r="125" spans="1:29" x14ac:dyDescent="0.3">
      <c r="A125" s="17" t="s">
        <v>26</v>
      </c>
      <c r="B125" s="72">
        <v>2004</v>
      </c>
      <c r="C125" s="18">
        <f t="shared" ref="C125:AC125" si="21">C30-C75</f>
        <v>0</v>
      </c>
      <c r="D125" s="14">
        <f t="shared" si="21"/>
        <v>0</v>
      </c>
      <c r="E125" s="16">
        <f t="shared" si="21"/>
        <v>0</v>
      </c>
      <c r="F125" s="14">
        <f t="shared" si="21"/>
        <v>0</v>
      </c>
      <c r="G125" s="16">
        <f t="shared" si="21"/>
        <v>0</v>
      </c>
      <c r="H125" s="14">
        <f t="shared" si="21"/>
        <v>0</v>
      </c>
      <c r="I125" s="16">
        <f t="shared" si="21"/>
        <v>0</v>
      </c>
      <c r="J125" s="14">
        <f t="shared" si="21"/>
        <v>0</v>
      </c>
      <c r="K125" s="15">
        <f t="shared" si="21"/>
        <v>0</v>
      </c>
      <c r="L125" s="15">
        <f t="shared" si="21"/>
        <v>0</v>
      </c>
      <c r="M125" s="15">
        <f t="shared" si="21"/>
        <v>0</v>
      </c>
      <c r="N125" s="16">
        <f t="shared" si="21"/>
        <v>0</v>
      </c>
      <c r="O125" s="15">
        <f t="shared" si="21"/>
        <v>0</v>
      </c>
      <c r="P125" s="15">
        <f t="shared" si="21"/>
        <v>0</v>
      </c>
      <c r="Q125" s="14">
        <f t="shared" si="21"/>
        <v>0</v>
      </c>
      <c r="R125" s="15">
        <f t="shared" si="21"/>
        <v>0</v>
      </c>
      <c r="S125" s="15">
        <f t="shared" si="21"/>
        <v>0</v>
      </c>
      <c r="T125" s="16">
        <f t="shared" si="21"/>
        <v>0</v>
      </c>
      <c r="U125" s="15">
        <f t="shared" si="21"/>
        <v>0</v>
      </c>
      <c r="V125" s="15">
        <f t="shared" si="21"/>
        <v>0</v>
      </c>
      <c r="W125" s="14">
        <f t="shared" si="21"/>
        <v>0</v>
      </c>
      <c r="X125" s="15">
        <f t="shared" si="21"/>
        <v>0</v>
      </c>
      <c r="Y125" s="16">
        <f t="shared" si="21"/>
        <v>0</v>
      </c>
      <c r="Z125" s="15">
        <f t="shared" si="21"/>
        <v>0</v>
      </c>
      <c r="AA125" s="15">
        <f t="shared" si="21"/>
        <v>0</v>
      </c>
      <c r="AB125" s="15">
        <f t="shared" si="21"/>
        <v>0</v>
      </c>
      <c r="AC125" s="83">
        <f t="shared" si="21"/>
        <v>0</v>
      </c>
    </row>
    <row r="126" spans="1:29" x14ac:dyDescent="0.3">
      <c r="A126" s="17" t="s">
        <v>26</v>
      </c>
      <c r="B126" s="72">
        <v>2005</v>
      </c>
      <c r="C126" s="18">
        <f t="shared" ref="C126:AC126" si="22">C31-C76</f>
        <v>3.7010000000000218</v>
      </c>
      <c r="D126" s="14">
        <f t="shared" si="22"/>
        <v>-1.8400650595600844E-7</v>
      </c>
      <c r="E126" s="16">
        <f t="shared" si="22"/>
        <v>0</v>
      </c>
      <c r="F126" s="14">
        <f t="shared" si="22"/>
        <v>-7.8379422583990319E-7</v>
      </c>
      <c r="G126" s="16">
        <f t="shared" si="22"/>
        <v>0</v>
      </c>
      <c r="H126" s="14">
        <f t="shared" si="22"/>
        <v>-4.3757651603096304E-5</v>
      </c>
      <c r="I126" s="16">
        <f t="shared" si="22"/>
        <v>-6.2534936099201133E-5</v>
      </c>
      <c r="J126" s="14">
        <f t="shared" si="22"/>
        <v>-1.9014853571700657E-5</v>
      </c>
      <c r="K126" s="15">
        <f t="shared" si="22"/>
        <v>0</v>
      </c>
      <c r="L126" s="15">
        <f t="shared" si="22"/>
        <v>-6.4200322171498181E-5</v>
      </c>
      <c r="M126" s="15">
        <f t="shared" si="22"/>
        <v>-1.4334841709498503E-5</v>
      </c>
      <c r="N126" s="16">
        <f t="shared" si="22"/>
        <v>-1.610268916180102E-6</v>
      </c>
      <c r="O126" s="15">
        <f t="shared" si="22"/>
        <v>-6.0996319486007321E-7</v>
      </c>
      <c r="P126" s="15">
        <f t="shared" si="22"/>
        <v>0</v>
      </c>
      <c r="Q126" s="14">
        <f t="shared" si="22"/>
        <v>0</v>
      </c>
      <c r="R126" s="15">
        <f t="shared" si="22"/>
        <v>0</v>
      </c>
      <c r="S126" s="15">
        <f t="shared" si="22"/>
        <v>-3.8534793546901591E-5</v>
      </c>
      <c r="T126" s="16">
        <f t="shared" si="22"/>
        <v>0</v>
      </c>
      <c r="U126" s="15">
        <f t="shared" si="22"/>
        <v>-1.929490489782637E-5</v>
      </c>
      <c r="V126" s="15">
        <f t="shared" si="22"/>
        <v>-9.4533217347169719E-7</v>
      </c>
      <c r="W126" s="14">
        <f t="shared" si="22"/>
        <v>-2.1476046583500386E-5</v>
      </c>
      <c r="X126" s="15">
        <f t="shared" si="22"/>
        <v>-4.777979715779937E-6</v>
      </c>
      <c r="Y126" s="16">
        <f t="shared" si="22"/>
        <v>8.9806691612090081E-4</v>
      </c>
      <c r="Z126" s="15">
        <f t="shared" si="22"/>
        <v>-6.0600722120596195E-4</v>
      </c>
      <c r="AA126" s="15">
        <f t="shared" si="22"/>
        <v>0</v>
      </c>
      <c r="AB126" s="15">
        <f t="shared" si="22"/>
        <v>0</v>
      </c>
      <c r="AC126" s="83">
        <f t="shared" si="22"/>
        <v>-2.0684663149184157E-4</v>
      </c>
    </row>
    <row r="127" spans="1:29" x14ac:dyDescent="0.3">
      <c r="A127" s="17" t="s">
        <v>26</v>
      </c>
      <c r="B127" s="72">
        <v>2006</v>
      </c>
      <c r="C127" s="18">
        <f t="shared" ref="C127:AC127" si="23">C32-C77</f>
        <v>-0.64499999999998181</v>
      </c>
      <c r="D127" s="14">
        <f t="shared" si="23"/>
        <v>4.0414311151988624E-8</v>
      </c>
      <c r="E127" s="16">
        <f t="shared" si="23"/>
        <v>0</v>
      </c>
      <c r="F127" s="14">
        <f t="shared" si="23"/>
        <v>2.1869342935014469E-7</v>
      </c>
      <c r="G127" s="16">
        <f t="shared" si="23"/>
        <v>0</v>
      </c>
      <c r="H127" s="14">
        <f t="shared" si="23"/>
        <v>-6.2619028617011407E-5</v>
      </c>
      <c r="I127" s="16">
        <f t="shared" si="23"/>
        <v>-3.6099333080803764E-5</v>
      </c>
      <c r="J127" s="14">
        <f t="shared" si="23"/>
        <v>2.0964081732001427E-6</v>
      </c>
      <c r="K127" s="15">
        <f t="shared" si="23"/>
        <v>0</v>
      </c>
      <c r="L127" s="15">
        <f t="shared" si="23"/>
        <v>-7.3074055406699423E-5</v>
      </c>
      <c r="M127" s="15">
        <f t="shared" si="23"/>
        <v>8.020403749601536E-7</v>
      </c>
      <c r="N127" s="16">
        <f t="shared" si="23"/>
        <v>0</v>
      </c>
      <c r="O127" s="15">
        <f t="shared" si="23"/>
        <v>4.8497173382992147E-9</v>
      </c>
      <c r="P127" s="15">
        <f t="shared" si="23"/>
        <v>0</v>
      </c>
      <c r="Q127" s="14">
        <f t="shared" si="23"/>
        <v>0</v>
      </c>
      <c r="R127" s="15">
        <f t="shared" si="23"/>
        <v>0</v>
      </c>
      <c r="S127" s="15">
        <f t="shared" si="23"/>
        <v>-6.8990969355003928E-5</v>
      </c>
      <c r="T127" s="16">
        <f t="shared" si="23"/>
        <v>0</v>
      </c>
      <c r="U127" s="15">
        <f t="shared" si="23"/>
        <v>-1.1289983637733161E-5</v>
      </c>
      <c r="V127" s="15">
        <f t="shared" si="23"/>
        <v>-1.2388011971576404E-6</v>
      </c>
      <c r="W127" s="14">
        <f t="shared" si="23"/>
        <v>-3.9301020657901004E-5</v>
      </c>
      <c r="X127" s="15">
        <f t="shared" si="23"/>
        <v>-5.2969372637597795E-6</v>
      </c>
      <c r="Y127" s="16">
        <f t="shared" si="23"/>
        <v>1.1028918972752003E-3</v>
      </c>
      <c r="Z127" s="15">
        <f t="shared" si="23"/>
        <v>-8.1009508308504952E-4</v>
      </c>
      <c r="AA127" s="15">
        <f t="shared" si="23"/>
        <v>1.9509090201704632E-6</v>
      </c>
      <c r="AB127" s="15">
        <f t="shared" si="23"/>
        <v>0</v>
      </c>
      <c r="AC127" s="83">
        <f t="shared" si="23"/>
        <v>-1.686704254096616E-4</v>
      </c>
    </row>
    <row r="128" spans="1:29" x14ac:dyDescent="0.3">
      <c r="A128" s="17" t="s">
        <v>26</v>
      </c>
      <c r="B128" s="72">
        <v>2007</v>
      </c>
      <c r="C128" s="18">
        <f t="shared" ref="C128:AC128" si="24">C33-C78</f>
        <v>3.0639999999998508</v>
      </c>
      <c r="D128" s="14">
        <f t="shared" si="24"/>
        <v>-3.1346363215902688E-7</v>
      </c>
      <c r="E128" s="16">
        <f t="shared" si="24"/>
        <v>0</v>
      </c>
      <c r="F128" s="14">
        <f t="shared" si="24"/>
        <v>-1.0437812209460138E-5</v>
      </c>
      <c r="G128" s="16">
        <f t="shared" si="24"/>
        <v>0</v>
      </c>
      <c r="H128" s="14">
        <f t="shared" si="24"/>
        <v>-1.8505109126840114E-4</v>
      </c>
      <c r="I128" s="16">
        <f t="shared" si="24"/>
        <v>-7.3279057298002159E-5</v>
      </c>
      <c r="J128" s="14">
        <f t="shared" si="24"/>
        <v>1.76620903013223E-6</v>
      </c>
      <c r="K128" s="15">
        <f t="shared" si="24"/>
        <v>0</v>
      </c>
      <c r="L128" s="15">
        <f t="shared" si="24"/>
        <v>-2.4424928360300413E-4</v>
      </c>
      <c r="M128" s="15">
        <f t="shared" si="24"/>
        <v>7.9691351439566301E-4</v>
      </c>
      <c r="N128" s="16">
        <f t="shared" si="24"/>
        <v>0</v>
      </c>
      <c r="O128" s="15">
        <f t="shared" si="24"/>
        <v>-4.1335863581502623E-8</v>
      </c>
      <c r="P128" s="15">
        <f t="shared" si="24"/>
        <v>0</v>
      </c>
      <c r="Q128" s="14">
        <f t="shared" si="24"/>
        <v>0</v>
      </c>
      <c r="R128" s="15">
        <f t="shared" si="24"/>
        <v>0</v>
      </c>
      <c r="S128" s="15">
        <f t="shared" si="24"/>
        <v>-9.1435994517795327E-5</v>
      </c>
      <c r="T128" s="16">
        <f t="shared" si="24"/>
        <v>0</v>
      </c>
      <c r="U128" s="15">
        <f t="shared" si="24"/>
        <v>-5.7135498881201799E-5</v>
      </c>
      <c r="V128" s="15">
        <f t="shared" si="24"/>
        <v>-1.6519282169896819E-5</v>
      </c>
      <c r="W128" s="14">
        <f t="shared" si="24"/>
        <v>-4.2185908474601241E-5</v>
      </c>
      <c r="X128" s="15">
        <f t="shared" si="24"/>
        <v>-1.1932107325450698E-5</v>
      </c>
      <c r="Y128" s="16">
        <f t="shared" si="24"/>
        <v>1.9440765945703004E-3</v>
      </c>
      <c r="Z128" s="15">
        <f t="shared" si="24"/>
        <v>-2.0090349191089762E-3</v>
      </c>
      <c r="AA128" s="15">
        <f t="shared" si="24"/>
        <v>-1.1405636432698131E-6</v>
      </c>
      <c r="AB128" s="15">
        <f t="shared" si="24"/>
        <v>0</v>
      </c>
      <c r="AC128" s="83">
        <f t="shared" si="24"/>
        <v>2.8562114318333998E-4</v>
      </c>
    </row>
    <row r="129" spans="1:29" x14ac:dyDescent="0.3">
      <c r="A129" s="17" t="s">
        <v>26</v>
      </c>
      <c r="B129" s="72">
        <v>2008</v>
      </c>
      <c r="C129" s="18">
        <f t="shared" ref="C129:AC129" si="25">C34-C79</f>
        <v>8.9140000000002146</v>
      </c>
      <c r="D129" s="14">
        <f t="shared" si="25"/>
        <v>-7.5967778789603688E-6</v>
      </c>
      <c r="E129" s="16">
        <f t="shared" si="25"/>
        <v>0</v>
      </c>
      <c r="F129" s="14">
        <f t="shared" si="25"/>
        <v>0</v>
      </c>
      <c r="G129" s="16">
        <f t="shared" si="25"/>
        <v>0</v>
      </c>
      <c r="H129" s="14">
        <f t="shared" si="25"/>
        <v>-3.6331687418610092E-4</v>
      </c>
      <c r="I129" s="16">
        <f t="shared" si="25"/>
        <v>-1.8816075263870108E-4</v>
      </c>
      <c r="J129" s="14">
        <f t="shared" si="25"/>
        <v>3.32736548478288E-4</v>
      </c>
      <c r="K129" s="15">
        <f t="shared" si="25"/>
        <v>0</v>
      </c>
      <c r="L129" s="15">
        <f t="shared" si="25"/>
        <v>-6.3683037383902019E-4</v>
      </c>
      <c r="M129" s="15">
        <f t="shared" si="25"/>
        <v>-2.7076893946959869E-5</v>
      </c>
      <c r="N129" s="16">
        <f t="shared" si="25"/>
        <v>0</v>
      </c>
      <c r="O129" s="15">
        <f t="shared" si="25"/>
        <v>-1.7271359012759968E-6</v>
      </c>
      <c r="P129" s="15">
        <f t="shared" si="25"/>
        <v>0</v>
      </c>
      <c r="Q129" s="14">
        <f t="shared" si="25"/>
        <v>-2.3085728228263878E-5</v>
      </c>
      <c r="R129" s="15">
        <f t="shared" si="25"/>
        <v>0</v>
      </c>
      <c r="S129" s="15">
        <f t="shared" si="25"/>
        <v>-9.6444477294943542E-4</v>
      </c>
      <c r="T129" s="16">
        <f t="shared" si="25"/>
        <v>0</v>
      </c>
      <c r="U129" s="15">
        <f t="shared" si="25"/>
        <v>-7.8133078149381259E-5</v>
      </c>
      <c r="V129" s="15">
        <f t="shared" si="25"/>
        <v>-2.4860524865712337E-5</v>
      </c>
      <c r="W129" s="14">
        <f t="shared" si="25"/>
        <v>-1.4074946754800283E-4</v>
      </c>
      <c r="X129" s="15">
        <f t="shared" si="25"/>
        <v>-7.9253748783860052E-5</v>
      </c>
      <c r="Y129" s="16">
        <f t="shared" si="25"/>
        <v>8.6553762447613009E-3</v>
      </c>
      <c r="Z129" s="15">
        <f t="shared" si="25"/>
        <v>-6.439118360091034E-3</v>
      </c>
      <c r="AA129" s="15">
        <f t="shared" si="25"/>
        <v>-1.3758304233180314E-5</v>
      </c>
      <c r="AB129" s="15">
        <f t="shared" si="25"/>
        <v>0</v>
      </c>
      <c r="AC129" s="83">
        <f t="shared" si="25"/>
        <v>-8.8437548203368355E-4</v>
      </c>
    </row>
    <row r="130" spans="1:29" x14ac:dyDescent="0.3">
      <c r="A130" s="17" t="s">
        <v>26</v>
      </c>
      <c r="B130" s="72">
        <v>2009</v>
      </c>
      <c r="C130" s="18">
        <f t="shared" ref="C130:AC130" si="26">C35-C80</f>
        <v>-3.2640000000001237</v>
      </c>
      <c r="D130" s="14">
        <f t="shared" si="26"/>
        <v>3.0910525883803613E-7</v>
      </c>
      <c r="E130" s="16">
        <f t="shared" si="26"/>
        <v>0</v>
      </c>
      <c r="F130" s="14">
        <f t="shared" si="26"/>
        <v>2.21602192576007E-7</v>
      </c>
      <c r="G130" s="16">
        <f t="shared" si="26"/>
        <v>0</v>
      </c>
      <c r="H130" s="14">
        <f t="shared" si="26"/>
        <v>-9.78232108737008E-5</v>
      </c>
      <c r="I130" s="16">
        <f t="shared" si="26"/>
        <v>-9.6942787462198782E-5</v>
      </c>
      <c r="J130" s="14">
        <f t="shared" si="26"/>
        <v>7.6233137248029985E-5</v>
      </c>
      <c r="K130" s="15">
        <f t="shared" si="26"/>
        <v>0</v>
      </c>
      <c r="L130" s="15">
        <f t="shared" si="26"/>
        <v>-4.7254020518500139E-4</v>
      </c>
      <c r="M130" s="15">
        <f t="shared" si="26"/>
        <v>-5.0973533009779706E-5</v>
      </c>
      <c r="N130" s="16">
        <f t="shared" si="26"/>
        <v>3.63458289774543E-4</v>
      </c>
      <c r="O130" s="15">
        <f t="shared" si="26"/>
        <v>2.4029479806300658E-7</v>
      </c>
      <c r="P130" s="15">
        <f t="shared" si="26"/>
        <v>0</v>
      </c>
      <c r="Q130" s="14">
        <f t="shared" si="26"/>
        <v>0</v>
      </c>
      <c r="R130" s="15">
        <f t="shared" si="26"/>
        <v>0</v>
      </c>
      <c r="S130" s="15">
        <f t="shared" si="26"/>
        <v>-1.1538512751580049E-3</v>
      </c>
      <c r="T130" s="16">
        <f t="shared" si="26"/>
        <v>0</v>
      </c>
      <c r="U130" s="15">
        <f t="shared" si="26"/>
        <v>-4.6664750361666632E-4</v>
      </c>
      <c r="V130" s="15">
        <f t="shared" si="26"/>
        <v>-5.4828035672976547E-5</v>
      </c>
      <c r="W130" s="14">
        <f t="shared" si="26"/>
        <v>-2.6400653445099453E-5</v>
      </c>
      <c r="X130" s="15">
        <f t="shared" si="26"/>
        <v>-6.9051110641450524E-5</v>
      </c>
      <c r="Y130" s="16">
        <f t="shared" si="26"/>
        <v>6.3585126780227007E-3</v>
      </c>
      <c r="Z130" s="15">
        <f t="shared" si="26"/>
        <v>-4.3202221069080782E-3</v>
      </c>
      <c r="AA130" s="15">
        <f t="shared" si="26"/>
        <v>1.0305314676700011E-5</v>
      </c>
      <c r="AB130" s="15">
        <f t="shared" si="26"/>
        <v>0</v>
      </c>
      <c r="AC130" s="83">
        <f t="shared" si="26"/>
        <v>-2.7812641251748205E-4</v>
      </c>
    </row>
    <row r="131" spans="1:29" x14ac:dyDescent="0.3">
      <c r="A131" s="17" t="s">
        <v>26</v>
      </c>
      <c r="B131" s="72">
        <v>2010</v>
      </c>
      <c r="C131" s="18">
        <f t="shared" ref="C131:AC131" si="27">C36-C81</f>
        <v>15.476999999999862</v>
      </c>
      <c r="D131" s="14">
        <f t="shared" si="27"/>
        <v>-1.1004649054740081E-5</v>
      </c>
      <c r="E131" s="16">
        <f t="shared" si="27"/>
        <v>0</v>
      </c>
      <c r="F131" s="14">
        <f t="shared" si="27"/>
        <v>-1.0852934347070414E-6</v>
      </c>
      <c r="G131" s="16">
        <f t="shared" si="27"/>
        <v>0</v>
      </c>
      <c r="H131" s="14">
        <f t="shared" si="27"/>
        <v>-7.0311922484699724E-5</v>
      </c>
      <c r="I131" s="16">
        <f t="shared" si="27"/>
        <v>-7.3899636329199936E-5</v>
      </c>
      <c r="J131" s="14">
        <f t="shared" si="27"/>
        <v>-3.6921761820299902E-4</v>
      </c>
      <c r="K131" s="15">
        <f t="shared" si="27"/>
        <v>0</v>
      </c>
      <c r="L131" s="15">
        <f t="shared" si="27"/>
        <v>-6.7414667549600682E-4</v>
      </c>
      <c r="M131" s="15">
        <f t="shared" si="27"/>
        <v>-1.4371916487150062E-5</v>
      </c>
      <c r="N131" s="16">
        <f t="shared" si="27"/>
        <v>3.2029048363727198E-4</v>
      </c>
      <c r="O131" s="15">
        <f t="shared" si="27"/>
        <v>-1.7684373909789594E-7</v>
      </c>
      <c r="P131" s="15">
        <f t="shared" si="27"/>
        <v>-6.3812546632401268E-8</v>
      </c>
      <c r="Q131" s="14">
        <f t="shared" si="27"/>
        <v>-7.030175857336389E-6</v>
      </c>
      <c r="R131" s="15">
        <f t="shared" si="27"/>
        <v>0</v>
      </c>
      <c r="S131" s="15">
        <f t="shared" si="27"/>
        <v>-4.4138500630556271E-4</v>
      </c>
      <c r="T131" s="16">
        <f t="shared" si="27"/>
        <v>0</v>
      </c>
      <c r="U131" s="15">
        <f t="shared" si="27"/>
        <v>-1.0428066239506414E-4</v>
      </c>
      <c r="V131" s="15">
        <f t="shared" si="27"/>
        <v>-4.9570033180752933E-6</v>
      </c>
      <c r="W131" s="14">
        <f t="shared" si="27"/>
        <v>-7.2214945816200665E-5</v>
      </c>
      <c r="X131" s="15">
        <f t="shared" si="27"/>
        <v>-3.8401885243049411E-5</v>
      </c>
      <c r="Y131" s="16">
        <f t="shared" si="27"/>
        <v>7.4415004127108015E-3</v>
      </c>
      <c r="Z131" s="15">
        <f t="shared" si="27"/>
        <v>-5.8683746858650965E-3</v>
      </c>
      <c r="AA131" s="15">
        <f t="shared" si="27"/>
        <v>-8.6247092174899023E-6</v>
      </c>
      <c r="AB131" s="15">
        <f t="shared" si="27"/>
        <v>-2.2434545542500059E-6</v>
      </c>
      <c r="AC131" s="83">
        <f t="shared" si="27"/>
        <v>-8.8298323508323451E-4</v>
      </c>
    </row>
    <row r="132" spans="1:29" x14ac:dyDescent="0.3">
      <c r="A132" s="17" t="s">
        <v>26</v>
      </c>
      <c r="B132" s="72">
        <v>2011</v>
      </c>
      <c r="C132" s="18">
        <f t="shared" ref="C132:AC132" si="28">C37-C82</f>
        <v>-0.67900000000008731</v>
      </c>
      <c r="D132" s="14">
        <f t="shared" si="28"/>
        <v>1.4982986858000937E-10</v>
      </c>
      <c r="E132" s="16">
        <f t="shared" si="28"/>
        <v>0</v>
      </c>
      <c r="F132" s="14">
        <f t="shared" si="28"/>
        <v>-4.824511374785026E-6</v>
      </c>
      <c r="G132" s="16">
        <f t="shared" si="28"/>
        <v>0</v>
      </c>
      <c r="H132" s="14">
        <f t="shared" si="28"/>
        <v>-1.0886114752759954E-4</v>
      </c>
      <c r="I132" s="16">
        <f t="shared" si="28"/>
        <v>-1.3350462953460457E-4</v>
      </c>
      <c r="J132" s="14">
        <f t="shared" si="28"/>
        <v>-2.1293539477288976E-4</v>
      </c>
      <c r="K132" s="15">
        <f t="shared" si="28"/>
        <v>0</v>
      </c>
      <c r="L132" s="15">
        <f t="shared" si="28"/>
        <v>-4.8703125588198115E-4</v>
      </c>
      <c r="M132" s="15">
        <f t="shared" si="28"/>
        <v>-1.4356818333770196E-5</v>
      </c>
      <c r="N132" s="16">
        <f t="shared" si="28"/>
        <v>-1.6421074192489796E-5</v>
      </c>
      <c r="O132" s="15">
        <f t="shared" si="28"/>
        <v>-7.0784368641189791E-6</v>
      </c>
      <c r="P132" s="15">
        <f t="shared" si="28"/>
        <v>1.1686729748001945E-9</v>
      </c>
      <c r="Q132" s="14">
        <f t="shared" si="28"/>
        <v>-2.1315390940560355E-5</v>
      </c>
      <c r="R132" s="15">
        <f t="shared" si="28"/>
        <v>0</v>
      </c>
      <c r="S132" s="15">
        <f t="shared" si="28"/>
        <v>-2.1443283286203679E-4</v>
      </c>
      <c r="T132" s="16">
        <f t="shared" si="28"/>
        <v>0</v>
      </c>
      <c r="U132" s="15">
        <f t="shared" si="28"/>
        <v>-7.2363907226639934E-5</v>
      </c>
      <c r="V132" s="15">
        <f t="shared" si="28"/>
        <v>-7.3052024565982594E-5</v>
      </c>
      <c r="W132" s="14">
        <f t="shared" si="28"/>
        <v>-3.3434455711099653E-5</v>
      </c>
      <c r="X132" s="15">
        <f t="shared" si="28"/>
        <v>-6.7300066993379766E-5</v>
      </c>
      <c r="Y132" s="16">
        <f t="shared" si="28"/>
        <v>9.3771685664292004E-3</v>
      </c>
      <c r="Z132" s="15">
        <f t="shared" si="28"/>
        <v>-7.9102579381500338E-3</v>
      </c>
      <c r="AA132" s="15">
        <f t="shared" si="28"/>
        <v>0</v>
      </c>
      <c r="AB132" s="15">
        <f t="shared" si="28"/>
        <v>0</v>
      </c>
      <c r="AC132" s="83">
        <f t="shared" si="28"/>
        <v>-9.8501209980927928E-4</v>
      </c>
    </row>
    <row r="133" spans="1:29" x14ac:dyDescent="0.3">
      <c r="A133" s="17" t="s">
        <v>26</v>
      </c>
      <c r="B133" s="72">
        <v>2012</v>
      </c>
      <c r="C133" s="18">
        <f t="shared" ref="C133:AC133" si="29">C38-C83</f>
        <v>65.649000000000342</v>
      </c>
      <c r="D133" s="14">
        <f t="shared" si="29"/>
        <v>-2.3528189569419823E-6</v>
      </c>
      <c r="E133" s="16">
        <f t="shared" si="29"/>
        <v>-2.7192551722230043E-7</v>
      </c>
      <c r="F133" s="14">
        <f t="shared" si="29"/>
        <v>-3.8457515053320185E-6</v>
      </c>
      <c r="G133" s="16">
        <f t="shared" si="29"/>
        <v>1.32327141150373E-4</v>
      </c>
      <c r="H133" s="14">
        <f t="shared" si="29"/>
        <v>-1.6445750930320011E-4</v>
      </c>
      <c r="I133" s="16">
        <f t="shared" si="29"/>
        <v>-4.2923896621500229E-4</v>
      </c>
      <c r="J133" s="14">
        <f t="shared" si="29"/>
        <v>-4.8565398943419946E-5</v>
      </c>
      <c r="K133" s="15">
        <f t="shared" si="29"/>
        <v>3.3737887600346101E-4</v>
      </c>
      <c r="L133" s="15">
        <f t="shared" si="29"/>
        <v>-2.9478663074340161E-3</v>
      </c>
      <c r="M133" s="15">
        <f t="shared" si="29"/>
        <v>-1.9847356459379946E-5</v>
      </c>
      <c r="N133" s="16">
        <f t="shared" si="29"/>
        <v>-4.2155679189750331E-5</v>
      </c>
      <c r="O133" s="15">
        <f t="shared" si="29"/>
        <v>-1.1755804372599979E-6</v>
      </c>
      <c r="P133" s="15">
        <f t="shared" si="29"/>
        <v>0</v>
      </c>
      <c r="Q133" s="14">
        <f t="shared" si="29"/>
        <v>-3.4245857167234566E-5</v>
      </c>
      <c r="R133" s="15">
        <f t="shared" si="29"/>
        <v>0</v>
      </c>
      <c r="S133" s="15">
        <f t="shared" si="29"/>
        <v>-1.0985915316261696E-3</v>
      </c>
      <c r="T133" s="16">
        <f t="shared" si="29"/>
        <v>0</v>
      </c>
      <c r="U133" s="15">
        <f t="shared" si="29"/>
        <v>-6.1493109784133094E-5</v>
      </c>
      <c r="V133" s="15">
        <f t="shared" si="29"/>
        <v>-8.5895137085816552E-5</v>
      </c>
      <c r="W133" s="14">
        <f t="shared" si="29"/>
        <v>-6.9844807601769643E-4</v>
      </c>
      <c r="X133" s="15">
        <f t="shared" si="29"/>
        <v>-1.130671044136701E-4</v>
      </c>
      <c r="Y133" s="16">
        <f t="shared" si="29"/>
        <v>1.9896521146198498E-2</v>
      </c>
      <c r="Z133" s="15">
        <f t="shared" si="29"/>
        <v>-1.4614709053295982E-2</v>
      </c>
      <c r="AA133" s="15">
        <f t="shared" si="29"/>
        <v>0</v>
      </c>
      <c r="AB133" s="15">
        <f t="shared" si="29"/>
        <v>0</v>
      </c>
      <c r="AC133" s="83">
        <f t="shared" si="29"/>
        <v>-3.1874465323334933E-3</v>
      </c>
    </row>
    <row r="134" spans="1:29" x14ac:dyDescent="0.3">
      <c r="A134" s="17" t="s">
        <v>26</v>
      </c>
      <c r="B134" s="72">
        <v>2013</v>
      </c>
      <c r="C134" s="18">
        <f t="shared" ref="C134:AC134" si="30">C39-C84</f>
        <v>41.932000000000698</v>
      </c>
      <c r="D134" s="14">
        <f t="shared" si="30"/>
        <v>-1.8375128701980008E-6</v>
      </c>
      <c r="E134" s="16">
        <f t="shared" si="30"/>
        <v>-1.6507298952420243E-6</v>
      </c>
      <c r="F134" s="14">
        <f t="shared" si="30"/>
        <v>-1.6045515506223984E-5</v>
      </c>
      <c r="G134" s="16">
        <f t="shared" si="30"/>
        <v>-1.3425335896849846E-6</v>
      </c>
      <c r="H134" s="14">
        <f t="shared" si="30"/>
        <v>-2.0830443132510007E-4</v>
      </c>
      <c r="I134" s="16">
        <f t="shared" si="30"/>
        <v>2.203771674189E-3</v>
      </c>
      <c r="J134" s="14">
        <f t="shared" si="30"/>
        <v>5.5041953069847986E-4</v>
      </c>
      <c r="K134" s="15">
        <f t="shared" si="30"/>
        <v>1.6187382398229601E-4</v>
      </c>
      <c r="L134" s="15">
        <f t="shared" si="30"/>
        <v>3.5205098763440024E-3</v>
      </c>
      <c r="M134" s="15">
        <f t="shared" si="30"/>
        <v>-2.6913360492988978E-4</v>
      </c>
      <c r="N134" s="16">
        <f t="shared" si="30"/>
        <v>1.5198846643086803E-4</v>
      </c>
      <c r="O134" s="15">
        <f t="shared" si="30"/>
        <v>-1.8350551994750349E-6</v>
      </c>
      <c r="P134" s="15">
        <f t="shared" si="30"/>
        <v>-6.0324645021598932E-8</v>
      </c>
      <c r="Q134" s="14">
        <f t="shared" si="30"/>
        <v>-9.4317427005496945E-5</v>
      </c>
      <c r="R134" s="15">
        <f t="shared" si="30"/>
        <v>0</v>
      </c>
      <c r="S134" s="15">
        <f t="shared" si="30"/>
        <v>-1.4575727781266021E-3</v>
      </c>
      <c r="T134" s="16">
        <f t="shared" si="30"/>
        <v>0</v>
      </c>
      <c r="U134" s="15">
        <f t="shared" si="30"/>
        <v>-1.63138499349888E-4</v>
      </c>
      <c r="V134" s="15">
        <f t="shared" si="30"/>
        <v>-5.3205731643540463E-4</v>
      </c>
      <c r="W134" s="14">
        <f t="shared" si="30"/>
        <v>-3.9367721059459931E-4</v>
      </c>
      <c r="X134" s="15">
        <f t="shared" si="30"/>
        <v>-7.2537456054319431E-5</v>
      </c>
      <c r="Y134" s="16">
        <f t="shared" si="30"/>
        <v>1.5357340856544499E-2</v>
      </c>
      <c r="Z134" s="15">
        <f t="shared" si="30"/>
        <v>-1.8724439916504076E-2</v>
      </c>
      <c r="AA134" s="15">
        <f t="shared" si="30"/>
        <v>-7.9539161583902507E-6</v>
      </c>
      <c r="AB134" s="15">
        <f t="shared" si="30"/>
        <v>0</v>
      </c>
      <c r="AC134" s="83">
        <f t="shared" si="30"/>
        <v>6.0918419064492635E-3</v>
      </c>
    </row>
    <row r="135" spans="1:29" x14ac:dyDescent="0.3">
      <c r="A135" s="17" t="s">
        <v>26</v>
      </c>
      <c r="B135" s="72">
        <v>2014</v>
      </c>
      <c r="C135" s="18">
        <f t="shared" ref="C135:AC135" si="31">C40-C85</f>
        <v>-111.70800000000054</v>
      </c>
      <c r="D135" s="14">
        <f t="shared" si="31"/>
        <v>-8.9874792767201048E-6</v>
      </c>
      <c r="E135" s="16">
        <f t="shared" si="31"/>
        <v>3.6441186103679786E-9</v>
      </c>
      <c r="F135" s="14">
        <f t="shared" si="31"/>
        <v>9.2780340254700381E-7</v>
      </c>
      <c r="G135" s="16">
        <f t="shared" si="31"/>
        <v>0</v>
      </c>
      <c r="H135" s="14">
        <f t="shared" si="31"/>
        <v>-2.8107109624799995E-5</v>
      </c>
      <c r="I135" s="16">
        <f t="shared" si="31"/>
        <v>5.9746214848260121E-4</v>
      </c>
      <c r="J135" s="14">
        <f t="shared" si="31"/>
        <v>5.990546513332598E-4</v>
      </c>
      <c r="K135" s="15">
        <f t="shared" si="31"/>
        <v>2.1674547624901978E-5</v>
      </c>
      <c r="L135" s="15">
        <f t="shared" si="31"/>
        <v>-9.4669329093510224E-3</v>
      </c>
      <c r="M135" s="15">
        <f t="shared" si="31"/>
        <v>6.308247362087798E-5</v>
      </c>
      <c r="N135" s="16">
        <f t="shared" si="31"/>
        <v>1.1874594476475196E-4</v>
      </c>
      <c r="O135" s="15">
        <f t="shared" si="31"/>
        <v>1.3118826997320128E-8</v>
      </c>
      <c r="P135" s="15">
        <f t="shared" si="31"/>
        <v>2.1452972060270964E-6</v>
      </c>
      <c r="Q135" s="14">
        <f t="shared" si="31"/>
        <v>-6.6495019416020623E-6</v>
      </c>
      <c r="R135" s="15">
        <f t="shared" si="31"/>
        <v>0</v>
      </c>
      <c r="S135" s="15">
        <f t="shared" si="31"/>
        <v>-3.8348439893094721E-5</v>
      </c>
      <c r="T135" s="16">
        <f t="shared" si="31"/>
        <v>0</v>
      </c>
      <c r="U135" s="15">
        <f t="shared" si="31"/>
        <v>2.9369718486053215E-5</v>
      </c>
      <c r="V135" s="15">
        <f t="shared" si="31"/>
        <v>3.2394480254046426E-5</v>
      </c>
      <c r="W135" s="14">
        <f t="shared" si="31"/>
        <v>-8.4532521930982818E-6</v>
      </c>
      <c r="X135" s="15">
        <f t="shared" si="31"/>
        <v>4.1705597521599427E-6</v>
      </c>
      <c r="Y135" s="16">
        <f t="shared" si="31"/>
        <v>8.620359628860999E-3</v>
      </c>
      <c r="Z135" s="15">
        <f t="shared" si="31"/>
        <v>-5.6214235597096263E-4</v>
      </c>
      <c r="AA135" s="15">
        <f t="shared" si="31"/>
        <v>3.0217031517159893E-5</v>
      </c>
      <c r="AB135" s="15">
        <f t="shared" si="31"/>
        <v>0</v>
      </c>
      <c r="AC135" s="83">
        <f t="shared" si="31"/>
        <v>-8.0919340337138601E-3</v>
      </c>
    </row>
    <row r="136" spans="1:29" x14ac:dyDescent="0.3">
      <c r="A136" s="17" t="s">
        <v>26</v>
      </c>
      <c r="B136" s="72">
        <v>2015</v>
      </c>
      <c r="C136" s="18">
        <f t="shared" ref="C136:AC136" si="32">C41-C86</f>
        <v>9.8389999999999418</v>
      </c>
      <c r="D136" s="14">
        <f t="shared" si="32"/>
        <v>-2.535662908901968E-7</v>
      </c>
      <c r="E136" s="16">
        <f t="shared" si="32"/>
        <v>-3.8904705461200313E-8</v>
      </c>
      <c r="F136" s="14">
        <f t="shared" si="32"/>
        <v>-2.9107555369730026E-6</v>
      </c>
      <c r="G136" s="16">
        <f t="shared" si="32"/>
        <v>1.7323524623544012E-5</v>
      </c>
      <c r="H136" s="14">
        <f t="shared" si="32"/>
        <v>-1.7189429425560135E-5</v>
      </c>
      <c r="I136" s="16">
        <f t="shared" si="32"/>
        <v>-1.0015189752870038E-4</v>
      </c>
      <c r="J136" s="14">
        <f t="shared" si="32"/>
        <v>-4.0987471843709038E-4</v>
      </c>
      <c r="K136" s="15">
        <f t="shared" si="32"/>
        <v>-5.9871478702760127E-5</v>
      </c>
      <c r="L136" s="15">
        <f t="shared" si="32"/>
        <v>5.3339052983839841E-3</v>
      </c>
      <c r="M136" s="15">
        <f t="shared" si="32"/>
        <v>7.2995774629707778E-7</v>
      </c>
      <c r="N136" s="16">
        <f t="shared" si="32"/>
        <v>0</v>
      </c>
      <c r="O136" s="15">
        <f t="shared" si="32"/>
        <v>0</v>
      </c>
      <c r="P136" s="15">
        <f t="shared" si="32"/>
        <v>-5.7562969618199793E-7</v>
      </c>
      <c r="Q136" s="14">
        <f t="shared" si="32"/>
        <v>-5.7661578848176506E-5</v>
      </c>
      <c r="R136" s="15">
        <f t="shared" si="32"/>
        <v>0</v>
      </c>
      <c r="S136" s="15">
        <f t="shared" si="32"/>
        <v>-7.5549326775491837E-4</v>
      </c>
      <c r="T136" s="16">
        <f t="shared" si="32"/>
        <v>0</v>
      </c>
      <c r="U136" s="15">
        <f t="shared" si="32"/>
        <v>-1.7060557180314379E-4</v>
      </c>
      <c r="V136" s="15">
        <f t="shared" si="32"/>
        <v>-5.4580618966835678E-4</v>
      </c>
      <c r="W136" s="14">
        <f t="shared" si="32"/>
        <v>-1.0456041267300001E-4</v>
      </c>
      <c r="X136" s="15">
        <f t="shared" si="32"/>
        <v>-2.1182017746030138E-5</v>
      </c>
      <c r="Y136" s="16">
        <f t="shared" si="32"/>
        <v>7.2105812780393994E-3</v>
      </c>
      <c r="Z136" s="15">
        <f t="shared" si="32"/>
        <v>-1.0301794000021958E-2</v>
      </c>
      <c r="AA136" s="15">
        <f t="shared" si="32"/>
        <v>-1.4570639954900044E-5</v>
      </c>
      <c r="AB136" s="15">
        <f t="shared" si="32"/>
        <v>0</v>
      </c>
      <c r="AC136" s="83">
        <f t="shared" si="32"/>
        <v>4.7613848714265494E-3</v>
      </c>
    </row>
    <row r="137" spans="1:29" x14ac:dyDescent="0.3">
      <c r="A137" s="17" t="s">
        <v>26</v>
      </c>
      <c r="B137" s="72">
        <v>2016</v>
      </c>
      <c r="C137" s="18">
        <f t="shared" ref="C137:AC137" si="33">C42-C87</f>
        <v>-31.612999999999374</v>
      </c>
      <c r="D137" s="14">
        <f t="shared" si="33"/>
        <v>4.0218093126306864E-7</v>
      </c>
      <c r="E137" s="16">
        <f t="shared" si="33"/>
        <v>1.0740311189340324E-6</v>
      </c>
      <c r="F137" s="14">
        <f t="shared" si="33"/>
        <v>-2.2590580858793206E-7</v>
      </c>
      <c r="G137" s="16">
        <f t="shared" si="33"/>
        <v>0</v>
      </c>
      <c r="H137" s="14">
        <f t="shared" si="33"/>
        <v>-3.2090603150798647E-5</v>
      </c>
      <c r="I137" s="16">
        <f t="shared" si="33"/>
        <v>2.4140626305069884E-4</v>
      </c>
      <c r="J137" s="14">
        <f t="shared" si="33"/>
        <v>3.352119802263985E-5</v>
      </c>
      <c r="K137" s="15">
        <f t="shared" si="33"/>
        <v>-2.1855115454501306E-6</v>
      </c>
      <c r="L137" s="15">
        <f t="shared" si="33"/>
        <v>-4.1543478944200407E-4</v>
      </c>
      <c r="M137" s="15">
        <f t="shared" si="33"/>
        <v>-1.6474195343972012E-4</v>
      </c>
      <c r="N137" s="16">
        <f t="shared" si="33"/>
        <v>0</v>
      </c>
      <c r="O137" s="15">
        <f t="shared" si="33"/>
        <v>0</v>
      </c>
      <c r="P137" s="15">
        <f t="shared" si="33"/>
        <v>0</v>
      </c>
      <c r="Q137" s="14">
        <f t="shared" si="33"/>
        <v>-1.6147387541091442E-6</v>
      </c>
      <c r="R137" s="15">
        <f t="shared" si="33"/>
        <v>0</v>
      </c>
      <c r="S137" s="15">
        <f t="shared" si="33"/>
        <v>-3.0041876101893905E-5</v>
      </c>
      <c r="T137" s="16">
        <f t="shared" si="33"/>
        <v>0</v>
      </c>
      <c r="U137" s="15">
        <f t="shared" si="33"/>
        <v>-7.3460222291775717E-6</v>
      </c>
      <c r="V137" s="15">
        <f t="shared" si="33"/>
        <v>-3.5254347751632366E-5</v>
      </c>
      <c r="W137" s="14">
        <f t="shared" si="33"/>
        <v>1.1946704515600898E-5</v>
      </c>
      <c r="X137" s="15">
        <f t="shared" si="33"/>
        <v>4.2968642129702708E-6</v>
      </c>
      <c r="Y137" s="16">
        <f t="shared" si="33"/>
        <v>1.0020462811319904E-3</v>
      </c>
      <c r="Z137" s="15">
        <f t="shared" si="33"/>
        <v>-6.1574012831999703E-4</v>
      </c>
      <c r="AA137" s="15">
        <f t="shared" si="33"/>
        <v>9.9823535586003251E-6</v>
      </c>
      <c r="AB137" s="15">
        <f t="shared" si="33"/>
        <v>0</v>
      </c>
      <c r="AC137" s="83">
        <f t="shared" si="33"/>
        <v>-3.397513023132015E-4</v>
      </c>
    </row>
    <row r="138" spans="1:29" x14ac:dyDescent="0.3">
      <c r="A138" s="17" t="s">
        <v>26</v>
      </c>
      <c r="B138" s="72">
        <v>2017</v>
      </c>
      <c r="C138" s="18">
        <f t="shared" ref="C138:AC138" si="34">C43-C88</f>
        <v>8.9219999999995707</v>
      </c>
      <c r="D138" s="14">
        <f t="shared" si="34"/>
        <v>-3.9594407778397855E-7</v>
      </c>
      <c r="E138" s="16">
        <f t="shared" si="34"/>
        <v>-5.4359546465001206E-7</v>
      </c>
      <c r="F138" s="14">
        <f t="shared" si="34"/>
        <v>-1.4646242177120909E-6</v>
      </c>
      <c r="G138" s="16">
        <f t="shared" si="34"/>
        <v>0</v>
      </c>
      <c r="H138" s="14">
        <f t="shared" si="34"/>
        <v>-2.397722673349971E-5</v>
      </c>
      <c r="I138" s="16">
        <f t="shared" si="34"/>
        <v>5.6029758638699578E-5</v>
      </c>
      <c r="J138" s="14">
        <f t="shared" si="34"/>
        <v>2.4741508209958057E-4</v>
      </c>
      <c r="K138" s="15">
        <f t="shared" si="34"/>
        <v>1.0766188284989974E-4</v>
      </c>
      <c r="L138" s="15">
        <f t="shared" si="34"/>
        <v>1.0807000321750304E-3</v>
      </c>
      <c r="M138" s="15">
        <f t="shared" si="34"/>
        <v>-7.7784242684870043E-5</v>
      </c>
      <c r="N138" s="16">
        <f t="shared" si="34"/>
        <v>2.7235057892946988E-4</v>
      </c>
      <c r="O138" s="15">
        <f t="shared" si="34"/>
        <v>-4.4140922829898456E-8</v>
      </c>
      <c r="P138" s="15">
        <f t="shared" si="34"/>
        <v>-9.0488891801199001E-9</v>
      </c>
      <c r="Q138" s="14">
        <f t="shared" si="34"/>
        <v>-7.3755274305994153E-6</v>
      </c>
      <c r="R138" s="15">
        <f t="shared" si="34"/>
        <v>0</v>
      </c>
      <c r="S138" s="15">
        <f t="shared" si="34"/>
        <v>-5.7025784046181582E-4</v>
      </c>
      <c r="T138" s="16">
        <f t="shared" si="34"/>
        <v>0</v>
      </c>
      <c r="U138" s="15">
        <f t="shared" si="34"/>
        <v>-3.0456268709175022E-5</v>
      </c>
      <c r="V138" s="15">
        <f t="shared" si="34"/>
        <v>-4.407425982555415E-5</v>
      </c>
      <c r="W138" s="14">
        <f t="shared" si="34"/>
        <v>-6.5621082122900576E-5</v>
      </c>
      <c r="X138" s="15">
        <f t="shared" si="34"/>
        <v>-1.0874070031240048E-5</v>
      </c>
      <c r="Y138" s="16">
        <f t="shared" si="34"/>
        <v>2.3847886291688998E-3</v>
      </c>
      <c r="Z138" s="15">
        <f t="shared" si="34"/>
        <v>-3.3042515672490058E-3</v>
      </c>
      <c r="AA138" s="15">
        <f t="shared" si="34"/>
        <v>-1.1816525041560139E-5</v>
      </c>
      <c r="AB138" s="15">
        <f t="shared" si="34"/>
        <v>0</v>
      </c>
      <c r="AC138" s="83">
        <f t="shared" si="34"/>
        <v>1.6608780512444854E-3</v>
      </c>
    </row>
    <row r="139" spans="1:29" x14ac:dyDescent="0.3">
      <c r="A139" s="17" t="s">
        <v>26</v>
      </c>
      <c r="B139" s="72">
        <v>2018</v>
      </c>
      <c r="C139" s="18">
        <f t="shared" ref="C139:AC139" si="35">C44-C89</f>
        <v>6.3319999999994252</v>
      </c>
      <c r="D139" s="14">
        <f t="shared" si="35"/>
        <v>-5.5448115239000676E-6</v>
      </c>
      <c r="E139" s="16">
        <f t="shared" si="35"/>
        <v>-2.1336146716001599E-7</v>
      </c>
      <c r="F139" s="14">
        <f t="shared" si="35"/>
        <v>-1.1885700919320088E-5</v>
      </c>
      <c r="G139" s="16">
        <f t="shared" si="35"/>
        <v>0</v>
      </c>
      <c r="H139" s="14">
        <f t="shared" si="35"/>
        <v>-1.3010579043360067E-5</v>
      </c>
      <c r="I139" s="16">
        <f t="shared" si="35"/>
        <v>-1.4809939620489924E-4</v>
      </c>
      <c r="J139" s="14">
        <f t="shared" si="35"/>
        <v>6.055367839463803E-4</v>
      </c>
      <c r="K139" s="15">
        <f t="shared" si="35"/>
        <v>-1.2630546657328018E-4</v>
      </c>
      <c r="L139" s="15">
        <f t="shared" si="35"/>
        <v>2.9606599255820043E-3</v>
      </c>
      <c r="M139" s="15">
        <f t="shared" si="35"/>
        <v>1.5861110309170045E-5</v>
      </c>
      <c r="N139" s="16">
        <f t="shared" si="35"/>
        <v>2.0240241129952001E-4</v>
      </c>
      <c r="O139" s="15">
        <f t="shared" si="35"/>
        <v>-8.8692725174999935E-6</v>
      </c>
      <c r="P139" s="15">
        <f t="shared" si="35"/>
        <v>0</v>
      </c>
      <c r="Q139" s="14">
        <f t="shared" si="35"/>
        <v>0</v>
      </c>
      <c r="R139" s="15">
        <f t="shared" si="35"/>
        <v>0</v>
      </c>
      <c r="S139" s="15">
        <f t="shared" si="35"/>
        <v>-1.1577248321180053E-4</v>
      </c>
      <c r="T139" s="16">
        <f t="shared" si="35"/>
        <v>0</v>
      </c>
      <c r="U139" s="15">
        <f t="shared" si="35"/>
        <v>-3.4792068374432921E-5</v>
      </c>
      <c r="V139" s="15">
        <f t="shared" si="35"/>
        <v>-1.5337911832672552E-4</v>
      </c>
      <c r="W139" s="14">
        <f t="shared" si="35"/>
        <v>-9.2308603750305973E-5</v>
      </c>
      <c r="X139" s="15">
        <f t="shared" si="35"/>
        <v>-4.5094547186800074E-6</v>
      </c>
      <c r="Y139" s="16">
        <f t="shared" si="35"/>
        <v>2.3466705730058202E-3</v>
      </c>
      <c r="Z139" s="15">
        <f t="shared" si="35"/>
        <v>-5.4164404875119976E-3</v>
      </c>
      <c r="AA139" s="15">
        <f t="shared" si="35"/>
        <v>0</v>
      </c>
      <c r="AB139" s="15">
        <f t="shared" si="35"/>
        <v>0</v>
      </c>
      <c r="AC139" s="83">
        <f t="shared" si="35"/>
        <v>3.4762898158787192E-3</v>
      </c>
    </row>
    <row r="140" spans="1:29" x14ac:dyDescent="0.3">
      <c r="A140" s="17" t="s">
        <v>26</v>
      </c>
      <c r="B140" s="72">
        <v>2019</v>
      </c>
      <c r="C140" s="18">
        <f t="shared" ref="C140:AC140" si="36">C45-C90</f>
        <v>23.100999999998749</v>
      </c>
      <c r="D140" s="14">
        <f t="shared" si="36"/>
        <v>-6.0113432344998437E-6</v>
      </c>
      <c r="E140" s="16">
        <f t="shared" si="36"/>
        <v>-9.5371407655600159E-6</v>
      </c>
      <c r="F140" s="14">
        <f t="shared" si="36"/>
        <v>-3.47319789383016E-6</v>
      </c>
      <c r="G140" s="16">
        <f t="shared" si="36"/>
        <v>0</v>
      </c>
      <c r="H140" s="14">
        <f t="shared" si="36"/>
        <v>-1.5849712937470416E-5</v>
      </c>
      <c r="I140" s="16">
        <f t="shared" si="36"/>
        <v>6.1792424645409905E-4</v>
      </c>
      <c r="J140" s="14">
        <f t="shared" si="36"/>
        <v>-8.2515154390710088E-6</v>
      </c>
      <c r="K140" s="15">
        <f t="shared" si="36"/>
        <v>5.3445930618359196E-6</v>
      </c>
      <c r="L140" s="15">
        <f t="shared" si="36"/>
        <v>4.92915590322901E-3</v>
      </c>
      <c r="M140" s="15">
        <f t="shared" si="36"/>
        <v>2.54504431515996E-7</v>
      </c>
      <c r="N140" s="16">
        <f t="shared" si="36"/>
        <v>3.5255871435626012E-5</v>
      </c>
      <c r="O140" s="15">
        <f t="shared" si="36"/>
        <v>-1.9300411924559439E-6</v>
      </c>
      <c r="P140" s="15">
        <f t="shared" si="36"/>
        <v>-9.8284024584301157E-9</v>
      </c>
      <c r="Q140" s="14">
        <f t="shared" si="36"/>
        <v>0</v>
      </c>
      <c r="R140" s="15">
        <f t="shared" si="36"/>
        <v>0</v>
      </c>
      <c r="S140" s="15">
        <f t="shared" si="36"/>
        <v>-1.0833722010667041E-3</v>
      </c>
      <c r="T140" s="16">
        <f t="shared" si="36"/>
        <v>0</v>
      </c>
      <c r="U140" s="15">
        <f t="shared" si="36"/>
        <v>-5.2380292955870374E-5</v>
      </c>
      <c r="V140" s="15">
        <f t="shared" si="36"/>
        <v>-2.9140373251508676E-5</v>
      </c>
      <c r="W140" s="14">
        <f t="shared" si="36"/>
        <v>-7.6050830970701352E-5</v>
      </c>
      <c r="X140" s="15">
        <f t="shared" si="36"/>
        <v>-3.4032709252350673E-6</v>
      </c>
      <c r="Y140" s="16">
        <f t="shared" si="36"/>
        <v>7.5236808870845998E-3</v>
      </c>
      <c r="Z140" s="15">
        <f t="shared" si="36"/>
        <v>-1.182023891033801E-2</v>
      </c>
      <c r="AA140" s="15">
        <f t="shared" si="36"/>
        <v>-1.9673463226199586E-6</v>
      </c>
      <c r="AB140" s="15">
        <f t="shared" si="36"/>
        <v>0</v>
      </c>
      <c r="AC140" s="83">
        <f t="shared" si="36"/>
        <v>5.5584208227467957E-3</v>
      </c>
    </row>
    <row r="141" spans="1:29" x14ac:dyDescent="0.3">
      <c r="A141" s="17" t="s">
        <v>26</v>
      </c>
      <c r="B141" s="72">
        <v>2020</v>
      </c>
      <c r="C141" s="18">
        <f t="shared" ref="C141:AC141" si="37">C46-C91</f>
        <v>30.546000000000276</v>
      </c>
      <c r="D141" s="14">
        <f t="shared" si="37"/>
        <v>-2.4857248503930198E-5</v>
      </c>
      <c r="E141" s="16">
        <f t="shared" si="37"/>
        <v>-8.4589530490899838E-6</v>
      </c>
      <c r="F141" s="14">
        <f t="shared" si="37"/>
        <v>-4.8224705779700665E-6</v>
      </c>
      <c r="G141" s="16">
        <f t="shared" si="37"/>
        <v>0</v>
      </c>
      <c r="H141" s="14">
        <f t="shared" si="37"/>
        <v>-2.7904391669010195E-5</v>
      </c>
      <c r="I141" s="16">
        <f t="shared" si="37"/>
        <v>-2.5663742279501307E-6</v>
      </c>
      <c r="J141" s="14">
        <f t="shared" si="37"/>
        <v>6.1011758934290117E-5</v>
      </c>
      <c r="K141" s="15">
        <f t="shared" si="37"/>
        <v>0</v>
      </c>
      <c r="L141" s="15">
        <f t="shared" si="37"/>
        <v>4.7876625144659957E-3</v>
      </c>
      <c r="M141" s="15">
        <f t="shared" si="37"/>
        <v>-3.9435561697790051E-5</v>
      </c>
      <c r="N141" s="16">
        <f t="shared" si="37"/>
        <v>1.84609752535171E-4</v>
      </c>
      <c r="O141" s="15">
        <f t="shared" si="37"/>
        <v>-1.6064979853399903E-5</v>
      </c>
      <c r="P141" s="15">
        <f t="shared" si="37"/>
        <v>-3.0103794018581292E-8</v>
      </c>
      <c r="Q141" s="14">
        <f t="shared" si="37"/>
        <v>-2.6376821635078597E-5</v>
      </c>
      <c r="R141" s="15">
        <f t="shared" si="37"/>
        <v>0</v>
      </c>
      <c r="S141" s="15">
        <f t="shared" si="37"/>
        <v>-3.0344575887119307E-3</v>
      </c>
      <c r="T141" s="16">
        <f t="shared" si="37"/>
        <v>0</v>
      </c>
      <c r="U141" s="15">
        <f t="shared" si="37"/>
        <v>-1.1912567408368501E-4</v>
      </c>
      <c r="V141" s="15">
        <f t="shared" si="37"/>
        <v>-6.1494010266463506E-4</v>
      </c>
      <c r="W141" s="14">
        <f t="shared" si="37"/>
        <v>-2.3540360173180189E-5</v>
      </c>
      <c r="X141" s="15">
        <f t="shared" si="37"/>
        <v>-8.7089559948840163E-6</v>
      </c>
      <c r="Y141" s="16">
        <f t="shared" si="37"/>
        <v>1.6458839901307101E-2</v>
      </c>
      <c r="Z141" s="15">
        <f t="shared" si="37"/>
        <v>-1.7530655913362003E-2</v>
      </c>
      <c r="AA141" s="15">
        <f t="shared" si="37"/>
        <v>-1.0178427244279895E-5</v>
      </c>
      <c r="AB141" s="15">
        <f t="shared" si="37"/>
        <v>0</v>
      </c>
      <c r="AC141" s="83">
        <f t="shared" si="37"/>
        <v>4.9424601441153682E-3</v>
      </c>
    </row>
    <row r="142" spans="1:29" x14ac:dyDescent="0.3">
      <c r="A142" s="17" t="s">
        <v>26</v>
      </c>
      <c r="B142" s="72">
        <v>2021</v>
      </c>
      <c r="C142" s="18">
        <f t="shared" ref="C142:AC142" si="38">C47-C92</f>
        <v>-35.555000000000291</v>
      </c>
      <c r="D142" s="14">
        <f t="shared" si="38"/>
        <v>-4.3648057426310099E-6</v>
      </c>
      <c r="E142" s="16">
        <f t="shared" si="38"/>
        <v>5.6012625744799975E-6</v>
      </c>
      <c r="F142" s="14">
        <f t="shared" si="38"/>
        <v>8.5263462728103583E-7</v>
      </c>
      <c r="G142" s="16">
        <f t="shared" si="38"/>
        <v>0</v>
      </c>
      <c r="H142" s="14">
        <f t="shared" si="38"/>
        <v>9.4994597220300278E-6</v>
      </c>
      <c r="I142" s="16">
        <f t="shared" si="38"/>
        <v>4.615339786611999E-5</v>
      </c>
      <c r="J142" s="14">
        <f t="shared" si="38"/>
        <v>6.0133690885564011E-4</v>
      </c>
      <c r="K142" s="15">
        <f t="shared" si="38"/>
        <v>0</v>
      </c>
      <c r="L142" s="15">
        <f t="shared" si="38"/>
        <v>3.984635775696993E-3</v>
      </c>
      <c r="M142" s="15">
        <f t="shared" si="38"/>
        <v>-5.5779162040740793E-6</v>
      </c>
      <c r="N142" s="16">
        <f t="shared" si="38"/>
        <v>3.3106057177480176E-5</v>
      </c>
      <c r="O142" s="15">
        <f t="shared" si="38"/>
        <v>2.7756202325599725E-6</v>
      </c>
      <c r="P142" s="15">
        <f t="shared" si="38"/>
        <v>0</v>
      </c>
      <c r="Q142" s="14">
        <f t="shared" si="38"/>
        <v>0</v>
      </c>
      <c r="R142" s="15">
        <f t="shared" si="38"/>
        <v>0</v>
      </c>
      <c r="S142" s="15">
        <f t="shared" si="38"/>
        <v>-1.2729842886634868E-3</v>
      </c>
      <c r="T142" s="16">
        <f t="shared" si="38"/>
        <v>0</v>
      </c>
      <c r="U142" s="15">
        <f t="shared" si="38"/>
        <v>-8.8616398663142991E-5</v>
      </c>
      <c r="V142" s="15">
        <f t="shared" si="38"/>
        <v>-6.0948483209631588E-4</v>
      </c>
      <c r="W142" s="14">
        <f t="shared" si="38"/>
        <v>-1.5305259179702185E-5</v>
      </c>
      <c r="X142" s="15">
        <f t="shared" si="38"/>
        <v>-1.1098279586310017E-5</v>
      </c>
      <c r="Y142" s="16">
        <f t="shared" si="38"/>
        <v>1.0035298224934699E-2</v>
      </c>
      <c r="Z142" s="15">
        <f t="shared" si="38"/>
        <v>-1.271733400800501E-2</v>
      </c>
      <c r="AA142" s="15">
        <f t="shared" si="38"/>
        <v>5.5064464522700755E-6</v>
      </c>
      <c r="AB142" s="15">
        <f t="shared" si="38"/>
        <v>0</v>
      </c>
      <c r="AC142" s="83">
        <f t="shared" si="38"/>
        <v>4.6727819379740188E-3</v>
      </c>
    </row>
    <row r="143" spans="1:29" x14ac:dyDescent="0.3">
      <c r="A143" s="17" t="s">
        <v>26</v>
      </c>
      <c r="B143" s="72">
        <v>2022</v>
      </c>
      <c r="C143" s="18">
        <f t="shared" ref="C143:AC143" si="39">C48-C93</f>
        <v>-3.6989999999996144</v>
      </c>
      <c r="D143" s="14">
        <f t="shared" si="39"/>
        <v>-4.6326666597070257E-5</v>
      </c>
      <c r="E143" s="16">
        <f t="shared" si="39"/>
        <v>-3.2055250752690927E-7</v>
      </c>
      <c r="F143" s="14">
        <f t="shared" si="39"/>
        <v>-3.6940747036130067E-5</v>
      </c>
      <c r="G143" s="16">
        <f t="shared" si="39"/>
        <v>0</v>
      </c>
      <c r="H143" s="14">
        <f t="shared" si="39"/>
        <v>-6.0631263893150614E-5</v>
      </c>
      <c r="I143" s="16">
        <f t="shared" si="39"/>
        <v>2.9693678267700072E-4</v>
      </c>
      <c r="J143" s="14">
        <f t="shared" si="39"/>
        <v>1.3459581212562008E-3</v>
      </c>
      <c r="K143" s="15">
        <f t="shared" si="39"/>
        <v>0</v>
      </c>
      <c r="L143" s="15">
        <f t="shared" si="39"/>
        <v>1.4333059118809832E-3</v>
      </c>
      <c r="M143" s="15">
        <f t="shared" si="39"/>
        <v>2.5182987966196102E-4</v>
      </c>
      <c r="N143" s="16">
        <f t="shared" si="39"/>
        <v>3.6269485266830298E-4</v>
      </c>
      <c r="O143" s="15">
        <f t="shared" si="39"/>
        <v>6.8346943097609934E-8</v>
      </c>
      <c r="P143" s="15">
        <f t="shared" si="39"/>
        <v>0</v>
      </c>
      <c r="Q143" s="14">
        <f t="shared" si="39"/>
        <v>0</v>
      </c>
      <c r="R143" s="15">
        <f t="shared" si="39"/>
        <v>0</v>
      </c>
      <c r="S143" s="15">
        <f t="shared" si="39"/>
        <v>-1.2911978854509981E-3</v>
      </c>
      <c r="T143" s="16">
        <f t="shared" si="39"/>
        <v>0</v>
      </c>
      <c r="U143" s="15">
        <f t="shared" si="39"/>
        <v>-9.7146112372017285E-5</v>
      </c>
      <c r="V143" s="15">
        <f t="shared" si="39"/>
        <v>-8.6755167441086856E-4</v>
      </c>
      <c r="W143" s="14">
        <f t="shared" si="39"/>
        <v>-8.4160581949196955E-5</v>
      </c>
      <c r="X143" s="15">
        <f t="shared" si="39"/>
        <v>-9.0566013442199868E-6</v>
      </c>
      <c r="Y143" s="16">
        <f t="shared" si="39"/>
        <v>9.0805248982384016E-3</v>
      </c>
      <c r="Z143" s="15">
        <f t="shared" si="39"/>
        <v>-1.0281701215541061E-2</v>
      </c>
      <c r="AA143" s="15">
        <f t="shared" si="39"/>
        <v>3.714507777040181E-6</v>
      </c>
      <c r="AB143" s="15">
        <f t="shared" si="39"/>
        <v>0</v>
      </c>
      <c r="AC143" s="83">
        <f t="shared" si="39"/>
        <v>3.5932218841582542E-3</v>
      </c>
    </row>
    <row r="144" spans="1:29" x14ac:dyDescent="0.3">
      <c r="A144" s="17" t="s">
        <v>26</v>
      </c>
      <c r="B144" s="72">
        <v>2023</v>
      </c>
      <c r="C144" s="18">
        <f t="shared" ref="C144:AC144" si="40">C49-C94</f>
        <v>78.865999999999985</v>
      </c>
      <c r="D144" s="14">
        <f t="shared" si="40"/>
        <v>-2.516317229945994E-6</v>
      </c>
      <c r="E144" s="16">
        <f t="shared" si="40"/>
        <v>-6.3434220192160311E-6</v>
      </c>
      <c r="F144" s="14">
        <f t="shared" si="40"/>
        <v>-7.0573525494730185E-5</v>
      </c>
      <c r="G144" s="16">
        <f t="shared" si="40"/>
        <v>0</v>
      </c>
      <c r="H144" s="14">
        <f t="shared" si="40"/>
        <v>-9.6892596877059395E-5</v>
      </c>
      <c r="I144" s="16">
        <f t="shared" si="40"/>
        <v>-1.090200388969946E-5</v>
      </c>
      <c r="J144" s="14">
        <f t="shared" si="40"/>
        <v>7.9916416579270053E-4</v>
      </c>
      <c r="K144" s="15">
        <f t="shared" si="40"/>
        <v>1.4017919476974E-3</v>
      </c>
      <c r="L144" s="15">
        <f t="shared" si="40"/>
        <v>3.957217285532999E-3</v>
      </c>
      <c r="M144" s="15">
        <f t="shared" si="40"/>
        <v>-1.0262038643057969E-4</v>
      </c>
      <c r="N144" s="16">
        <f t="shared" si="40"/>
        <v>-2.4073320968744961E-4</v>
      </c>
      <c r="O144" s="15">
        <f t="shared" si="40"/>
        <v>-1.3590454793528965E-5</v>
      </c>
      <c r="P144" s="15">
        <f t="shared" si="40"/>
        <v>0</v>
      </c>
      <c r="Q144" s="14">
        <f t="shared" si="40"/>
        <v>0</v>
      </c>
      <c r="R144" s="15">
        <f t="shared" si="40"/>
        <v>0</v>
      </c>
      <c r="S144" s="15">
        <f t="shared" si="40"/>
        <v>-7.6766828770929996E-3</v>
      </c>
      <c r="T144" s="16">
        <f t="shared" si="40"/>
        <v>0</v>
      </c>
      <c r="U144" s="15">
        <f t="shared" si="40"/>
        <v>-2.5640602967745183E-5</v>
      </c>
      <c r="V144" s="15">
        <f t="shared" si="40"/>
        <v>-8.3700067311540463E-4</v>
      </c>
      <c r="W144" s="14">
        <f t="shared" si="40"/>
        <v>-3.8896333665289912E-4</v>
      </c>
      <c r="X144" s="15">
        <f t="shared" si="40"/>
        <v>0</v>
      </c>
      <c r="Y144" s="16">
        <f>Y49-Y94</f>
        <v>2.6859954295172898E-2</v>
      </c>
      <c r="Z144" s="15">
        <f t="shared" si="40"/>
        <v>-2.3373045035668949E-2</v>
      </c>
      <c r="AA144" s="15">
        <f t="shared" si="40"/>
        <v>-1.651786313768E-4</v>
      </c>
      <c r="AB144" s="15">
        <f t="shared" si="40"/>
        <v>-7.4446208981531013E-6</v>
      </c>
      <c r="AC144" s="83">
        <f t="shared" si="40"/>
        <v>5.6228612218500451E-3</v>
      </c>
    </row>
    <row r="145" spans="1:29" ht="15" thickBot="1" x14ac:dyDescent="0.35">
      <c r="A145" s="4" t="s">
        <v>26</v>
      </c>
      <c r="B145" s="5">
        <v>2024</v>
      </c>
      <c r="C145" s="19">
        <f t="shared" ref="C145:AC145" si="41">C50-C95</f>
        <v>-67.864000000000487</v>
      </c>
      <c r="D145" s="20">
        <f t="shared" si="41"/>
        <v>-9.9432097538201033E-6</v>
      </c>
      <c r="E145" s="21">
        <f t="shared" si="41"/>
        <v>-2.7408198163549839E-6</v>
      </c>
      <c r="F145" s="20">
        <f t="shared" si="41"/>
        <v>-6.1251827590140312E-6</v>
      </c>
      <c r="G145" s="21">
        <f t="shared" si="41"/>
        <v>0</v>
      </c>
      <c r="H145" s="20">
        <f t="shared" si="41"/>
        <v>-1.0192732567974958E-4</v>
      </c>
      <c r="I145" s="21">
        <f t="shared" si="41"/>
        <v>6.8706425316499009E-5</v>
      </c>
      <c r="J145" s="20">
        <f t="shared" si="41"/>
        <v>1.4298135115457973E-3</v>
      </c>
      <c r="K145" s="22">
        <f t="shared" si="41"/>
        <v>2.2271111222334E-4</v>
      </c>
      <c r="L145" s="22">
        <f t="shared" si="41"/>
        <v>1.9236690033630988E-2</v>
      </c>
      <c r="M145" s="22">
        <f t="shared" si="41"/>
        <v>1.24763707900304E-7</v>
      </c>
      <c r="N145" s="21">
        <f t="shared" si="41"/>
        <v>-1.7674922409919788E-5</v>
      </c>
      <c r="O145" s="22">
        <f t="shared" si="41"/>
        <v>-6.1785248600493021E-5</v>
      </c>
      <c r="P145" s="22">
        <f t="shared" si="41"/>
        <v>0</v>
      </c>
      <c r="Q145" s="20">
        <f t="shared" si="41"/>
        <v>0</v>
      </c>
      <c r="R145" s="22">
        <f t="shared" si="41"/>
        <v>0</v>
      </c>
      <c r="S145" s="22">
        <f t="shared" si="41"/>
        <v>-6.120010017341998E-3</v>
      </c>
      <c r="T145" s="21">
        <f t="shared" si="41"/>
        <v>0</v>
      </c>
      <c r="U145" s="22">
        <f t="shared" si="41"/>
        <v>-4.1791560596726555E-4</v>
      </c>
      <c r="V145" s="22">
        <f t="shared" si="41"/>
        <v>-3.3077598520075274E-3</v>
      </c>
      <c r="W145" s="20">
        <f t="shared" si="41"/>
        <v>-2.0779497435632985E-4</v>
      </c>
      <c r="X145" s="22">
        <f t="shared" si="41"/>
        <v>-1.8506652577379885E-5</v>
      </c>
      <c r="Y145" s="21">
        <f t="shared" si="41"/>
        <v>1.4588019574772501E-2</v>
      </c>
      <c r="Z145" s="22">
        <f t="shared" si="41"/>
        <v>-2.5165115238853009E-2</v>
      </c>
      <c r="AA145" s="22">
        <f t="shared" si="41"/>
        <v>-1.0876637107410173E-4</v>
      </c>
      <c r="AB145" s="22">
        <f t="shared" si="41"/>
        <v>0</v>
      </c>
      <c r="AC145" s="84">
        <f t="shared" si="41"/>
        <v>2.077053316697533E-2</v>
      </c>
    </row>
  </sheetData>
  <mergeCells count="33">
    <mergeCell ref="J9:N9"/>
    <mergeCell ref="O9:P9"/>
    <mergeCell ref="Q9:V9"/>
    <mergeCell ref="W9:Y9"/>
    <mergeCell ref="AC8:AC9"/>
    <mergeCell ref="D53:I53"/>
    <mergeCell ref="J53:Y53"/>
    <mergeCell ref="Z53:AB54"/>
    <mergeCell ref="AC53:AC54"/>
    <mergeCell ref="D54:E54"/>
    <mergeCell ref="F54:G54"/>
    <mergeCell ref="H54:I54"/>
    <mergeCell ref="J54:N54"/>
    <mergeCell ref="O54:P54"/>
    <mergeCell ref="D8:I8"/>
    <mergeCell ref="J8:Y8"/>
    <mergeCell ref="Z8:AB9"/>
    <mergeCell ref="D9:E9"/>
    <mergeCell ref="F9:G9"/>
    <mergeCell ref="H9:I9"/>
    <mergeCell ref="D103:I103"/>
    <mergeCell ref="J103:Y103"/>
    <mergeCell ref="Z103:AB104"/>
    <mergeCell ref="AC103:AC104"/>
    <mergeCell ref="D104:E104"/>
    <mergeCell ref="F104:G104"/>
    <mergeCell ref="H104:I104"/>
    <mergeCell ref="J104:N104"/>
    <mergeCell ref="O104:P104"/>
    <mergeCell ref="Q104:V104"/>
    <mergeCell ref="W104:Y104"/>
    <mergeCell ref="Q54:V54"/>
    <mergeCell ref="W54:Y54"/>
  </mergeCells>
  <conditionalFormatting sqref="D106:AC145">
    <cfRule type="colorScale" priority="1">
      <colorScale>
        <cfvo type="min"/>
        <cfvo type="percentile" val="50"/>
        <cfvo type="max"/>
        <color rgb="FFF8696B"/>
        <color rgb="FFFCFCFF"/>
        <color rgb="FF63BE7B"/>
      </colorScale>
    </cfRule>
  </conditionalFormatting>
  <conditionalFormatting sqref="C106:C145">
    <cfRule type="colorScale" priority="2">
      <colorScale>
        <cfvo type="min"/>
        <cfvo type="percentile" val="50"/>
        <cfvo type="max"/>
        <color rgb="FFF8696B"/>
        <color rgb="FFFCFCFF"/>
        <color rgb="FF63BE7B"/>
      </colorScale>
    </cfRule>
  </conditionalFormatting>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B0E7D-EE94-47B9-929F-61F1C944D5D2}">
  <dimension ref="A1:AE145"/>
  <sheetViews>
    <sheetView zoomScale="70" zoomScaleNormal="70" workbookViewId="0"/>
  </sheetViews>
  <sheetFormatPr defaultRowHeight="14.4" x14ac:dyDescent="0.3"/>
  <cols>
    <col min="3" max="3" width="10.88671875" customWidth="1"/>
    <col min="11" max="11" width="10.88671875" customWidth="1"/>
    <col min="17" max="17" width="10" customWidth="1"/>
    <col min="18" max="18" width="10.5546875" customWidth="1"/>
    <col min="19" max="19" width="10.88671875" customWidth="1"/>
    <col min="20" max="20" width="10.6640625" customWidth="1"/>
    <col min="21" max="21" width="11.88671875" customWidth="1"/>
    <col min="26" max="26" width="12.21875" customWidth="1"/>
    <col min="27" max="27" width="10.21875" customWidth="1"/>
    <col min="29" max="29" width="12.5546875" customWidth="1"/>
  </cols>
  <sheetData>
    <row r="1" spans="1:29" x14ac:dyDescent="0.3">
      <c r="A1" t="s">
        <v>86</v>
      </c>
    </row>
    <row r="2" spans="1:29" x14ac:dyDescent="0.3">
      <c r="A2" t="s">
        <v>30</v>
      </c>
    </row>
    <row r="3" spans="1:29" x14ac:dyDescent="0.3">
      <c r="A3" t="s">
        <v>0</v>
      </c>
    </row>
    <row r="4" spans="1:29" x14ac:dyDescent="0.3">
      <c r="A4" t="s">
        <v>83</v>
      </c>
    </row>
    <row r="5" spans="1:29" x14ac:dyDescent="0.3">
      <c r="A5" t="s">
        <v>1</v>
      </c>
    </row>
    <row r="7" spans="1:29" ht="15" thickBot="1" x14ac:dyDescent="0.35">
      <c r="A7" t="s">
        <v>72</v>
      </c>
    </row>
    <row r="8" spans="1:29" ht="15" thickBot="1" x14ac:dyDescent="0.35">
      <c r="A8" s="1"/>
      <c r="B8" s="2"/>
      <c r="C8" s="3"/>
      <c r="D8" s="88" t="s">
        <v>2</v>
      </c>
      <c r="E8" s="89"/>
      <c r="F8" s="89"/>
      <c r="G8" s="89"/>
      <c r="H8" s="89"/>
      <c r="I8" s="90"/>
      <c r="J8" s="88" t="s">
        <v>3</v>
      </c>
      <c r="K8" s="89"/>
      <c r="L8" s="89"/>
      <c r="M8" s="89"/>
      <c r="N8" s="89"/>
      <c r="O8" s="89"/>
      <c r="P8" s="89"/>
      <c r="Q8" s="89"/>
      <c r="R8" s="89"/>
      <c r="S8" s="89"/>
      <c r="T8" s="89"/>
      <c r="U8" s="89"/>
      <c r="V8" s="89"/>
      <c r="W8" s="89"/>
      <c r="X8" s="89"/>
      <c r="Y8" s="90"/>
      <c r="Z8" s="91" t="s">
        <v>4</v>
      </c>
      <c r="AA8" s="92"/>
      <c r="AB8" s="93"/>
      <c r="AC8" s="97" t="s">
        <v>38</v>
      </c>
    </row>
    <row r="9" spans="1:29" ht="15" customHeight="1" thickBot="1" x14ac:dyDescent="0.35">
      <c r="A9" s="4"/>
      <c r="B9" s="5"/>
      <c r="C9" s="6"/>
      <c r="D9" s="85" t="s">
        <v>5</v>
      </c>
      <c r="E9" s="86"/>
      <c r="F9" s="85" t="s">
        <v>6</v>
      </c>
      <c r="G9" s="86"/>
      <c r="H9" s="85" t="s">
        <v>7</v>
      </c>
      <c r="I9" s="86"/>
      <c r="J9" s="85" t="s">
        <v>8</v>
      </c>
      <c r="K9" s="87"/>
      <c r="L9" s="87"/>
      <c r="M9" s="87"/>
      <c r="N9" s="86"/>
      <c r="O9" s="85" t="s">
        <v>9</v>
      </c>
      <c r="P9" s="86"/>
      <c r="Q9" s="85" t="s">
        <v>10</v>
      </c>
      <c r="R9" s="87"/>
      <c r="S9" s="87"/>
      <c r="T9" s="87"/>
      <c r="U9" s="87"/>
      <c r="V9" s="86"/>
      <c r="W9" s="85" t="s">
        <v>11</v>
      </c>
      <c r="X9" s="87"/>
      <c r="Y9" s="86"/>
      <c r="Z9" s="94"/>
      <c r="AA9" s="95"/>
      <c r="AB9" s="96"/>
      <c r="AC9" s="98"/>
    </row>
    <row r="10" spans="1:29" ht="43.8" thickBot="1" x14ac:dyDescent="0.35">
      <c r="A10" s="7" t="s">
        <v>12</v>
      </c>
      <c r="B10" s="8" t="s">
        <v>27</v>
      </c>
      <c r="C10" s="9" t="s">
        <v>13</v>
      </c>
      <c r="D10" s="7" t="s">
        <v>14</v>
      </c>
      <c r="E10" s="9" t="s">
        <v>15</v>
      </c>
      <c r="F10" s="7" t="s">
        <v>16</v>
      </c>
      <c r="G10" s="9" t="s">
        <v>17</v>
      </c>
      <c r="H10" s="7" t="s">
        <v>18</v>
      </c>
      <c r="I10" s="9" t="s">
        <v>19</v>
      </c>
      <c r="J10" s="7" t="s">
        <v>20</v>
      </c>
      <c r="K10" s="8" t="s">
        <v>21</v>
      </c>
      <c r="L10" s="8" t="s">
        <v>22</v>
      </c>
      <c r="M10" s="8" t="s">
        <v>7</v>
      </c>
      <c r="N10" s="9" t="s">
        <v>6</v>
      </c>
      <c r="O10" s="31" t="s">
        <v>40</v>
      </c>
      <c r="P10" s="31" t="s">
        <v>42</v>
      </c>
      <c r="Q10" s="7" t="s">
        <v>23</v>
      </c>
      <c r="R10" s="8" t="s">
        <v>60</v>
      </c>
      <c r="S10" s="8" t="s">
        <v>24</v>
      </c>
      <c r="T10" s="8" t="s">
        <v>25</v>
      </c>
      <c r="U10" s="7" t="s">
        <v>44</v>
      </c>
      <c r="V10" s="31" t="s">
        <v>62</v>
      </c>
      <c r="W10" s="7" t="s">
        <v>36</v>
      </c>
      <c r="X10" s="8" t="s">
        <v>35</v>
      </c>
      <c r="Y10" s="9" t="s">
        <v>43</v>
      </c>
      <c r="Z10" s="7" t="s">
        <v>4</v>
      </c>
      <c r="AA10" s="8" t="s">
        <v>28</v>
      </c>
      <c r="AB10" s="9" t="s">
        <v>29</v>
      </c>
      <c r="AC10" s="30" t="s">
        <v>37</v>
      </c>
    </row>
    <row r="11" spans="1:29" x14ac:dyDescent="0.3">
      <c r="A11" s="17" t="s">
        <v>46</v>
      </c>
      <c r="B11">
        <v>1985</v>
      </c>
      <c r="C11" s="18">
        <v>1768.788</v>
      </c>
      <c r="D11" s="14">
        <v>1.90243262618245E-3</v>
      </c>
      <c r="E11" s="16">
        <v>0</v>
      </c>
      <c r="F11" s="14">
        <v>1.1092341196344601E-2</v>
      </c>
      <c r="G11" s="16">
        <v>0</v>
      </c>
      <c r="H11" s="14">
        <v>0.22924963308208801</v>
      </c>
      <c r="I11" s="16">
        <v>4.3470444168549303E-3</v>
      </c>
      <c r="J11" s="14">
        <v>1.6960766355266999E-6</v>
      </c>
      <c r="K11" s="15">
        <v>0</v>
      </c>
      <c r="L11" s="15">
        <v>0.24195381244106101</v>
      </c>
      <c r="M11" s="15">
        <v>2.4089941813264198E-3</v>
      </c>
      <c r="N11" s="16">
        <v>2.20489962618471E-4</v>
      </c>
      <c r="O11" s="14">
        <v>3.7936146106825698E-2</v>
      </c>
      <c r="P11" s="16">
        <v>9.4390056920331894E-2</v>
      </c>
      <c r="Q11" s="14">
        <v>3.7110156785324202E-3</v>
      </c>
      <c r="R11" s="15">
        <v>0</v>
      </c>
      <c r="S11" s="15">
        <v>0</v>
      </c>
      <c r="T11" s="15">
        <v>0</v>
      </c>
      <c r="U11" s="14">
        <v>6.175703779195873E-3</v>
      </c>
      <c r="V11" s="16">
        <v>1.3599647124492471E-3</v>
      </c>
      <c r="W11" s="14">
        <v>1.0438786332788301E-2</v>
      </c>
      <c r="X11" s="15">
        <v>3.3976372521749301E-2</v>
      </c>
      <c r="Y11" s="16">
        <v>3.3814114523617302E-2</v>
      </c>
      <c r="Z11" s="14">
        <v>0.28702139544139799</v>
      </c>
      <c r="AA11" s="15">
        <v>0</v>
      </c>
      <c r="AB11" s="16">
        <v>0</v>
      </c>
      <c r="AC11" s="32">
        <f t="shared" ref="AC11:AC50" si="0">SUM(F11:P11)</f>
        <v>0.62160021438408652</v>
      </c>
    </row>
    <row r="12" spans="1:29" x14ac:dyDescent="0.3">
      <c r="A12" s="17" t="s">
        <v>46</v>
      </c>
      <c r="B12">
        <v>1986</v>
      </c>
      <c r="C12" s="18">
        <v>977.86300000000006</v>
      </c>
      <c r="D12" s="14">
        <v>1.5434677454817299E-2</v>
      </c>
      <c r="E12" s="16">
        <v>0</v>
      </c>
      <c r="F12" s="14">
        <v>4.1539561267785003E-3</v>
      </c>
      <c r="G12" s="16">
        <v>0</v>
      </c>
      <c r="H12" s="14">
        <v>0.16761550442137599</v>
      </c>
      <c r="I12" s="16">
        <v>5.0119495266719404E-3</v>
      </c>
      <c r="J12" s="14">
        <v>5.9353917675584403E-3</v>
      </c>
      <c r="K12" s="15">
        <v>0</v>
      </c>
      <c r="L12" s="15">
        <v>0.22231744119575</v>
      </c>
      <c r="M12" s="15">
        <v>0</v>
      </c>
      <c r="N12" s="16">
        <v>3.5546901764357602E-3</v>
      </c>
      <c r="O12" s="14">
        <v>5.2068643562544002E-2</v>
      </c>
      <c r="P12" s="16">
        <v>0.20399176571769301</v>
      </c>
      <c r="Q12" s="14">
        <v>0</v>
      </c>
      <c r="R12" s="15">
        <v>0</v>
      </c>
      <c r="S12" s="15">
        <v>0</v>
      </c>
      <c r="T12" s="15">
        <v>0</v>
      </c>
      <c r="U12" s="14">
        <v>4.9584300382377072E-2</v>
      </c>
      <c r="V12" s="16">
        <v>4.3598615298744295E-3</v>
      </c>
      <c r="W12" s="14">
        <v>2.23139642260726E-3</v>
      </c>
      <c r="X12" s="15">
        <v>9.9911746328473407E-3</v>
      </c>
      <c r="Y12" s="16">
        <v>3.8064636866309502E-2</v>
      </c>
      <c r="Z12" s="14">
        <v>0.21568461021636001</v>
      </c>
      <c r="AA12" s="15">
        <v>0</v>
      </c>
      <c r="AB12" s="16">
        <v>0</v>
      </c>
      <c r="AC12" s="26">
        <f t="shared" si="0"/>
        <v>0.66464934249480767</v>
      </c>
    </row>
    <row r="13" spans="1:29" x14ac:dyDescent="0.3">
      <c r="A13" s="17" t="s">
        <v>46</v>
      </c>
      <c r="B13">
        <v>1987</v>
      </c>
      <c r="C13" s="18">
        <v>623.09</v>
      </c>
      <c r="D13" s="14">
        <v>9.2731387119035797E-3</v>
      </c>
      <c r="E13" s="16">
        <v>1.2919481936798901E-3</v>
      </c>
      <c r="F13" s="14">
        <v>6.2591278948466496E-5</v>
      </c>
      <c r="G13" s="16">
        <v>0</v>
      </c>
      <c r="H13" s="14">
        <v>9.5926752154584405E-2</v>
      </c>
      <c r="I13" s="16">
        <v>1.17158034954822E-3</v>
      </c>
      <c r="J13" s="14">
        <v>4.04435956282399E-4</v>
      </c>
      <c r="K13" s="15">
        <v>5.2319889582564305E-4</v>
      </c>
      <c r="L13" s="15">
        <v>0.24317995795149999</v>
      </c>
      <c r="M13" s="15">
        <v>0</v>
      </c>
      <c r="N13" s="16">
        <v>0</v>
      </c>
      <c r="O13" s="14">
        <v>2.37574026224141E-2</v>
      </c>
      <c r="P13" s="16">
        <v>9.7218700348264298E-2</v>
      </c>
      <c r="Q13" s="14">
        <v>8.7162368197210693E-3</v>
      </c>
      <c r="R13" s="15">
        <v>0</v>
      </c>
      <c r="S13" s="15">
        <v>0</v>
      </c>
      <c r="T13" s="15">
        <v>0</v>
      </c>
      <c r="U13" s="14">
        <v>2.4163433222840057E-2</v>
      </c>
      <c r="V13" s="16">
        <v>1.1690135282512344E-2</v>
      </c>
      <c r="W13" s="14">
        <v>3.4012742942432103E-2</v>
      </c>
      <c r="X13" s="15">
        <v>6.4515559549984794E-2</v>
      </c>
      <c r="Y13" s="16">
        <v>1.93615689547256E-2</v>
      </c>
      <c r="Z13" s="14">
        <v>0.36473061676483298</v>
      </c>
      <c r="AA13" s="15">
        <v>0</v>
      </c>
      <c r="AB13" s="16">
        <v>0</v>
      </c>
      <c r="AC13" s="26">
        <f t="shared" si="0"/>
        <v>0.46224461955736751</v>
      </c>
    </row>
    <row r="14" spans="1:29" x14ac:dyDescent="0.3">
      <c r="A14" s="17" t="s">
        <v>46</v>
      </c>
      <c r="B14">
        <v>1988</v>
      </c>
      <c r="C14" s="18">
        <v>1645.424</v>
      </c>
      <c r="D14" s="14">
        <v>3.70056593315765E-3</v>
      </c>
      <c r="E14" s="16">
        <v>2.71601726971285E-3</v>
      </c>
      <c r="F14" s="14">
        <v>2.16175283695874E-3</v>
      </c>
      <c r="G14" s="16">
        <v>0</v>
      </c>
      <c r="H14" s="14">
        <v>0.119588628827585</v>
      </c>
      <c r="I14" s="16">
        <v>1.9016982856698301E-2</v>
      </c>
      <c r="J14" s="14">
        <v>1.0635556549558E-4</v>
      </c>
      <c r="K14" s="15">
        <v>6.1181798733943296E-3</v>
      </c>
      <c r="L14" s="15">
        <v>0.221116867141843</v>
      </c>
      <c r="M14" s="15">
        <v>9.8953218137088107E-3</v>
      </c>
      <c r="N14" s="16">
        <v>0</v>
      </c>
      <c r="O14" s="14">
        <v>3.7301631676698498E-2</v>
      </c>
      <c r="P14" s="16">
        <v>0.10252007993076601</v>
      </c>
      <c r="Q14" s="14">
        <v>3.5085181691770599E-3</v>
      </c>
      <c r="R14" s="15">
        <v>0</v>
      </c>
      <c r="S14" s="15">
        <v>0</v>
      </c>
      <c r="T14" s="15">
        <v>0</v>
      </c>
      <c r="U14" s="14">
        <v>1.6535857412401198E-2</v>
      </c>
      <c r="V14" s="16">
        <v>1.7242062442906648E-2</v>
      </c>
      <c r="W14" s="14">
        <v>4.7497787804237697E-2</v>
      </c>
      <c r="X14" s="15">
        <v>6.8600555236826496E-2</v>
      </c>
      <c r="Y14" s="16">
        <v>4.8820243292914199E-2</v>
      </c>
      <c r="Z14" s="14">
        <v>0.27355259191551801</v>
      </c>
      <c r="AA14" s="15">
        <v>0</v>
      </c>
      <c r="AB14" s="16">
        <v>0</v>
      </c>
      <c r="AC14" s="26">
        <f t="shared" si="0"/>
        <v>0.51782580052314819</v>
      </c>
    </row>
    <row r="15" spans="1:29" x14ac:dyDescent="0.3">
      <c r="A15" s="17" t="s">
        <v>46</v>
      </c>
      <c r="B15">
        <v>1989</v>
      </c>
      <c r="C15" s="18">
        <v>2439.9209999999998</v>
      </c>
      <c r="D15" s="14">
        <v>2.0467875804175599E-3</v>
      </c>
      <c r="E15" s="16">
        <v>4.5083426881444102E-6</v>
      </c>
      <c r="F15" s="14">
        <v>3.7132349776898498E-3</v>
      </c>
      <c r="G15" s="16">
        <v>0</v>
      </c>
      <c r="H15" s="14">
        <v>0.234732190099597</v>
      </c>
      <c r="I15" s="16">
        <v>1.0297464549057099E-2</v>
      </c>
      <c r="J15" s="14">
        <v>3.6902834149138402E-3</v>
      </c>
      <c r="K15" s="15">
        <v>2.26646682413078E-4</v>
      </c>
      <c r="L15" s="15">
        <v>0.21985301983138</v>
      </c>
      <c r="M15" s="15">
        <v>2.0492466764292798E-6</v>
      </c>
      <c r="N15" s="16">
        <v>0</v>
      </c>
      <c r="O15" s="14">
        <v>3.5005231726764903E-2</v>
      </c>
      <c r="P15" s="16">
        <v>6.0463433037381102E-2</v>
      </c>
      <c r="Q15" s="14">
        <v>0</v>
      </c>
      <c r="R15" s="15">
        <v>0</v>
      </c>
      <c r="S15" s="15">
        <v>0</v>
      </c>
      <c r="T15" s="15">
        <v>0</v>
      </c>
      <c r="U15" s="14">
        <v>2.0978199124912451E-2</v>
      </c>
      <c r="V15" s="16">
        <v>2.8942951074827348E-3</v>
      </c>
      <c r="W15" s="14">
        <v>6.6525514555594203E-2</v>
      </c>
      <c r="X15" s="15">
        <v>4.4664970710117297E-2</v>
      </c>
      <c r="Y15" s="16">
        <v>5.2098408104196803E-2</v>
      </c>
      <c r="Z15" s="14">
        <v>0.242802943210047</v>
      </c>
      <c r="AA15" s="15">
        <v>0</v>
      </c>
      <c r="AB15" s="16">
        <v>0</v>
      </c>
      <c r="AC15" s="26">
        <f t="shared" si="0"/>
        <v>0.56798355356587327</v>
      </c>
    </row>
    <row r="16" spans="1:29" x14ac:dyDescent="0.3">
      <c r="A16" s="17" t="s">
        <v>46</v>
      </c>
      <c r="B16">
        <v>1990</v>
      </c>
      <c r="C16" s="18">
        <v>3080.9690000000001</v>
      </c>
      <c r="D16" s="14">
        <v>5.0756758669107003E-3</v>
      </c>
      <c r="E16" s="16">
        <v>3.05098817936824E-5</v>
      </c>
      <c r="F16" s="14">
        <v>7.3983217617574204E-3</v>
      </c>
      <c r="G16" s="16">
        <v>0</v>
      </c>
      <c r="H16" s="14">
        <v>0.20050412711065899</v>
      </c>
      <c r="I16" s="16">
        <v>1.26466705766919E-2</v>
      </c>
      <c r="J16" s="14">
        <v>1.4897910365212999E-3</v>
      </c>
      <c r="K16" s="15">
        <v>4.1415541668871102E-4</v>
      </c>
      <c r="L16" s="15">
        <v>0.112273768415067</v>
      </c>
      <c r="M16" s="15">
        <v>3.2457321057108999E-7</v>
      </c>
      <c r="N16" s="16">
        <v>0</v>
      </c>
      <c r="O16" s="14">
        <v>1.54688346426076E-2</v>
      </c>
      <c r="P16" s="16">
        <v>5.5360829661057903E-2</v>
      </c>
      <c r="Q16" s="14">
        <v>3.12693831064188E-3</v>
      </c>
      <c r="R16" s="15">
        <v>0</v>
      </c>
      <c r="S16" s="15">
        <v>0</v>
      </c>
      <c r="T16" s="15">
        <v>0</v>
      </c>
      <c r="U16" s="14">
        <v>4.8237928996665933E-3</v>
      </c>
      <c r="V16" s="16">
        <v>8.2039266262358534E-3</v>
      </c>
      <c r="W16" s="14">
        <v>6.3539100847817706E-2</v>
      </c>
      <c r="X16" s="15">
        <v>2.61963038251927E-2</v>
      </c>
      <c r="Y16" s="16">
        <v>5.4490973456727397E-2</v>
      </c>
      <c r="Z16" s="14">
        <v>0.42895595509075202</v>
      </c>
      <c r="AA16" s="15">
        <v>0</v>
      </c>
      <c r="AB16" s="16">
        <v>0</v>
      </c>
      <c r="AC16" s="26">
        <f t="shared" si="0"/>
        <v>0.40555682319426145</v>
      </c>
    </row>
    <row r="17" spans="1:29" x14ac:dyDescent="0.3">
      <c r="A17" s="17" t="s">
        <v>46</v>
      </c>
      <c r="B17">
        <v>1991</v>
      </c>
      <c r="C17" s="18">
        <v>1681.097</v>
      </c>
      <c r="D17" s="14">
        <v>3.4739220877795898E-4</v>
      </c>
      <c r="E17" s="16">
        <v>1.1343783255814499E-3</v>
      </c>
      <c r="F17" s="14">
        <v>6.4243764637019797E-4</v>
      </c>
      <c r="G17" s="16">
        <v>0</v>
      </c>
      <c r="H17" s="14">
        <v>0.26809696287602702</v>
      </c>
      <c r="I17" s="16">
        <v>5.9484967256499796E-7</v>
      </c>
      <c r="J17" s="14">
        <v>1.68639882172177E-3</v>
      </c>
      <c r="K17" s="15">
        <v>3.0254054346655801E-3</v>
      </c>
      <c r="L17" s="15">
        <v>0.118341773258771</v>
      </c>
      <c r="M17" s="15">
        <v>0</v>
      </c>
      <c r="N17" s="16">
        <v>0</v>
      </c>
      <c r="O17" s="14">
        <v>3.92404483500952E-2</v>
      </c>
      <c r="P17" s="16">
        <v>8.8372057055601194E-2</v>
      </c>
      <c r="Q17" s="14">
        <v>3.63096240133675E-3</v>
      </c>
      <c r="R17" s="15">
        <v>0</v>
      </c>
      <c r="S17" s="15">
        <v>0</v>
      </c>
      <c r="T17" s="15">
        <v>0</v>
      </c>
      <c r="U17" s="14">
        <v>7.0679686967630448E-3</v>
      </c>
      <c r="V17" s="16">
        <v>5.5529568060485564E-3</v>
      </c>
      <c r="W17" s="14">
        <v>0.11744295540352501</v>
      </c>
      <c r="X17" s="15">
        <v>1.99310331289628E-2</v>
      </c>
      <c r="Y17" s="16">
        <v>4.97199150316728E-2</v>
      </c>
      <c r="Z17" s="14">
        <v>0.27576635970440699</v>
      </c>
      <c r="AA17" s="15">
        <v>0</v>
      </c>
      <c r="AB17" s="16">
        <v>0</v>
      </c>
      <c r="AC17" s="26">
        <f t="shared" si="0"/>
        <v>0.51940607829292451</v>
      </c>
    </row>
    <row r="18" spans="1:29" x14ac:dyDescent="0.3">
      <c r="A18" s="17" t="s">
        <v>46</v>
      </c>
      <c r="B18">
        <v>1992</v>
      </c>
      <c r="C18" s="18">
        <v>1723.4739999999999</v>
      </c>
      <c r="D18" s="14">
        <v>2.7966769443577298E-4</v>
      </c>
      <c r="E18" s="16">
        <v>1.7406702973180899E-6</v>
      </c>
      <c r="F18" s="14">
        <v>3.5347211504205998E-3</v>
      </c>
      <c r="G18" s="16">
        <v>0</v>
      </c>
      <c r="H18" s="14">
        <v>0.17553209389871899</v>
      </c>
      <c r="I18" s="16">
        <v>2.5819942743551702E-4</v>
      </c>
      <c r="J18" s="14">
        <v>9.1930600635692795E-3</v>
      </c>
      <c r="K18" s="15">
        <v>2.08880435678171E-5</v>
      </c>
      <c r="L18" s="15">
        <v>0.11059000599950999</v>
      </c>
      <c r="M18" s="15">
        <v>0</v>
      </c>
      <c r="N18" s="16">
        <v>0</v>
      </c>
      <c r="O18" s="14">
        <v>1.30109302490203E-2</v>
      </c>
      <c r="P18" s="16">
        <v>0.119353700723074</v>
      </c>
      <c r="Q18" s="14">
        <v>2.3754347324067599E-3</v>
      </c>
      <c r="R18" s="15">
        <v>0</v>
      </c>
      <c r="S18" s="15">
        <v>0</v>
      </c>
      <c r="T18" s="15">
        <v>0</v>
      </c>
      <c r="U18" s="14">
        <v>6.1328942216158817E-3</v>
      </c>
      <c r="V18" s="16">
        <v>6.7950909865468838E-4</v>
      </c>
      <c r="W18" s="14">
        <v>0.123922960253534</v>
      </c>
      <c r="X18" s="15">
        <v>9.9757814739299799E-3</v>
      </c>
      <c r="Y18" s="16">
        <v>7.2101464832077494E-2</v>
      </c>
      <c r="Z18" s="14">
        <v>0.35303694746773101</v>
      </c>
      <c r="AA18" s="15">
        <v>0</v>
      </c>
      <c r="AB18" s="16">
        <v>0</v>
      </c>
      <c r="AC18" s="26">
        <f t="shared" si="0"/>
        <v>0.43149359955531652</v>
      </c>
    </row>
    <row r="19" spans="1:29" x14ac:dyDescent="0.3">
      <c r="A19" s="17" t="s">
        <v>46</v>
      </c>
      <c r="B19">
        <v>1993</v>
      </c>
      <c r="C19" s="18">
        <v>1138.991</v>
      </c>
      <c r="D19" s="14">
        <v>8.6778561024626194E-3</v>
      </c>
      <c r="E19" s="16">
        <v>0</v>
      </c>
      <c r="F19" s="14">
        <v>2.98773212431003E-3</v>
      </c>
      <c r="G19" s="16">
        <v>0</v>
      </c>
      <c r="H19" s="14">
        <v>0.18337458329345899</v>
      </c>
      <c r="I19" s="16">
        <v>1.7559401259535901E-6</v>
      </c>
      <c r="J19" s="14">
        <v>1.7243332036864199E-3</v>
      </c>
      <c r="K19" s="15">
        <v>8.7797006297679303E-7</v>
      </c>
      <c r="L19" s="15">
        <v>8.0296508049668494E-2</v>
      </c>
      <c r="M19" s="15">
        <v>1.32573479509496E-4</v>
      </c>
      <c r="N19" s="16">
        <v>0</v>
      </c>
      <c r="O19" s="14">
        <v>1.0495254132824599E-2</v>
      </c>
      <c r="P19" s="16">
        <v>7.2570371495472796E-2</v>
      </c>
      <c r="Q19" s="14">
        <v>0</v>
      </c>
      <c r="R19" s="15">
        <v>0</v>
      </c>
      <c r="S19" s="15">
        <v>0</v>
      </c>
      <c r="T19" s="15">
        <v>0</v>
      </c>
      <c r="U19" s="14">
        <v>1.5957878646249996E-2</v>
      </c>
      <c r="V19" s="16">
        <v>3.7411356567603063E-3</v>
      </c>
      <c r="W19" s="14">
        <v>9.4939292759995506E-2</v>
      </c>
      <c r="X19" s="15">
        <v>6.0070711708872203E-3</v>
      </c>
      <c r="Y19" s="16">
        <v>2.1573480387465701E-2</v>
      </c>
      <c r="Z19" s="14">
        <v>0.49751929558705899</v>
      </c>
      <c r="AA19" s="15">
        <v>0</v>
      </c>
      <c r="AB19" s="16">
        <v>0</v>
      </c>
      <c r="AC19" s="26">
        <f t="shared" si="0"/>
        <v>0.35158398968911975</v>
      </c>
    </row>
    <row r="20" spans="1:29" x14ac:dyDescent="0.3">
      <c r="A20" s="17" t="s">
        <v>46</v>
      </c>
      <c r="B20">
        <v>1994</v>
      </c>
      <c r="C20" s="18">
        <v>421.01400000000001</v>
      </c>
      <c r="D20" s="14">
        <v>7.1256537787341998E-6</v>
      </c>
      <c r="E20" s="16">
        <v>0</v>
      </c>
      <c r="F20" s="14">
        <v>0</v>
      </c>
      <c r="G20" s="16">
        <v>0</v>
      </c>
      <c r="H20" s="14">
        <v>0.197618131463562</v>
      </c>
      <c r="I20" s="16">
        <v>2.0607390728099299E-2</v>
      </c>
      <c r="J20" s="14">
        <v>7.0377707154631397E-3</v>
      </c>
      <c r="K20" s="15">
        <v>0</v>
      </c>
      <c r="L20" s="15">
        <v>8.54009605381294E-2</v>
      </c>
      <c r="M20" s="15">
        <v>2.37521792624473E-6</v>
      </c>
      <c r="N20" s="16">
        <v>0</v>
      </c>
      <c r="O20" s="14">
        <v>3.5820661545696797E-2</v>
      </c>
      <c r="P20" s="16">
        <v>9.1393635366044806E-2</v>
      </c>
      <c r="Q20" s="14">
        <v>1.0436707567919401E-2</v>
      </c>
      <c r="R20" s="15">
        <v>0</v>
      </c>
      <c r="S20" s="15">
        <v>0</v>
      </c>
      <c r="T20" s="15">
        <v>0</v>
      </c>
      <c r="U20" s="14">
        <v>8.8950438542082372E-3</v>
      </c>
      <c r="V20" s="16">
        <v>1.0071071286855963E-2</v>
      </c>
      <c r="W20" s="14">
        <v>3.58040350202131E-2</v>
      </c>
      <c r="X20" s="15">
        <v>2.8963407392628301E-2</v>
      </c>
      <c r="Y20" s="16">
        <v>2.13769613362026E-2</v>
      </c>
      <c r="Z20" s="14">
        <v>0.44656472231327199</v>
      </c>
      <c r="AA20" s="15">
        <v>0</v>
      </c>
      <c r="AB20" s="16">
        <v>0</v>
      </c>
      <c r="AC20" s="26">
        <f t="shared" si="0"/>
        <v>0.43788092557492164</v>
      </c>
    </row>
    <row r="21" spans="1:29" x14ac:dyDescent="0.3">
      <c r="A21" s="17" t="s">
        <v>46</v>
      </c>
      <c r="B21">
        <v>1995</v>
      </c>
      <c r="C21" s="18">
        <v>440.94600000000003</v>
      </c>
      <c r="D21" s="14">
        <v>2.4651544633583298E-3</v>
      </c>
      <c r="E21" s="16">
        <v>0</v>
      </c>
      <c r="F21" s="14">
        <v>0</v>
      </c>
      <c r="G21" s="16">
        <v>0</v>
      </c>
      <c r="H21" s="14">
        <v>0.141742979866015</v>
      </c>
      <c r="I21" s="16">
        <v>1.43101422849963E-3</v>
      </c>
      <c r="J21" s="14">
        <v>5.2069867965691902E-3</v>
      </c>
      <c r="K21" s="15">
        <v>1.6305851510162201E-3</v>
      </c>
      <c r="L21" s="15">
        <v>0.193527098556286</v>
      </c>
      <c r="M21" s="15">
        <v>6.8330362448009501E-3</v>
      </c>
      <c r="N21" s="16">
        <v>0</v>
      </c>
      <c r="O21" s="14">
        <v>2.3002816671429199E-2</v>
      </c>
      <c r="P21" s="16">
        <v>3.0389208655935202E-4</v>
      </c>
      <c r="Q21" s="14">
        <v>7.4181419039973098E-3</v>
      </c>
      <c r="R21" s="15">
        <v>0</v>
      </c>
      <c r="S21" s="15">
        <v>0</v>
      </c>
      <c r="T21" s="15">
        <v>0</v>
      </c>
      <c r="U21" s="14">
        <v>8.230322215360757E-3</v>
      </c>
      <c r="V21" s="16">
        <v>1.1438752909484443E-2</v>
      </c>
      <c r="W21" s="14">
        <v>8.0370385489379706E-2</v>
      </c>
      <c r="X21" s="15">
        <v>2.95274251268863E-2</v>
      </c>
      <c r="Y21" s="16">
        <v>5.3326257636989602E-2</v>
      </c>
      <c r="Z21" s="14">
        <v>0.38818812280868897</v>
      </c>
      <c r="AA21" s="15">
        <v>4.5357027844679397E-2</v>
      </c>
      <c r="AB21" s="16">
        <v>0</v>
      </c>
      <c r="AC21" s="26">
        <f t="shared" si="0"/>
        <v>0.37367840960117549</v>
      </c>
    </row>
    <row r="22" spans="1:29" x14ac:dyDescent="0.3">
      <c r="A22" s="17" t="s">
        <v>46</v>
      </c>
      <c r="B22">
        <v>1996</v>
      </c>
      <c r="C22" s="18">
        <v>1108.9860000000001</v>
      </c>
      <c r="D22" s="14">
        <v>1.71057163931736E-3</v>
      </c>
      <c r="E22" s="16">
        <v>1.2227386098652301E-3</v>
      </c>
      <c r="F22" s="14">
        <v>2.8133808722562799E-4</v>
      </c>
      <c r="G22" s="16">
        <v>0</v>
      </c>
      <c r="H22" s="14">
        <v>1.85881516989394E-2</v>
      </c>
      <c r="I22" s="16">
        <v>3.1839896986977298E-3</v>
      </c>
      <c r="J22" s="14">
        <v>3.29400010460006E-3</v>
      </c>
      <c r="K22" s="15">
        <v>3.1109500029756899E-4</v>
      </c>
      <c r="L22" s="15">
        <v>0.17306169780321801</v>
      </c>
      <c r="M22" s="15">
        <v>3.4373743221285001E-3</v>
      </c>
      <c r="N22" s="16">
        <v>0</v>
      </c>
      <c r="O22" s="14">
        <v>6.5582432961281698E-3</v>
      </c>
      <c r="P22" s="16">
        <v>1.3075007258883301E-4</v>
      </c>
      <c r="Q22" s="14">
        <v>0</v>
      </c>
      <c r="R22" s="15">
        <v>0</v>
      </c>
      <c r="S22" s="15">
        <v>0</v>
      </c>
      <c r="T22" s="15">
        <v>0</v>
      </c>
      <c r="U22" s="14">
        <v>3.7278577113095393E-3</v>
      </c>
      <c r="V22" s="16">
        <v>2.7219278527022036E-4</v>
      </c>
      <c r="W22" s="14">
        <v>4.7189955508906298E-2</v>
      </c>
      <c r="X22" s="15">
        <v>9.9189710239804701E-6</v>
      </c>
      <c r="Y22" s="16">
        <v>6.3891699264012405E-2</v>
      </c>
      <c r="Z22" s="14">
        <v>0.67222670078792701</v>
      </c>
      <c r="AA22" s="15">
        <v>9.0172463854367899E-4</v>
      </c>
      <c r="AB22" s="16">
        <v>0</v>
      </c>
      <c r="AC22" s="26">
        <f t="shared" si="0"/>
        <v>0.20884664008382392</v>
      </c>
    </row>
    <row r="23" spans="1:29" x14ac:dyDescent="0.3">
      <c r="A23" s="17" t="s">
        <v>46</v>
      </c>
      <c r="B23">
        <v>1997</v>
      </c>
      <c r="C23" s="18">
        <v>802.11800000000005</v>
      </c>
      <c r="D23" s="14">
        <v>1.6569881239418601E-2</v>
      </c>
      <c r="E23" s="16">
        <v>5.1239343837191005E-4</v>
      </c>
      <c r="F23" s="14">
        <v>0</v>
      </c>
      <c r="G23" s="16">
        <v>0</v>
      </c>
      <c r="H23" s="14">
        <v>0.104315075836722</v>
      </c>
      <c r="I23" s="16">
        <v>3.6639247592000199E-2</v>
      </c>
      <c r="J23" s="14">
        <v>1.1022069072131499E-2</v>
      </c>
      <c r="K23" s="15">
        <v>3.22645795257057E-3</v>
      </c>
      <c r="L23" s="15">
        <v>0.166717365774113</v>
      </c>
      <c r="M23" s="15">
        <v>1.6032553813778E-3</v>
      </c>
      <c r="N23" s="16">
        <v>0</v>
      </c>
      <c r="O23" s="14">
        <v>1.2316143011377401E-2</v>
      </c>
      <c r="P23" s="16">
        <v>1.43495096731404E-3</v>
      </c>
      <c r="Q23" s="14">
        <v>0</v>
      </c>
      <c r="R23" s="15">
        <v>0</v>
      </c>
      <c r="S23" s="15">
        <v>0</v>
      </c>
      <c r="T23" s="15">
        <v>0</v>
      </c>
      <c r="U23" s="14">
        <v>2.3073109959758229E-2</v>
      </c>
      <c r="V23" s="16">
        <v>3.2245029446867086E-4</v>
      </c>
      <c r="W23" s="14">
        <v>0.109766892153025</v>
      </c>
      <c r="X23" s="15">
        <v>3.1219845459146901E-2</v>
      </c>
      <c r="Y23" s="16">
        <v>6.2282606798500999E-2</v>
      </c>
      <c r="Z23" s="14">
        <v>0.41897825506970299</v>
      </c>
      <c r="AA23" s="15">
        <v>0</v>
      </c>
      <c r="AB23" s="16">
        <v>0</v>
      </c>
      <c r="AC23" s="26">
        <f t="shared" si="0"/>
        <v>0.33727456558760655</v>
      </c>
    </row>
    <row r="24" spans="1:29" x14ac:dyDescent="0.3">
      <c r="A24" s="17" t="s">
        <v>46</v>
      </c>
      <c r="B24">
        <v>1998</v>
      </c>
      <c r="C24" s="18">
        <v>1237.55</v>
      </c>
      <c r="D24" s="14">
        <v>8.2235061209648096E-3</v>
      </c>
      <c r="E24" s="16">
        <v>8.0804815967031692E-6</v>
      </c>
      <c r="F24" s="14">
        <v>2.3595006262373201E-4</v>
      </c>
      <c r="G24" s="16">
        <v>0</v>
      </c>
      <c r="H24" s="14">
        <v>8.6566199345480994E-3</v>
      </c>
      <c r="I24" s="16">
        <v>1.5975112116682201E-3</v>
      </c>
      <c r="J24" s="14">
        <v>2.47262736859117E-3</v>
      </c>
      <c r="K24" s="15">
        <v>1.7461920730475499E-3</v>
      </c>
      <c r="L24" s="15">
        <v>5.0456143186133902E-2</v>
      </c>
      <c r="M24" s="15">
        <v>1.87467173043513E-4</v>
      </c>
      <c r="N24" s="16">
        <v>0</v>
      </c>
      <c r="O24" s="14">
        <v>2.5291907397680899E-4</v>
      </c>
      <c r="P24" s="16">
        <v>4.1662963112601504E-3</v>
      </c>
      <c r="Q24" s="14">
        <v>0</v>
      </c>
      <c r="R24" s="15">
        <v>0</v>
      </c>
      <c r="S24" s="15">
        <v>0</v>
      </c>
      <c r="T24" s="15">
        <v>0</v>
      </c>
      <c r="U24" s="14">
        <v>2.6222122338491393E-3</v>
      </c>
      <c r="V24" s="16">
        <v>3.8534301644378032E-4</v>
      </c>
      <c r="W24" s="14">
        <v>6.2754636176316103E-2</v>
      </c>
      <c r="X24" s="15">
        <v>1.7405357359298601E-3</v>
      </c>
      <c r="Y24" s="16">
        <v>4.7020322411215698E-3</v>
      </c>
      <c r="Z24" s="14">
        <v>0.84127509999595995</v>
      </c>
      <c r="AA24" s="15">
        <v>8.5168276029251398E-3</v>
      </c>
      <c r="AB24" s="16">
        <v>0</v>
      </c>
      <c r="AC24" s="26">
        <f t="shared" si="0"/>
        <v>6.9771726394893152E-2</v>
      </c>
    </row>
    <row r="25" spans="1:29" x14ac:dyDescent="0.3">
      <c r="A25" s="17" t="s">
        <v>46</v>
      </c>
      <c r="B25">
        <v>1999</v>
      </c>
      <c r="C25" s="18">
        <v>1238.7439999999999</v>
      </c>
      <c r="D25" s="14">
        <v>3.1112158767267499E-3</v>
      </c>
      <c r="E25" s="16">
        <v>2.11504556227921E-3</v>
      </c>
      <c r="F25" s="14">
        <v>3.9523904858469504E-3</v>
      </c>
      <c r="G25" s="16">
        <v>0</v>
      </c>
      <c r="H25" s="14">
        <v>7.3235470767164202E-3</v>
      </c>
      <c r="I25" s="16">
        <v>1.29243814702634E-2</v>
      </c>
      <c r="J25" s="14">
        <v>2.3289719264028702E-3</v>
      </c>
      <c r="K25" s="15">
        <v>7.6698656058071697E-3</v>
      </c>
      <c r="L25" s="15">
        <v>8.9028887324580405E-2</v>
      </c>
      <c r="M25" s="15">
        <v>6.1917555201074599E-3</v>
      </c>
      <c r="N25" s="16">
        <v>0</v>
      </c>
      <c r="O25" s="14">
        <v>0</v>
      </c>
      <c r="P25" s="16">
        <v>2.7164611897212E-3</v>
      </c>
      <c r="Q25" s="14">
        <v>2.1570235658053601E-3</v>
      </c>
      <c r="R25" s="15">
        <v>0</v>
      </c>
      <c r="S25" s="15">
        <v>0</v>
      </c>
      <c r="T25" s="15">
        <v>0</v>
      </c>
      <c r="U25" s="14">
        <v>5.7521669123037477E-3</v>
      </c>
      <c r="V25" s="16">
        <v>6.2929689296998268E-4</v>
      </c>
      <c r="W25" s="14">
        <v>0.13732215857352301</v>
      </c>
      <c r="X25" s="15">
        <v>8.3891425508418205E-3</v>
      </c>
      <c r="Y25" s="16">
        <v>9.5588757644840192E-3</v>
      </c>
      <c r="Z25" s="14">
        <v>0.69024754105771602</v>
      </c>
      <c r="AA25" s="15">
        <v>8.5812726439038305E-3</v>
      </c>
      <c r="AB25" s="16">
        <v>0</v>
      </c>
      <c r="AC25" s="26">
        <f t="shared" si="0"/>
        <v>0.13213626059944586</v>
      </c>
    </row>
    <row r="26" spans="1:29" x14ac:dyDescent="0.3">
      <c r="A26" s="17" t="s">
        <v>46</v>
      </c>
      <c r="B26">
        <v>2000</v>
      </c>
      <c r="C26" s="18">
        <v>584.38099999999997</v>
      </c>
      <c r="D26" s="14">
        <v>1.5926253591407001E-2</v>
      </c>
      <c r="E26" s="16">
        <v>1.24405139797495E-3</v>
      </c>
      <c r="F26" s="14">
        <v>4.9094683092023904E-3</v>
      </c>
      <c r="G26" s="16">
        <v>0</v>
      </c>
      <c r="H26" s="14">
        <v>0.13339242720074701</v>
      </c>
      <c r="I26" s="16">
        <v>4.2614321820866899E-2</v>
      </c>
      <c r="J26" s="14">
        <v>0</v>
      </c>
      <c r="K26" s="15">
        <v>1.02672742611413E-4</v>
      </c>
      <c r="L26" s="15">
        <v>0.11500545021142</v>
      </c>
      <c r="M26" s="15">
        <v>0</v>
      </c>
      <c r="N26" s="16">
        <v>0</v>
      </c>
      <c r="O26" s="14">
        <v>0</v>
      </c>
      <c r="P26" s="16">
        <v>9.0694255973414593E-5</v>
      </c>
      <c r="Q26" s="14">
        <v>0</v>
      </c>
      <c r="R26" s="15">
        <v>0</v>
      </c>
      <c r="S26" s="15">
        <v>0</v>
      </c>
      <c r="T26" s="15">
        <v>0</v>
      </c>
      <c r="U26" s="14">
        <v>0</v>
      </c>
      <c r="V26" s="16">
        <v>0</v>
      </c>
      <c r="W26" s="14">
        <v>0.15226709971747901</v>
      </c>
      <c r="X26" s="15">
        <v>5.3868965623454597E-3</v>
      </c>
      <c r="Y26" s="16">
        <v>1.4488835194847199E-2</v>
      </c>
      <c r="Z26" s="14">
        <v>0.51457182899512499</v>
      </c>
      <c r="AA26" s="15">
        <v>0</v>
      </c>
      <c r="AB26" s="16">
        <v>0</v>
      </c>
      <c r="AC26" s="26">
        <f t="shared" si="0"/>
        <v>0.29611503454082111</v>
      </c>
    </row>
    <row r="27" spans="1:29" x14ac:dyDescent="0.3">
      <c r="A27" s="17" t="s">
        <v>46</v>
      </c>
      <c r="B27">
        <v>2001</v>
      </c>
      <c r="C27" s="18">
        <v>930.33399999999995</v>
      </c>
      <c r="D27" s="14">
        <v>4.3607994548194497E-3</v>
      </c>
      <c r="E27" s="16">
        <v>1.6123241760486001E-5</v>
      </c>
      <c r="F27" s="14">
        <v>2.7946952384842402E-4</v>
      </c>
      <c r="G27" s="16">
        <v>0</v>
      </c>
      <c r="H27" s="14">
        <v>6.4951941990725903E-2</v>
      </c>
      <c r="I27" s="16">
        <v>2.2380134446338601E-2</v>
      </c>
      <c r="J27" s="14">
        <v>5.6323857883297805E-4</v>
      </c>
      <c r="K27" s="15">
        <v>2.1497655680647999E-6</v>
      </c>
      <c r="L27" s="15">
        <v>5.52500499820495E-2</v>
      </c>
      <c r="M27" s="15">
        <v>7.8788908069574995E-4</v>
      </c>
      <c r="N27" s="16">
        <v>0</v>
      </c>
      <c r="O27" s="14">
        <v>1.2984584031111399E-3</v>
      </c>
      <c r="P27" s="16">
        <v>0</v>
      </c>
      <c r="Q27" s="14">
        <v>0</v>
      </c>
      <c r="R27" s="15">
        <v>0</v>
      </c>
      <c r="S27" s="15">
        <v>0</v>
      </c>
      <c r="T27" s="15">
        <v>0</v>
      </c>
      <c r="U27" s="14">
        <v>8.0663105957056197E-7</v>
      </c>
      <c r="V27" s="16">
        <v>2.6825172446183803E-7</v>
      </c>
      <c r="W27" s="14">
        <v>6.9734095496886098E-2</v>
      </c>
      <c r="X27" s="15">
        <v>1.05026796827806E-2</v>
      </c>
      <c r="Y27" s="16">
        <v>3.3978119686048198E-2</v>
      </c>
      <c r="Z27" s="14">
        <v>0.73029363647894197</v>
      </c>
      <c r="AA27" s="15">
        <v>5.6001393048088098E-3</v>
      </c>
      <c r="AB27" s="16">
        <v>0</v>
      </c>
      <c r="AC27" s="26">
        <f t="shared" si="0"/>
        <v>0.14551333177117035</v>
      </c>
    </row>
    <row r="28" spans="1:29" x14ac:dyDescent="0.3">
      <c r="A28" s="17" t="s">
        <v>46</v>
      </c>
      <c r="B28">
        <v>2002</v>
      </c>
      <c r="C28" s="18">
        <v>492.34100000000001</v>
      </c>
      <c r="D28" s="14">
        <v>4.9335724629880496E-3</v>
      </c>
      <c r="E28" s="16">
        <v>0</v>
      </c>
      <c r="F28" s="14">
        <v>6.1136488734434002E-4</v>
      </c>
      <c r="G28" s="16">
        <v>0</v>
      </c>
      <c r="H28" s="14">
        <v>9.3258534227293702E-2</v>
      </c>
      <c r="I28" s="16">
        <v>2.3956972911051502E-2</v>
      </c>
      <c r="J28" s="14">
        <v>4.0622251650786703E-6</v>
      </c>
      <c r="K28" s="15">
        <v>0</v>
      </c>
      <c r="L28" s="15">
        <v>5.5435155715246098E-2</v>
      </c>
      <c r="M28" s="15">
        <v>2.0311125825393398E-6</v>
      </c>
      <c r="N28" s="16">
        <v>0</v>
      </c>
      <c r="O28" s="14">
        <v>5.4114932536595599E-2</v>
      </c>
      <c r="P28" s="16">
        <v>0</v>
      </c>
      <c r="Q28" s="14">
        <v>0</v>
      </c>
      <c r="R28" s="15">
        <v>0</v>
      </c>
      <c r="S28" s="15">
        <v>0</v>
      </c>
      <c r="T28" s="15">
        <v>0</v>
      </c>
      <c r="U28" s="14">
        <v>6.4493181276061417E-3</v>
      </c>
      <c r="V28" s="16">
        <v>2.5566350633732787E-3</v>
      </c>
      <c r="W28" s="14">
        <v>0.11881602385338599</v>
      </c>
      <c r="X28" s="15">
        <v>1.9236667269230099E-2</v>
      </c>
      <c r="Y28" s="16">
        <v>3.2723254817291297E-2</v>
      </c>
      <c r="Z28" s="14">
        <v>0.58578911770500497</v>
      </c>
      <c r="AA28" s="15">
        <v>2.1123570858409099E-3</v>
      </c>
      <c r="AB28" s="16">
        <v>0</v>
      </c>
      <c r="AC28" s="26">
        <f t="shared" si="0"/>
        <v>0.22738305361527886</v>
      </c>
    </row>
    <row r="29" spans="1:29" x14ac:dyDescent="0.3">
      <c r="A29" s="17" t="s">
        <v>46</v>
      </c>
      <c r="B29">
        <v>2003</v>
      </c>
      <c r="C29" s="18">
        <v>438.40899999999999</v>
      </c>
      <c r="D29" s="14">
        <v>1.36333880007025E-2</v>
      </c>
      <c r="E29" s="16">
        <v>0</v>
      </c>
      <c r="F29" s="14">
        <v>1.1336446103980501E-3</v>
      </c>
      <c r="G29" s="16">
        <v>0</v>
      </c>
      <c r="H29" s="14">
        <v>0.108515108038384</v>
      </c>
      <c r="I29" s="16">
        <v>4.8390886136005402E-2</v>
      </c>
      <c r="J29" s="14">
        <v>2.4358532785595199E-2</v>
      </c>
      <c r="K29" s="15">
        <v>4.52089259116487E-3</v>
      </c>
      <c r="L29" s="15">
        <v>4.5539667296976102E-2</v>
      </c>
      <c r="M29" s="15">
        <v>1.23400751353188E-2</v>
      </c>
      <c r="N29" s="16">
        <v>0</v>
      </c>
      <c r="O29" s="14">
        <v>0</v>
      </c>
      <c r="P29" s="16">
        <v>0</v>
      </c>
      <c r="Q29" s="14">
        <v>0</v>
      </c>
      <c r="R29" s="15">
        <v>0</v>
      </c>
      <c r="S29" s="15">
        <v>0</v>
      </c>
      <c r="T29" s="15">
        <v>0</v>
      </c>
      <c r="U29" s="14">
        <v>1.1356267546947909E-2</v>
      </c>
      <c r="V29" s="16">
        <v>4.9139276360888919E-3</v>
      </c>
      <c r="W29" s="14">
        <v>9.5217023373151494E-2</v>
      </c>
      <c r="X29" s="15">
        <v>2.7348891103969098E-3</v>
      </c>
      <c r="Y29" s="16">
        <v>3.63359328845895E-2</v>
      </c>
      <c r="Z29" s="14">
        <v>0.58601442944830096</v>
      </c>
      <c r="AA29" s="15">
        <v>4.99533540597935E-3</v>
      </c>
      <c r="AB29" s="16">
        <v>0</v>
      </c>
      <c r="AC29" s="26">
        <f t="shared" si="0"/>
        <v>0.24479880659384243</v>
      </c>
    </row>
    <row r="30" spans="1:29" x14ac:dyDescent="0.3">
      <c r="A30" s="17" t="s">
        <v>46</v>
      </c>
      <c r="B30">
        <v>2004</v>
      </c>
      <c r="C30" s="18">
        <v>569.00900000000001</v>
      </c>
      <c r="D30" s="14">
        <v>1.43424796444344E-2</v>
      </c>
      <c r="E30" s="16">
        <v>0</v>
      </c>
      <c r="F30" s="14">
        <v>8.1510134286100905E-3</v>
      </c>
      <c r="G30" s="16">
        <v>0</v>
      </c>
      <c r="H30" s="14">
        <v>0.17516594640858099</v>
      </c>
      <c r="I30" s="16">
        <v>6.6770472874770004E-2</v>
      </c>
      <c r="J30" s="14">
        <v>7.9418778964831793E-3</v>
      </c>
      <c r="K30" s="15">
        <v>1.75744144644461E-3</v>
      </c>
      <c r="L30" s="15">
        <v>9.6676853968917908E-3</v>
      </c>
      <c r="M30" s="15">
        <v>0</v>
      </c>
      <c r="N30" s="16">
        <v>0</v>
      </c>
      <c r="O30" s="14">
        <v>1.75744144644461E-6</v>
      </c>
      <c r="P30" s="16">
        <v>0</v>
      </c>
      <c r="Q30" s="14">
        <v>0</v>
      </c>
      <c r="R30" s="15">
        <v>0</v>
      </c>
      <c r="S30" s="15">
        <v>0</v>
      </c>
      <c r="T30" s="15">
        <v>0</v>
      </c>
      <c r="U30" s="14">
        <v>2.192954889978295E-2</v>
      </c>
      <c r="V30" s="16">
        <v>2.3161132953668498E-3</v>
      </c>
      <c r="W30" s="14">
        <v>0.148173403232638</v>
      </c>
      <c r="X30" s="15">
        <v>1.7012033201583799E-3</v>
      </c>
      <c r="Y30" s="16">
        <v>3.6140025904686901E-2</v>
      </c>
      <c r="Z30" s="14">
        <v>0.50594103080970598</v>
      </c>
      <c r="AA30" s="15">
        <v>0</v>
      </c>
      <c r="AB30" s="16">
        <v>0</v>
      </c>
      <c r="AC30" s="26">
        <f t="shared" si="0"/>
        <v>0.26945619489322709</v>
      </c>
    </row>
    <row r="31" spans="1:29" x14ac:dyDescent="0.3">
      <c r="A31" s="17" t="s">
        <v>46</v>
      </c>
      <c r="B31">
        <v>2005</v>
      </c>
      <c r="C31" s="18">
        <v>868.25900000000001</v>
      </c>
      <c r="D31" s="14">
        <v>6.0696174758914103E-4</v>
      </c>
      <c r="E31" s="16">
        <v>0</v>
      </c>
      <c r="F31" s="14">
        <v>2.3794743273608501E-3</v>
      </c>
      <c r="G31" s="16">
        <v>0</v>
      </c>
      <c r="H31" s="14">
        <v>0.12381904477811299</v>
      </c>
      <c r="I31" s="16">
        <v>0.10483507801243599</v>
      </c>
      <c r="J31" s="14">
        <v>3.8672792335006E-2</v>
      </c>
      <c r="K31" s="15">
        <v>1.3872588709129399E-2</v>
      </c>
      <c r="L31" s="15">
        <v>9.2885878522422499E-2</v>
      </c>
      <c r="M31" s="15">
        <v>4.2729185646218503E-4</v>
      </c>
      <c r="N31" s="16">
        <v>0</v>
      </c>
      <c r="O31" s="14">
        <v>0</v>
      </c>
      <c r="P31" s="16">
        <v>0</v>
      </c>
      <c r="Q31" s="14">
        <v>0</v>
      </c>
      <c r="R31" s="15">
        <v>0</v>
      </c>
      <c r="S31" s="15">
        <v>0</v>
      </c>
      <c r="T31" s="15">
        <v>0</v>
      </c>
      <c r="U31" s="14">
        <v>4.1338446363177975E-2</v>
      </c>
      <c r="V31" s="16">
        <v>2.043770233482727E-3</v>
      </c>
      <c r="W31" s="14">
        <v>5.68966172536075E-2</v>
      </c>
      <c r="X31" s="15">
        <v>3.24787880114113E-3</v>
      </c>
      <c r="Y31" s="16">
        <v>2.4545671280113399E-2</v>
      </c>
      <c r="Z31" s="14">
        <v>0.483959279431598</v>
      </c>
      <c r="AA31" s="15">
        <v>1.0469226348359201E-2</v>
      </c>
      <c r="AB31" s="16">
        <v>0</v>
      </c>
      <c r="AC31" s="26">
        <f t="shared" si="0"/>
        <v>0.37689214854092989</v>
      </c>
    </row>
    <row r="32" spans="1:29" x14ac:dyDescent="0.3">
      <c r="A32" s="17" t="s">
        <v>46</v>
      </c>
      <c r="B32">
        <v>2006</v>
      </c>
      <c r="C32" s="18">
        <v>445.90699999999998</v>
      </c>
      <c r="D32" s="14">
        <v>1.05021899185256E-2</v>
      </c>
      <c r="E32" s="16">
        <v>0</v>
      </c>
      <c r="F32" s="14">
        <v>6.9498796834317504E-3</v>
      </c>
      <c r="G32" s="16">
        <v>0</v>
      </c>
      <c r="H32" s="14">
        <v>0.19363006187388801</v>
      </c>
      <c r="I32" s="16">
        <v>0.11474814254990399</v>
      </c>
      <c r="J32" s="14">
        <v>2.6489828596545899E-2</v>
      </c>
      <c r="K32" s="15">
        <v>6.7278602937383801E-6</v>
      </c>
      <c r="L32" s="15">
        <v>1.1993532283637601E-2</v>
      </c>
      <c r="M32" s="15">
        <v>4.4852401958255904E-6</v>
      </c>
      <c r="N32" s="16">
        <v>0</v>
      </c>
      <c r="O32" s="14">
        <v>0</v>
      </c>
      <c r="P32" s="16">
        <v>0</v>
      </c>
      <c r="Q32" s="14">
        <v>0</v>
      </c>
      <c r="R32" s="15">
        <v>0</v>
      </c>
      <c r="S32" s="15">
        <v>0</v>
      </c>
      <c r="T32" s="15">
        <v>0</v>
      </c>
      <c r="U32" s="14">
        <v>2.0211849201777037E-5</v>
      </c>
      <c r="V32" s="16">
        <v>2.2143517773508641E-6</v>
      </c>
      <c r="W32" s="14">
        <v>0.13649482963936399</v>
      </c>
      <c r="X32" s="15">
        <v>0</v>
      </c>
      <c r="Y32" s="16">
        <v>1.40096477516612E-2</v>
      </c>
      <c r="Z32" s="14">
        <v>0.485148248401573</v>
      </c>
      <c r="AA32" s="15">
        <v>0</v>
      </c>
      <c r="AB32" s="16">
        <v>0</v>
      </c>
      <c r="AC32" s="26">
        <f t="shared" si="0"/>
        <v>0.35382265808789681</v>
      </c>
    </row>
    <row r="33" spans="1:29" x14ac:dyDescent="0.3">
      <c r="A33" s="17" t="s">
        <v>46</v>
      </c>
      <c r="B33">
        <v>2007</v>
      </c>
      <c r="C33" s="18">
        <v>1171.1130000000001</v>
      </c>
      <c r="D33" s="14">
        <v>2.6385156684282399E-4</v>
      </c>
      <c r="E33" s="16">
        <v>1.6650827033770399E-4</v>
      </c>
      <c r="F33" s="14">
        <v>2.77513783896174E-4</v>
      </c>
      <c r="G33" s="16">
        <v>0</v>
      </c>
      <c r="H33" s="14">
        <v>8.1437060300756606E-2</v>
      </c>
      <c r="I33" s="16">
        <v>1.57516823739468E-2</v>
      </c>
      <c r="J33" s="14">
        <v>4.2352872865385302E-4</v>
      </c>
      <c r="K33" s="15">
        <v>0</v>
      </c>
      <c r="L33" s="15">
        <v>0.17768225611021299</v>
      </c>
      <c r="M33" s="15">
        <v>7.6218093386376902E-3</v>
      </c>
      <c r="N33" s="16">
        <v>0</v>
      </c>
      <c r="O33" s="14">
        <v>0</v>
      </c>
      <c r="P33" s="16">
        <v>0</v>
      </c>
      <c r="Q33" s="14">
        <v>0</v>
      </c>
      <c r="R33" s="15">
        <v>0</v>
      </c>
      <c r="S33" s="15">
        <v>0</v>
      </c>
      <c r="T33" s="15">
        <v>0</v>
      </c>
      <c r="U33" s="14">
        <v>1.3252094214975592E-6</v>
      </c>
      <c r="V33" s="16">
        <v>3.8256771017120068E-7</v>
      </c>
      <c r="W33" s="14">
        <v>9.0537804635419505E-3</v>
      </c>
      <c r="X33" s="15">
        <v>1.5369994185018901E-5</v>
      </c>
      <c r="Y33" s="16">
        <v>7.2956239064889501E-3</v>
      </c>
      <c r="Z33" s="14">
        <v>0.70000418405397302</v>
      </c>
      <c r="AA33" s="15">
        <v>0</v>
      </c>
      <c r="AB33" s="16">
        <v>0</v>
      </c>
      <c r="AC33" s="26">
        <f t="shared" si="0"/>
        <v>0.28319385063610414</v>
      </c>
    </row>
    <row r="34" spans="1:29" x14ac:dyDescent="0.3">
      <c r="A34" s="17" t="s">
        <v>46</v>
      </c>
      <c r="B34">
        <v>2008</v>
      </c>
      <c r="C34" s="18">
        <v>1127.1130000000001</v>
      </c>
      <c r="D34" s="14">
        <v>2.58891521968072E-3</v>
      </c>
      <c r="E34" s="16">
        <v>1.9962505977661501E-3</v>
      </c>
      <c r="F34" s="14">
        <v>3.0520453583624701E-4</v>
      </c>
      <c r="G34" s="16">
        <v>0</v>
      </c>
      <c r="H34" s="14">
        <v>0.194251153167429</v>
      </c>
      <c r="I34" s="16">
        <v>0.117419460160605</v>
      </c>
      <c r="J34" s="14">
        <v>1.6379901571537198E-2</v>
      </c>
      <c r="K34" s="15">
        <v>9.8836585151621903E-4</v>
      </c>
      <c r="L34" s="15">
        <v>0.28569007721497303</v>
      </c>
      <c r="M34" s="15">
        <v>5.0172431690522603E-3</v>
      </c>
      <c r="N34" s="16">
        <v>0</v>
      </c>
      <c r="O34" s="14">
        <v>8.6326748072287299E-4</v>
      </c>
      <c r="P34" s="16">
        <v>0</v>
      </c>
      <c r="Q34" s="14">
        <v>0</v>
      </c>
      <c r="R34" s="15">
        <v>0</v>
      </c>
      <c r="S34" s="15">
        <v>0</v>
      </c>
      <c r="T34" s="15">
        <v>0</v>
      </c>
      <c r="U34" s="14">
        <v>2.5734295547182925E-3</v>
      </c>
      <c r="V34" s="16">
        <v>8.1576034904468748E-4</v>
      </c>
      <c r="W34" s="14">
        <v>3.62137602884538E-2</v>
      </c>
      <c r="X34" s="15">
        <v>1.44226887632385E-2</v>
      </c>
      <c r="Y34" s="16">
        <v>1.9147148511285E-2</v>
      </c>
      <c r="Z34" s="14">
        <v>0.30132737356414102</v>
      </c>
      <c r="AA34" s="15">
        <v>0</v>
      </c>
      <c r="AB34" s="16">
        <v>0</v>
      </c>
      <c r="AC34" s="26">
        <f t="shared" si="0"/>
        <v>0.62091467315167181</v>
      </c>
    </row>
    <row r="35" spans="1:29" x14ac:dyDescent="0.3">
      <c r="A35" s="17" t="s">
        <v>46</v>
      </c>
      <c r="B35">
        <v>2009</v>
      </c>
      <c r="C35" s="18">
        <v>2471.6410000000001</v>
      </c>
      <c r="D35" s="14">
        <v>4.96431318302294E-4</v>
      </c>
      <c r="E35" s="16">
        <v>3.6413055132197599E-6</v>
      </c>
      <c r="F35" s="14">
        <v>1.5823495402447201E-3</v>
      </c>
      <c r="G35" s="16">
        <v>2.6055563894594697E-4</v>
      </c>
      <c r="H35" s="14">
        <v>1.31208375326352E-2</v>
      </c>
      <c r="I35" s="16">
        <v>4.1077162905130603E-2</v>
      </c>
      <c r="J35" s="14">
        <v>3.64535140823445E-3</v>
      </c>
      <c r="K35" s="15">
        <v>3.04251305104584E-3</v>
      </c>
      <c r="L35" s="15">
        <v>0.13319855108407699</v>
      </c>
      <c r="M35" s="15">
        <v>5.2879847841980304E-4</v>
      </c>
      <c r="N35" s="16">
        <v>1.2611054760784399E-3</v>
      </c>
      <c r="O35" s="14">
        <v>1.3230076698031801E-4</v>
      </c>
      <c r="P35" s="16">
        <v>0</v>
      </c>
      <c r="Q35" s="14">
        <v>1.4217275081615801E-2</v>
      </c>
      <c r="R35" s="15">
        <v>0</v>
      </c>
      <c r="S35" s="15">
        <v>0</v>
      </c>
      <c r="T35" s="15">
        <v>0</v>
      </c>
      <c r="U35" s="14">
        <v>1.2130748987161617E-2</v>
      </c>
      <c r="V35" s="16">
        <v>1.4157167010188615E-3</v>
      </c>
      <c r="W35" s="14">
        <v>1.1077255960715999E-2</v>
      </c>
      <c r="X35" s="15">
        <v>7.4363550369976905E-4</v>
      </c>
      <c r="Y35" s="16">
        <v>1.57005001940007E-2</v>
      </c>
      <c r="Z35" s="14">
        <v>0.74596067956471002</v>
      </c>
      <c r="AA35" s="15">
        <v>4.04589501468862E-4</v>
      </c>
      <c r="AB35" s="16">
        <v>0</v>
      </c>
      <c r="AC35" s="26">
        <f t="shared" si="0"/>
        <v>0.1978495258817923</v>
      </c>
    </row>
    <row r="36" spans="1:29" x14ac:dyDescent="0.3">
      <c r="A36" s="17" t="s">
        <v>46</v>
      </c>
      <c r="B36">
        <v>2010</v>
      </c>
      <c r="C36" s="18">
        <v>2263.3440000000001</v>
      </c>
      <c r="D36" s="14">
        <v>4.5733215984843697E-3</v>
      </c>
      <c r="E36" s="16">
        <v>0</v>
      </c>
      <c r="F36" s="14">
        <v>1.78717861712581E-3</v>
      </c>
      <c r="G36" s="16">
        <v>2.2091206639379601E-6</v>
      </c>
      <c r="H36" s="14">
        <v>3.3963904735647803E-2</v>
      </c>
      <c r="I36" s="16">
        <v>4.2509667112025397E-2</v>
      </c>
      <c r="J36" s="14">
        <v>1.12086364246884E-2</v>
      </c>
      <c r="K36" s="15">
        <v>8.2267653525049701E-3</v>
      </c>
      <c r="L36" s="15">
        <v>0.124439766999625</v>
      </c>
      <c r="M36" s="15">
        <v>4.4787712340678201E-3</v>
      </c>
      <c r="N36" s="16">
        <v>9.7864045412451705E-3</v>
      </c>
      <c r="O36" s="14">
        <v>9.5875836814907501E-5</v>
      </c>
      <c r="P36" s="16">
        <v>4.1531468482033697E-5</v>
      </c>
      <c r="Q36" s="14">
        <v>2.7158929442453301E-3</v>
      </c>
      <c r="R36" s="15">
        <v>0</v>
      </c>
      <c r="S36" s="15">
        <v>0</v>
      </c>
      <c r="T36" s="15">
        <v>0</v>
      </c>
      <c r="U36" s="14">
        <v>9.2752221207576327E-3</v>
      </c>
      <c r="V36" s="16">
        <v>5.3990098911872795E-4</v>
      </c>
      <c r="W36" s="14">
        <v>3.53596271711238E-2</v>
      </c>
      <c r="X36" s="15">
        <v>5.9668349132964297E-3</v>
      </c>
      <c r="Y36" s="16">
        <v>2.76431686919885E-2</v>
      </c>
      <c r="Z36" s="14">
        <v>0.67697884192592905</v>
      </c>
      <c r="AA36" s="15">
        <v>4.0647820216458498E-4</v>
      </c>
      <c r="AB36" s="16">
        <v>0</v>
      </c>
      <c r="AC36" s="26">
        <f t="shared" si="0"/>
        <v>0.23654071144289124</v>
      </c>
    </row>
    <row r="37" spans="1:29" x14ac:dyDescent="0.3">
      <c r="A37" s="17" t="s">
        <v>46</v>
      </c>
      <c r="B37">
        <v>2011</v>
      </c>
      <c r="C37" s="18">
        <v>3259.2759999999998</v>
      </c>
      <c r="D37" s="14">
        <v>2.3379425369315101E-3</v>
      </c>
      <c r="E37" s="16">
        <v>0</v>
      </c>
      <c r="F37" s="14">
        <v>1.35306123200367E-3</v>
      </c>
      <c r="G37" s="16">
        <v>2.3652492148563101E-3</v>
      </c>
      <c r="H37" s="14">
        <v>2.85802736558671E-2</v>
      </c>
      <c r="I37" s="16">
        <v>5.6721799565302197E-2</v>
      </c>
      <c r="J37" s="14">
        <v>1.5340830294826199E-6</v>
      </c>
      <c r="K37" s="15">
        <v>8.9679425737495093E-3</v>
      </c>
      <c r="L37" s="15">
        <v>0.17602406178550101</v>
      </c>
      <c r="M37" s="15">
        <v>2.53031654882864E-3</v>
      </c>
      <c r="N37" s="16">
        <v>3.8812300645910298E-3</v>
      </c>
      <c r="O37" s="14">
        <v>0</v>
      </c>
      <c r="P37" s="16">
        <v>6.4431487238270099E-6</v>
      </c>
      <c r="Q37" s="14">
        <v>0</v>
      </c>
      <c r="R37" s="15">
        <v>0</v>
      </c>
      <c r="S37" s="15">
        <v>0</v>
      </c>
      <c r="T37" s="15">
        <v>0</v>
      </c>
      <c r="U37" s="14">
        <v>6.3167343320821145E-3</v>
      </c>
      <c r="V37" s="16">
        <v>1.2315624510802047E-2</v>
      </c>
      <c r="W37" s="14">
        <v>2.81657644213009E-2</v>
      </c>
      <c r="X37" s="15">
        <v>4.1236151832492896E-3</v>
      </c>
      <c r="Y37" s="16">
        <v>2.27894170361761E-2</v>
      </c>
      <c r="Z37" s="14">
        <v>0.64351899010700497</v>
      </c>
      <c r="AA37" s="15">
        <v>0</v>
      </c>
      <c r="AB37" s="16">
        <v>0</v>
      </c>
      <c r="AC37" s="26">
        <f t="shared" si="0"/>
        <v>0.28043191187245275</v>
      </c>
    </row>
    <row r="38" spans="1:29" x14ac:dyDescent="0.3">
      <c r="A38" s="17" t="s">
        <v>46</v>
      </c>
      <c r="B38">
        <v>2012</v>
      </c>
      <c r="C38" s="18">
        <v>2283.8690000000001</v>
      </c>
      <c r="D38" s="14">
        <v>2.02244524532712E-3</v>
      </c>
      <c r="E38" s="16">
        <v>5.6702026254570599E-4</v>
      </c>
      <c r="F38" s="14">
        <v>0</v>
      </c>
      <c r="G38" s="16">
        <v>1.3091819189279199E-4</v>
      </c>
      <c r="H38" s="14">
        <v>1.3277469066745901E-2</v>
      </c>
      <c r="I38" s="16">
        <v>1.1124105629525999E-2</v>
      </c>
      <c r="J38" s="14">
        <v>7.5096251142250303E-3</v>
      </c>
      <c r="K38" s="15">
        <v>5.8361490961171599E-3</v>
      </c>
      <c r="L38" s="15">
        <v>0.15046134432403999</v>
      </c>
      <c r="M38" s="15">
        <v>7.1510231103447701E-3</v>
      </c>
      <c r="N38" s="16">
        <v>1.42302382492166E-4</v>
      </c>
      <c r="O38" s="14">
        <v>0</v>
      </c>
      <c r="P38" s="16">
        <v>0</v>
      </c>
      <c r="Q38" s="14">
        <v>6.0869264182820907E-3</v>
      </c>
      <c r="R38" s="15">
        <v>0</v>
      </c>
      <c r="S38" s="15">
        <v>2.2427982725824009E-3</v>
      </c>
      <c r="T38" s="15">
        <v>0</v>
      </c>
      <c r="U38" s="14">
        <v>1.1207510801401694E-3</v>
      </c>
      <c r="V38" s="16">
        <v>3.4867811382138609E-3</v>
      </c>
      <c r="W38" s="14">
        <v>3.7980724813901301E-2</v>
      </c>
      <c r="X38" s="15">
        <v>2.1222758398139301E-3</v>
      </c>
      <c r="Y38" s="16">
        <v>3.9230796512409398E-2</v>
      </c>
      <c r="Z38" s="14">
        <v>0.70906869001680894</v>
      </c>
      <c r="AA38" s="15">
        <v>4.3785348459127898E-4</v>
      </c>
      <c r="AB38" s="16">
        <v>0</v>
      </c>
      <c r="AC38" s="26">
        <f t="shared" si="0"/>
        <v>0.1956329369153838</v>
      </c>
    </row>
    <row r="39" spans="1:29" x14ac:dyDescent="0.3">
      <c r="A39" s="17" t="s">
        <v>46</v>
      </c>
      <c r="B39">
        <v>2013</v>
      </c>
      <c r="C39" s="18">
        <v>3683.6120000000001</v>
      </c>
      <c r="D39" s="14">
        <v>2.5735609505018401E-4</v>
      </c>
      <c r="E39" s="16">
        <v>3.9005193815200901E-3</v>
      </c>
      <c r="F39" s="14">
        <v>3.7056020015137299E-4</v>
      </c>
      <c r="G39" s="16">
        <v>7.8075541072186695E-4</v>
      </c>
      <c r="H39" s="14">
        <v>1.7993480312258701E-2</v>
      </c>
      <c r="I39" s="16">
        <v>3.1844016145022899E-2</v>
      </c>
      <c r="J39" s="14">
        <v>2.29150084210824E-3</v>
      </c>
      <c r="K39" s="15">
        <v>3.0423942586787099E-3</v>
      </c>
      <c r="L39" s="15">
        <v>0.115947065000331</v>
      </c>
      <c r="M39" s="15">
        <v>3.8060468909320499E-3</v>
      </c>
      <c r="N39" s="16">
        <v>7.16144914285218E-4</v>
      </c>
      <c r="O39" s="14">
        <v>0</v>
      </c>
      <c r="P39" s="16">
        <v>1.9817505209560601E-5</v>
      </c>
      <c r="Q39" s="14">
        <v>4.4488941832093098E-3</v>
      </c>
      <c r="R39" s="15">
        <v>0</v>
      </c>
      <c r="S39" s="15">
        <v>0</v>
      </c>
      <c r="T39" s="15">
        <v>0</v>
      </c>
      <c r="U39" s="14">
        <v>1.1129565220224014E-2</v>
      </c>
      <c r="V39" s="16">
        <v>0</v>
      </c>
      <c r="W39" s="14">
        <v>4.8395162139769299E-2</v>
      </c>
      <c r="X39" s="15">
        <v>6.2761767526004399E-3</v>
      </c>
      <c r="Y39" s="16">
        <v>3.5640832965035403E-2</v>
      </c>
      <c r="Z39" s="14">
        <v>0.70119219939559296</v>
      </c>
      <c r="AA39" s="15">
        <v>1.19475123872981E-2</v>
      </c>
      <c r="AB39" s="16">
        <v>0</v>
      </c>
      <c r="AC39" s="26">
        <f t="shared" si="0"/>
        <v>0.17681178147969961</v>
      </c>
    </row>
    <row r="40" spans="1:29" x14ac:dyDescent="0.3">
      <c r="A40" s="17" t="s">
        <v>46</v>
      </c>
      <c r="B40">
        <v>2014</v>
      </c>
      <c r="C40" s="18">
        <v>2353.5720000000001</v>
      </c>
      <c r="D40" s="14">
        <v>3.98245730319701E-3</v>
      </c>
      <c r="E40" s="16">
        <v>9.1227291963024704E-3</v>
      </c>
      <c r="F40" s="14">
        <v>4.0024269493348801E-4</v>
      </c>
      <c r="G40" s="16">
        <v>0</v>
      </c>
      <c r="H40" s="14">
        <v>3.7376379392684803E-2</v>
      </c>
      <c r="I40" s="16">
        <v>9.9890719298156207E-3</v>
      </c>
      <c r="J40" s="14">
        <v>7.2549299532795302E-3</v>
      </c>
      <c r="K40" s="15">
        <v>4.4961445836371296E-3</v>
      </c>
      <c r="L40" s="15">
        <v>0.15188572943593801</v>
      </c>
      <c r="M40" s="15">
        <v>0</v>
      </c>
      <c r="N40" s="16">
        <v>0</v>
      </c>
      <c r="O40" s="14">
        <v>0</v>
      </c>
      <c r="P40" s="16">
        <v>6.11835966777307E-4</v>
      </c>
      <c r="Q40" s="14">
        <v>0</v>
      </c>
      <c r="R40" s="15">
        <v>0</v>
      </c>
      <c r="S40" s="15">
        <v>0</v>
      </c>
      <c r="T40" s="15">
        <v>0</v>
      </c>
      <c r="U40" s="14">
        <v>1.218688138772113E-2</v>
      </c>
      <c r="V40" s="16">
        <v>3.7467856177137666E-2</v>
      </c>
      <c r="W40" s="14">
        <v>5.38611098364528E-2</v>
      </c>
      <c r="X40" s="15">
        <v>6.2109848349657503E-3</v>
      </c>
      <c r="Y40" s="16">
        <v>2.70384759845885E-2</v>
      </c>
      <c r="Z40" s="14">
        <v>0.63811517132256801</v>
      </c>
      <c r="AA40" s="15">
        <v>0</v>
      </c>
      <c r="AB40" s="16">
        <v>0</v>
      </c>
      <c r="AC40" s="26">
        <f t="shared" si="0"/>
        <v>0.2120143339570659</v>
      </c>
    </row>
    <row r="41" spans="1:29" x14ac:dyDescent="0.3">
      <c r="A41" s="17" t="s">
        <v>46</v>
      </c>
      <c r="B41">
        <v>2015</v>
      </c>
      <c r="C41" s="18">
        <v>1990.4469999999999</v>
      </c>
      <c r="D41" s="14">
        <v>2.2386931176765798E-3</v>
      </c>
      <c r="E41" s="16">
        <v>8.6161550646663798E-4</v>
      </c>
      <c r="F41" s="14">
        <v>4.0252264943502602E-3</v>
      </c>
      <c r="G41" s="16">
        <v>0</v>
      </c>
      <c r="H41" s="14">
        <v>8.4759855449554802E-3</v>
      </c>
      <c r="I41" s="16">
        <v>1.3940084815119399E-2</v>
      </c>
      <c r="J41" s="14">
        <v>1.52372808720855E-2</v>
      </c>
      <c r="K41" s="15">
        <v>4.3206375251388298E-5</v>
      </c>
      <c r="L41" s="15">
        <v>0.14356925856352901</v>
      </c>
      <c r="M41" s="15">
        <v>0</v>
      </c>
      <c r="N41" s="16">
        <v>0</v>
      </c>
      <c r="O41" s="14">
        <v>0</v>
      </c>
      <c r="P41" s="16">
        <v>2.1904627453029401E-4</v>
      </c>
      <c r="Q41" s="14">
        <v>7.0953911357599601E-3</v>
      </c>
      <c r="R41" s="15">
        <v>0</v>
      </c>
      <c r="S41" s="15">
        <v>0</v>
      </c>
      <c r="T41" s="15">
        <v>0</v>
      </c>
      <c r="U41" s="14">
        <v>1.1026346948188102E-2</v>
      </c>
      <c r="V41" s="16">
        <v>1.9927504121446095E-2</v>
      </c>
      <c r="W41" s="14">
        <v>4.0544661576017903E-2</v>
      </c>
      <c r="X41" s="15">
        <v>4.5808805760716104E-3</v>
      </c>
      <c r="Y41" s="16">
        <v>1.3073947711242701E-2</v>
      </c>
      <c r="Z41" s="14">
        <v>0.715140870367309</v>
      </c>
      <c r="AA41" s="15">
        <v>0</v>
      </c>
      <c r="AB41" s="16">
        <v>0</v>
      </c>
      <c r="AC41" s="26">
        <f t="shared" si="0"/>
        <v>0.18551008893982132</v>
      </c>
    </row>
    <row r="42" spans="1:29" x14ac:dyDescent="0.3">
      <c r="A42" s="17" t="s">
        <v>46</v>
      </c>
      <c r="B42">
        <v>2016</v>
      </c>
      <c r="C42" s="18">
        <v>3001.46</v>
      </c>
      <c r="D42" s="14">
        <v>3.8068140171783099E-3</v>
      </c>
      <c r="E42" s="16">
        <v>2.06266283741912E-3</v>
      </c>
      <c r="F42" s="14">
        <v>2.2492387038307998E-3</v>
      </c>
      <c r="G42" s="16">
        <v>0</v>
      </c>
      <c r="H42" s="14">
        <v>7.06322922844216E-3</v>
      </c>
      <c r="I42" s="16">
        <v>3.4608157363416499E-2</v>
      </c>
      <c r="J42" s="14">
        <v>1.48197877033177E-2</v>
      </c>
      <c r="K42" s="15">
        <v>6.8733216501302703E-4</v>
      </c>
      <c r="L42" s="15">
        <v>0.17216487975851799</v>
      </c>
      <c r="M42" s="15">
        <v>2.2322469731397401E-4</v>
      </c>
      <c r="N42" s="16">
        <v>3.1218140504954298E-4</v>
      </c>
      <c r="O42" s="14">
        <v>0</v>
      </c>
      <c r="P42" s="16">
        <v>0</v>
      </c>
      <c r="Q42" s="14">
        <v>3.6265684033770199E-3</v>
      </c>
      <c r="R42" s="15">
        <v>0</v>
      </c>
      <c r="S42" s="15">
        <v>0</v>
      </c>
      <c r="T42" s="15">
        <v>0</v>
      </c>
      <c r="U42" s="14">
        <v>2.0719533344324124E-3</v>
      </c>
      <c r="V42" s="16">
        <v>1.4972085233464577E-2</v>
      </c>
      <c r="W42" s="14">
        <v>1.8794520000266501E-2</v>
      </c>
      <c r="X42" s="15">
        <v>3.4249998334143997E-4</v>
      </c>
      <c r="Y42" s="16">
        <v>8.6487909217514095E-3</v>
      </c>
      <c r="Z42" s="14">
        <v>0.705839824618686</v>
      </c>
      <c r="AA42" s="15">
        <v>7.7062496251824103E-3</v>
      </c>
      <c r="AB42" s="16">
        <v>0</v>
      </c>
      <c r="AC42" s="26">
        <f t="shared" si="0"/>
        <v>0.2321280310249017</v>
      </c>
    </row>
    <row r="43" spans="1:29" x14ac:dyDescent="0.3">
      <c r="A43" s="17" t="s">
        <v>46</v>
      </c>
      <c r="B43">
        <v>2017</v>
      </c>
      <c r="C43" s="18">
        <v>2022.4480000000001</v>
      </c>
      <c r="D43" s="14">
        <v>4.2819395109293298E-4</v>
      </c>
      <c r="E43" s="16">
        <v>1.37951630894836E-4</v>
      </c>
      <c r="F43" s="14">
        <v>4.1568435875730799E-3</v>
      </c>
      <c r="G43" s="16">
        <v>0</v>
      </c>
      <c r="H43" s="14">
        <v>1.8487001890777899E-2</v>
      </c>
      <c r="I43" s="16">
        <v>5.4254546964866299E-2</v>
      </c>
      <c r="J43" s="14">
        <v>9.4726786547787607E-3</v>
      </c>
      <c r="K43" s="15">
        <v>3.9654913253641099E-4</v>
      </c>
      <c r="L43" s="15">
        <v>0.31743065829133799</v>
      </c>
      <c r="M43" s="15">
        <v>4.8831910635032403E-3</v>
      </c>
      <c r="N43" s="16">
        <v>4.6636551347673701E-3</v>
      </c>
      <c r="O43" s="14">
        <v>9.7901157409238703E-5</v>
      </c>
      <c r="P43" s="16">
        <v>5.9334034793477996E-6</v>
      </c>
      <c r="Q43" s="14">
        <v>0</v>
      </c>
      <c r="R43" s="15">
        <v>0</v>
      </c>
      <c r="S43" s="15">
        <v>0</v>
      </c>
      <c r="T43" s="15">
        <v>0</v>
      </c>
      <c r="U43" s="14">
        <v>5.5184575713496092E-3</v>
      </c>
      <c r="V43" s="16">
        <v>5.890488418856323E-3</v>
      </c>
      <c r="W43" s="14">
        <v>7.5545576449926002E-2</v>
      </c>
      <c r="X43" s="15">
        <v>2.2799102869393898E-3</v>
      </c>
      <c r="Y43" s="16">
        <v>1.2600076738685E-2</v>
      </c>
      <c r="Z43" s="14">
        <v>0.48375038567122602</v>
      </c>
      <c r="AA43" s="15">
        <v>0</v>
      </c>
      <c r="AB43" s="16">
        <v>0</v>
      </c>
      <c r="AC43" s="26">
        <f t="shared" si="0"/>
        <v>0.41384895928102966</v>
      </c>
    </row>
    <row r="44" spans="1:29" x14ac:dyDescent="0.3">
      <c r="A44" s="17" t="s">
        <v>46</v>
      </c>
      <c r="B44">
        <v>2018</v>
      </c>
      <c r="C44" s="18">
        <v>2723.3969999999999</v>
      </c>
      <c r="D44" s="14">
        <v>1.8058329358518099E-3</v>
      </c>
      <c r="E44" s="16">
        <v>1.4896836561103599E-3</v>
      </c>
      <c r="F44" s="14">
        <v>3.41925910911997E-3</v>
      </c>
      <c r="G44" s="16">
        <v>0</v>
      </c>
      <c r="H44" s="14">
        <v>5.6032961775312204E-3</v>
      </c>
      <c r="I44" s="16">
        <v>3.4980944753923097E-2</v>
      </c>
      <c r="J44" s="14">
        <v>3.8848540994941197E-4</v>
      </c>
      <c r="K44" s="15">
        <v>3.2235476502324098E-3</v>
      </c>
      <c r="L44" s="15">
        <v>0.17411453416450101</v>
      </c>
      <c r="M44" s="15">
        <v>2.2655529105745499E-4</v>
      </c>
      <c r="N44" s="16">
        <v>2.7987105809399102E-3</v>
      </c>
      <c r="O44" s="14">
        <v>1.3571286154754501E-3</v>
      </c>
      <c r="P44" s="16">
        <v>0</v>
      </c>
      <c r="Q44" s="14">
        <v>7.8651772033236399E-4</v>
      </c>
      <c r="R44" s="15">
        <v>0</v>
      </c>
      <c r="S44" s="15">
        <v>0</v>
      </c>
      <c r="T44" s="15">
        <v>0</v>
      </c>
      <c r="U44" s="14">
        <v>3.8927822891082551E-3</v>
      </c>
      <c r="V44" s="16">
        <v>3.7659000282437509E-2</v>
      </c>
      <c r="W44" s="14">
        <v>5.1483496530252498E-2</v>
      </c>
      <c r="X44" s="15">
        <v>5.0829901039033199E-3</v>
      </c>
      <c r="Y44" s="16">
        <v>1.3340324601958499E-2</v>
      </c>
      <c r="Z44" s="14">
        <v>0.65834691012731505</v>
      </c>
      <c r="AA44" s="15">
        <v>0</v>
      </c>
      <c r="AB44" s="16">
        <v>0</v>
      </c>
      <c r="AC44" s="26">
        <f t="shared" si="0"/>
        <v>0.22611246175272995</v>
      </c>
    </row>
    <row r="45" spans="1:29" x14ac:dyDescent="0.3">
      <c r="A45" s="17" t="s">
        <v>46</v>
      </c>
      <c r="B45">
        <v>2019</v>
      </c>
      <c r="C45" s="18">
        <v>2089.4870000000001</v>
      </c>
      <c r="D45" s="14">
        <v>2.2857285065664402E-3</v>
      </c>
      <c r="E45" s="16">
        <v>2.6685976031437398E-3</v>
      </c>
      <c r="F45" s="14">
        <v>1.5314763863091801E-5</v>
      </c>
      <c r="G45" s="16">
        <v>0</v>
      </c>
      <c r="H45" s="14">
        <v>1.32434420506086E-2</v>
      </c>
      <c r="I45" s="16">
        <v>8.0091429140262595E-3</v>
      </c>
      <c r="J45" s="14">
        <v>5.1596396627497602E-3</v>
      </c>
      <c r="K45" s="15">
        <v>5.4367411713975705E-4</v>
      </c>
      <c r="L45" s="15">
        <v>0.24519798400277201</v>
      </c>
      <c r="M45" s="15">
        <v>9.5717274144323501E-7</v>
      </c>
      <c r="N45" s="16">
        <v>2.0990798219850098E-3</v>
      </c>
      <c r="O45" s="14">
        <v>3.5238314476232699E-3</v>
      </c>
      <c r="P45" s="16">
        <v>6.2216228193810197E-6</v>
      </c>
      <c r="Q45" s="14">
        <v>3.3408963475758113E-3</v>
      </c>
      <c r="R45" s="15">
        <v>0</v>
      </c>
      <c r="S45" s="15">
        <v>5.8273827563382072E-3</v>
      </c>
      <c r="T45" s="15">
        <v>0</v>
      </c>
      <c r="U45" s="14">
        <v>6.4047557348544506E-3</v>
      </c>
      <c r="V45" s="16">
        <v>1.8643019149602789E-2</v>
      </c>
      <c r="W45" s="14">
        <v>3.1385215605552901E-2</v>
      </c>
      <c r="X45" s="15">
        <v>0</v>
      </c>
      <c r="Y45" s="16">
        <v>1.88917183978651E-2</v>
      </c>
      <c r="Z45" s="14">
        <v>0.62376554628002001</v>
      </c>
      <c r="AA45" s="15">
        <v>8.9878520421519704E-3</v>
      </c>
      <c r="AB45" s="16">
        <v>0</v>
      </c>
      <c r="AC45" s="26">
        <f t="shared" si="0"/>
        <v>0.27779928757632855</v>
      </c>
    </row>
    <row r="46" spans="1:29" x14ac:dyDescent="0.3">
      <c r="A46" s="17" t="s">
        <v>46</v>
      </c>
      <c r="B46">
        <v>2020</v>
      </c>
      <c r="C46" s="18">
        <v>2437.578</v>
      </c>
      <c r="D46" s="14">
        <v>4.1836609946430403E-3</v>
      </c>
      <c r="E46" s="16">
        <v>1.9564502141059701E-3</v>
      </c>
      <c r="F46" s="14">
        <v>2.07993344212985E-4</v>
      </c>
      <c r="G46" s="16">
        <v>0</v>
      </c>
      <c r="H46" s="14">
        <v>8.3353230132533207E-3</v>
      </c>
      <c r="I46" s="16">
        <v>6.2480051920389798E-4</v>
      </c>
      <c r="J46" s="14">
        <v>6.4399990482355797E-3</v>
      </c>
      <c r="K46" s="15">
        <v>2.1451621240427998E-3</v>
      </c>
      <c r="L46" s="15">
        <v>0.173571881597225</v>
      </c>
      <c r="M46" s="15">
        <v>4.7301050468949099E-3</v>
      </c>
      <c r="N46" s="16">
        <v>0</v>
      </c>
      <c r="O46" s="14">
        <v>1.9396302395246401E-3</v>
      </c>
      <c r="P46" s="16">
        <v>1.31277850390839E-5</v>
      </c>
      <c r="Q46" s="14">
        <v>0</v>
      </c>
      <c r="R46" s="15">
        <v>0</v>
      </c>
      <c r="S46" s="15">
        <v>0</v>
      </c>
      <c r="T46" s="15">
        <v>0</v>
      </c>
      <c r="U46" s="14">
        <v>6.7738429237732076E-3</v>
      </c>
      <c r="V46" s="16">
        <v>2.1625658548589905E-2</v>
      </c>
      <c r="W46" s="14">
        <v>1.36061287064455E-2</v>
      </c>
      <c r="X46" s="15">
        <v>4.1024328247137103E-6</v>
      </c>
      <c r="Y46" s="16">
        <v>2.4975200793574601E-2</v>
      </c>
      <c r="Z46" s="14">
        <v>0.72886693266841096</v>
      </c>
      <c r="AA46" s="15">
        <v>0</v>
      </c>
      <c r="AB46" s="16">
        <v>0</v>
      </c>
      <c r="AC46" s="26">
        <f t="shared" si="0"/>
        <v>0.19800802271763224</v>
      </c>
    </row>
    <row r="47" spans="1:29" x14ac:dyDescent="0.3">
      <c r="A47" s="17" t="s">
        <v>46</v>
      </c>
      <c r="B47">
        <v>2021</v>
      </c>
      <c r="C47" s="18">
        <v>4129.2929999999997</v>
      </c>
      <c r="D47" s="14">
        <v>2.7602788177056E-3</v>
      </c>
      <c r="E47" s="16">
        <v>2.9060664864421099E-6</v>
      </c>
      <c r="F47" s="14">
        <v>1.60245349506562E-3</v>
      </c>
      <c r="G47" s="16">
        <v>0</v>
      </c>
      <c r="H47" s="14">
        <v>5.9191730884681701E-3</v>
      </c>
      <c r="I47" s="16">
        <v>9.1032532687799102E-3</v>
      </c>
      <c r="J47" s="14">
        <v>3.9461961163811798E-3</v>
      </c>
      <c r="K47" s="15">
        <v>1.7015019278118599E-3</v>
      </c>
      <c r="L47" s="15">
        <v>0.16080040820547201</v>
      </c>
      <c r="M47" s="15">
        <v>1.17695692700905E-4</v>
      </c>
      <c r="N47" s="16">
        <v>0</v>
      </c>
      <c r="O47" s="14">
        <v>1.8589138624941399E-3</v>
      </c>
      <c r="P47" s="16">
        <v>0</v>
      </c>
      <c r="Q47" s="14">
        <v>0</v>
      </c>
      <c r="R47" s="15">
        <v>0</v>
      </c>
      <c r="S47" s="15">
        <v>0</v>
      </c>
      <c r="T47" s="15">
        <v>0</v>
      </c>
      <c r="U47" s="14">
        <v>4.8980614449272318E-3</v>
      </c>
      <c r="V47" s="16">
        <v>1.0432407959883717E-2</v>
      </c>
      <c r="W47" s="14">
        <v>4.1014527184193503E-2</v>
      </c>
      <c r="X47" s="15">
        <v>2.0013111203297999E-3</v>
      </c>
      <c r="Y47" s="16">
        <v>2.7584383089308499E-2</v>
      </c>
      <c r="Z47" s="14">
        <v>0.72625652865999102</v>
      </c>
      <c r="AA47" s="15">
        <v>0</v>
      </c>
      <c r="AB47" s="16">
        <v>0</v>
      </c>
      <c r="AC47" s="26">
        <f t="shared" si="0"/>
        <v>0.1850495956571738</v>
      </c>
    </row>
    <row r="48" spans="1:29" x14ac:dyDescent="0.3">
      <c r="A48" s="17" t="s">
        <v>46</v>
      </c>
      <c r="B48">
        <v>2022</v>
      </c>
      <c r="C48" s="18">
        <v>5218.4030000000002</v>
      </c>
      <c r="D48" s="14">
        <v>2.3355804448219101E-3</v>
      </c>
      <c r="E48" s="16">
        <v>4.5607822929735402E-5</v>
      </c>
      <c r="F48" s="14">
        <v>1.5771108517299299E-3</v>
      </c>
      <c r="G48" s="16">
        <v>0</v>
      </c>
      <c r="H48" s="14">
        <v>4.4038377258329804E-3</v>
      </c>
      <c r="I48" s="16">
        <v>1.0046176962568799E-2</v>
      </c>
      <c r="J48" s="14">
        <v>5.6277753941196204E-3</v>
      </c>
      <c r="K48" s="15">
        <v>4.5991081945951698E-6</v>
      </c>
      <c r="L48" s="15">
        <v>4.8786189951216898E-2</v>
      </c>
      <c r="M48" s="15">
        <v>1.0175526880541801E-4</v>
      </c>
      <c r="N48" s="16">
        <v>1.12486521259473E-4</v>
      </c>
      <c r="O48" s="14">
        <v>5.63390753837908E-5</v>
      </c>
      <c r="P48" s="16">
        <v>0</v>
      </c>
      <c r="Q48" s="14">
        <v>0</v>
      </c>
      <c r="R48" s="15">
        <v>0</v>
      </c>
      <c r="S48" s="15">
        <v>0</v>
      </c>
      <c r="T48" s="15">
        <v>0</v>
      </c>
      <c r="U48" s="14">
        <v>3.5038586072632773E-3</v>
      </c>
      <c r="V48" s="16">
        <v>3.0400383744276085E-2</v>
      </c>
      <c r="W48" s="14">
        <v>1.26138207417097E-2</v>
      </c>
      <c r="X48" s="15">
        <v>1.4046442944326101E-3</v>
      </c>
      <c r="Y48" s="16">
        <v>1.0110372847785E-2</v>
      </c>
      <c r="Z48" s="14">
        <v>0.86852261122799401</v>
      </c>
      <c r="AA48" s="15">
        <v>3.4684940967571901E-4</v>
      </c>
      <c r="AB48" s="16">
        <v>0</v>
      </c>
      <c r="AC48" s="26">
        <f t="shared" si="0"/>
        <v>7.0716270859111502E-2</v>
      </c>
    </row>
    <row r="49" spans="1:31" x14ac:dyDescent="0.3">
      <c r="A49" s="17" t="s">
        <v>46</v>
      </c>
      <c r="B49">
        <v>2023</v>
      </c>
      <c r="C49" s="18">
        <v>3077.4319999999998</v>
      </c>
      <c r="D49" s="14">
        <v>2.9245162850064601E-6</v>
      </c>
      <c r="E49" s="16">
        <v>1.73781256580162E-3</v>
      </c>
      <c r="F49" s="14">
        <v>7.3811541571024196E-3</v>
      </c>
      <c r="G49" s="16">
        <v>0</v>
      </c>
      <c r="H49" s="14">
        <v>5.5208368535844196E-3</v>
      </c>
      <c r="I49" s="16">
        <v>2.02571494674781E-3</v>
      </c>
      <c r="J49" s="14">
        <v>2.5280818552611399E-4</v>
      </c>
      <c r="K49" s="15">
        <v>1.32285619958459E-3</v>
      </c>
      <c r="L49" s="15">
        <v>0.237944493980696</v>
      </c>
      <c r="M49" s="15">
        <v>2.23563022676049E-4</v>
      </c>
      <c r="N49" s="16">
        <v>2.7490453079060702E-4</v>
      </c>
      <c r="O49" s="14">
        <v>2.0728321535618001E-3</v>
      </c>
      <c r="P49" s="16">
        <v>0</v>
      </c>
      <c r="Q49" s="14">
        <v>0</v>
      </c>
      <c r="R49" s="15">
        <v>0</v>
      </c>
      <c r="S49" s="15">
        <v>0</v>
      </c>
      <c r="T49" s="15">
        <v>0</v>
      </c>
      <c r="U49" s="14">
        <v>1.9808298473787578E-3</v>
      </c>
      <c r="V49" s="16">
        <v>4.3146788754784829E-3</v>
      </c>
      <c r="W49" s="14">
        <v>1.2247224309099299E-2</v>
      </c>
      <c r="X49" s="15">
        <v>8.4323552884352899E-4</v>
      </c>
      <c r="Y49" s="16">
        <v>1.9658598467813398E-2</v>
      </c>
      <c r="Z49" s="14">
        <v>0.70219553185903005</v>
      </c>
      <c r="AA49" s="15">
        <v>0</v>
      </c>
      <c r="AB49" s="16">
        <v>0</v>
      </c>
      <c r="AC49" s="26">
        <f t="shared" si="0"/>
        <v>0.25701916403026981</v>
      </c>
    </row>
    <row r="50" spans="1:31" ht="15" thickBot="1" x14ac:dyDescent="0.35">
      <c r="A50" s="4" t="s">
        <v>46</v>
      </c>
      <c r="B50" s="5">
        <v>2024</v>
      </c>
      <c r="C50" s="19">
        <v>7779.7920000000004</v>
      </c>
      <c r="D50" s="20">
        <v>0</v>
      </c>
      <c r="E50" s="21">
        <v>4.2903381601049198E-4</v>
      </c>
      <c r="F50" s="20">
        <v>4.3155233310152698E-3</v>
      </c>
      <c r="G50" s="21">
        <v>0</v>
      </c>
      <c r="H50" s="20">
        <v>7.5836472929146602E-3</v>
      </c>
      <c r="I50" s="21">
        <v>1.2035727404896101E-2</v>
      </c>
      <c r="J50" s="20">
        <v>8.0287540571945797E-3</v>
      </c>
      <c r="K50" s="22">
        <v>1.5231333261611401E-3</v>
      </c>
      <c r="L50" s="22">
        <v>0.102382149303247</v>
      </c>
      <c r="M50" s="22">
        <v>3.8092887398524498E-3</v>
      </c>
      <c r="N50" s="21">
        <v>1.7595448802341801E-3</v>
      </c>
      <c r="O50" s="20">
        <v>2.53117295581411E-7</v>
      </c>
      <c r="P50" s="21">
        <v>0</v>
      </c>
      <c r="Q50" s="20">
        <v>0</v>
      </c>
      <c r="R50" s="22">
        <v>0</v>
      </c>
      <c r="S50" s="22">
        <v>0</v>
      </c>
      <c r="T50" s="22">
        <v>0</v>
      </c>
      <c r="U50" s="20">
        <v>7.7803663295275315E-3</v>
      </c>
      <c r="V50" s="21">
        <v>2.7436180275085993E-3</v>
      </c>
      <c r="W50" s="20">
        <v>4.6674829305212197E-3</v>
      </c>
      <c r="X50" s="22">
        <v>9.33341725427211E-4</v>
      </c>
      <c r="Y50" s="21">
        <v>1.6230930211825801E-2</v>
      </c>
      <c r="Z50" s="20">
        <v>0.82346497901123195</v>
      </c>
      <c r="AA50" s="22">
        <v>2.31222649513619E-3</v>
      </c>
      <c r="AB50" s="21">
        <v>0</v>
      </c>
      <c r="AC50" s="27">
        <f t="shared" si="0"/>
        <v>0.14143802145281098</v>
      </c>
    </row>
    <row r="52" spans="1:31" ht="15" thickBot="1" x14ac:dyDescent="0.35">
      <c r="A52" t="s">
        <v>73</v>
      </c>
    </row>
    <row r="53" spans="1:31" ht="15" thickBot="1" x14ac:dyDescent="0.35">
      <c r="A53" s="1"/>
      <c r="B53" s="2"/>
      <c r="C53" s="3"/>
      <c r="D53" s="88" t="s">
        <v>2</v>
      </c>
      <c r="E53" s="89"/>
      <c r="F53" s="89"/>
      <c r="G53" s="89"/>
      <c r="H53" s="89"/>
      <c r="I53" s="90"/>
      <c r="J53" s="88" t="s">
        <v>3</v>
      </c>
      <c r="K53" s="89"/>
      <c r="L53" s="89"/>
      <c r="M53" s="89"/>
      <c r="N53" s="89"/>
      <c r="O53" s="89"/>
      <c r="P53" s="89"/>
      <c r="Q53" s="89"/>
      <c r="R53" s="89"/>
      <c r="S53" s="89"/>
      <c r="T53" s="89"/>
      <c r="U53" s="89"/>
      <c r="V53" s="89"/>
      <c r="W53" s="89"/>
      <c r="X53" s="89"/>
      <c r="Y53" s="90"/>
      <c r="Z53" s="91" t="s">
        <v>4</v>
      </c>
      <c r="AA53" s="92"/>
      <c r="AB53" s="93"/>
      <c r="AC53" s="97" t="s">
        <v>38</v>
      </c>
    </row>
    <row r="54" spans="1:31" ht="15" thickBot="1" x14ac:dyDescent="0.35">
      <c r="A54" s="4"/>
      <c r="B54" s="5"/>
      <c r="C54" s="6"/>
      <c r="D54" s="85" t="s">
        <v>5</v>
      </c>
      <c r="E54" s="86"/>
      <c r="F54" s="85" t="s">
        <v>6</v>
      </c>
      <c r="G54" s="86"/>
      <c r="H54" s="85" t="s">
        <v>7</v>
      </c>
      <c r="I54" s="86"/>
      <c r="J54" s="85" t="s">
        <v>8</v>
      </c>
      <c r="K54" s="87"/>
      <c r="L54" s="87"/>
      <c r="M54" s="87"/>
      <c r="N54" s="86"/>
      <c r="O54" s="85" t="s">
        <v>9</v>
      </c>
      <c r="P54" s="86"/>
      <c r="Q54" s="85" t="s">
        <v>10</v>
      </c>
      <c r="R54" s="87"/>
      <c r="S54" s="87"/>
      <c r="T54" s="87"/>
      <c r="U54" s="87"/>
      <c r="V54" s="86"/>
      <c r="W54" s="85" t="s">
        <v>11</v>
      </c>
      <c r="X54" s="87"/>
      <c r="Y54" s="86"/>
      <c r="Z54" s="94"/>
      <c r="AA54" s="95"/>
      <c r="AB54" s="96"/>
      <c r="AC54" s="98"/>
    </row>
    <row r="55" spans="1:31" ht="43.8" thickBot="1" x14ac:dyDescent="0.35">
      <c r="A55" s="7" t="s">
        <v>12</v>
      </c>
      <c r="B55" s="8" t="s">
        <v>27</v>
      </c>
      <c r="C55" s="9" t="s">
        <v>13</v>
      </c>
      <c r="D55" s="7" t="s">
        <v>14</v>
      </c>
      <c r="E55" s="9" t="s">
        <v>15</v>
      </c>
      <c r="F55" s="7" t="s">
        <v>16</v>
      </c>
      <c r="G55" s="9" t="s">
        <v>17</v>
      </c>
      <c r="H55" s="7" t="s">
        <v>18</v>
      </c>
      <c r="I55" s="9" t="s">
        <v>19</v>
      </c>
      <c r="J55" s="7" t="s">
        <v>20</v>
      </c>
      <c r="K55" s="8" t="s">
        <v>21</v>
      </c>
      <c r="L55" s="8" t="s">
        <v>22</v>
      </c>
      <c r="M55" s="8" t="s">
        <v>7</v>
      </c>
      <c r="N55" s="9" t="s">
        <v>6</v>
      </c>
      <c r="O55" s="31" t="s">
        <v>40</v>
      </c>
      <c r="P55" s="31" t="s">
        <v>42</v>
      </c>
      <c r="Q55" s="7" t="s">
        <v>23</v>
      </c>
      <c r="R55" s="8" t="s">
        <v>60</v>
      </c>
      <c r="S55" s="8" t="s">
        <v>24</v>
      </c>
      <c r="T55" s="8" t="s">
        <v>25</v>
      </c>
      <c r="U55" s="7" t="s">
        <v>44</v>
      </c>
      <c r="V55" s="31" t="s">
        <v>62</v>
      </c>
      <c r="W55" s="7" t="s">
        <v>36</v>
      </c>
      <c r="X55" s="8" t="s">
        <v>35</v>
      </c>
      <c r="Y55" s="9" t="s">
        <v>43</v>
      </c>
      <c r="Z55" s="7" t="s">
        <v>4</v>
      </c>
      <c r="AA55" s="8" t="s">
        <v>28</v>
      </c>
      <c r="AB55" s="9" t="s">
        <v>29</v>
      </c>
      <c r="AC55" s="30" t="s">
        <v>37</v>
      </c>
    </row>
    <row r="56" spans="1:31" x14ac:dyDescent="0.3">
      <c r="A56" s="17" t="s">
        <v>46</v>
      </c>
      <c r="B56">
        <v>1985</v>
      </c>
      <c r="C56" s="18">
        <v>1768.788</v>
      </c>
      <c r="D56" s="14">
        <v>1.90243262618245E-3</v>
      </c>
      <c r="E56" s="16">
        <v>0</v>
      </c>
      <c r="F56" s="14">
        <v>1.1092341196344601E-2</v>
      </c>
      <c r="G56" s="16">
        <v>0</v>
      </c>
      <c r="H56" s="14">
        <v>0.22924963308208801</v>
      </c>
      <c r="I56" s="16">
        <v>4.3470444168549303E-3</v>
      </c>
      <c r="J56" s="14">
        <v>1.6960766355266999E-6</v>
      </c>
      <c r="K56" s="15">
        <v>0</v>
      </c>
      <c r="L56" s="15">
        <v>0.24195381244106101</v>
      </c>
      <c r="M56" s="15">
        <v>2.4089941813264198E-3</v>
      </c>
      <c r="N56" s="16">
        <v>2.20489962618471E-4</v>
      </c>
      <c r="O56" s="14">
        <v>3.7936146106825698E-2</v>
      </c>
      <c r="P56" s="16">
        <v>9.4390056920331894E-2</v>
      </c>
      <c r="Q56" s="14">
        <v>3.7110156785324202E-3</v>
      </c>
      <c r="R56" s="15">
        <v>0</v>
      </c>
      <c r="S56" s="15">
        <v>0</v>
      </c>
      <c r="T56" s="15">
        <v>0</v>
      </c>
      <c r="U56" s="14">
        <v>6.175703779195873E-3</v>
      </c>
      <c r="V56" s="16">
        <v>1.3599647124492471E-3</v>
      </c>
      <c r="W56" s="14">
        <v>1.0438786332788301E-2</v>
      </c>
      <c r="X56" s="15">
        <v>3.3976372521749301E-2</v>
      </c>
      <c r="Y56" s="16">
        <v>3.3814114523617302E-2</v>
      </c>
      <c r="Z56" s="14">
        <v>0.28702139544139799</v>
      </c>
      <c r="AA56" s="15">
        <v>0</v>
      </c>
      <c r="AB56" s="16">
        <v>0</v>
      </c>
      <c r="AC56" s="32">
        <f t="shared" ref="AC56:AC95" si="1">SUM(F56:P56)</f>
        <v>0.62160021438408652</v>
      </c>
      <c r="AE56" s="25"/>
    </row>
    <row r="57" spans="1:31" x14ac:dyDescent="0.3">
      <c r="A57" s="17" t="s">
        <v>46</v>
      </c>
      <c r="B57">
        <v>1986</v>
      </c>
      <c r="C57" s="18">
        <v>977.86300000000006</v>
      </c>
      <c r="D57" s="14">
        <v>1.5434677454817299E-2</v>
      </c>
      <c r="E57" s="16">
        <v>0</v>
      </c>
      <c r="F57" s="14">
        <v>4.1539561267785003E-3</v>
      </c>
      <c r="G57" s="16">
        <v>0</v>
      </c>
      <c r="H57" s="14">
        <v>0.16761550442137599</v>
      </c>
      <c r="I57" s="16">
        <v>5.0119495266719404E-3</v>
      </c>
      <c r="J57" s="14">
        <v>5.9353917675584403E-3</v>
      </c>
      <c r="K57" s="15">
        <v>0</v>
      </c>
      <c r="L57" s="15">
        <v>0.22231744119575</v>
      </c>
      <c r="M57" s="15">
        <v>0</v>
      </c>
      <c r="N57" s="16">
        <v>3.5546901764357602E-3</v>
      </c>
      <c r="O57" s="14">
        <v>5.2068643562544002E-2</v>
      </c>
      <c r="P57" s="16">
        <v>0.20399176571769301</v>
      </c>
      <c r="Q57" s="14">
        <v>0</v>
      </c>
      <c r="R57" s="15">
        <v>0</v>
      </c>
      <c r="S57" s="15">
        <v>0</v>
      </c>
      <c r="T57" s="15">
        <v>0</v>
      </c>
      <c r="U57" s="14">
        <v>4.9584300382377072E-2</v>
      </c>
      <c r="V57" s="16">
        <v>4.3598615298744295E-3</v>
      </c>
      <c r="W57" s="14">
        <v>2.23139642260726E-3</v>
      </c>
      <c r="X57" s="15">
        <v>9.9911746328473407E-3</v>
      </c>
      <c r="Y57" s="16">
        <v>3.8064636866309502E-2</v>
      </c>
      <c r="Z57" s="14">
        <v>0.21568461021636001</v>
      </c>
      <c r="AA57" s="15">
        <v>0</v>
      </c>
      <c r="AB57" s="16">
        <v>0</v>
      </c>
      <c r="AC57" s="26">
        <f t="shared" si="1"/>
        <v>0.66464934249480767</v>
      </c>
      <c r="AE57" s="25"/>
    </row>
    <row r="58" spans="1:31" x14ac:dyDescent="0.3">
      <c r="A58" s="17" t="s">
        <v>46</v>
      </c>
      <c r="B58">
        <v>1987</v>
      </c>
      <c r="C58" s="18">
        <v>623.09</v>
      </c>
      <c r="D58" s="14">
        <v>9.2731387119035797E-3</v>
      </c>
      <c r="E58" s="16">
        <v>1.2919481936798901E-3</v>
      </c>
      <c r="F58" s="14">
        <v>6.2591278948466496E-5</v>
      </c>
      <c r="G58" s="16">
        <v>0</v>
      </c>
      <c r="H58" s="14">
        <v>9.5926752154584405E-2</v>
      </c>
      <c r="I58" s="16">
        <v>1.17158034954822E-3</v>
      </c>
      <c r="J58" s="14">
        <v>4.04435956282399E-4</v>
      </c>
      <c r="K58" s="15">
        <v>5.2319889582564305E-4</v>
      </c>
      <c r="L58" s="15">
        <v>0.24317995795149999</v>
      </c>
      <c r="M58" s="15">
        <v>0</v>
      </c>
      <c r="N58" s="16">
        <v>0</v>
      </c>
      <c r="O58" s="14">
        <v>2.37574026224141E-2</v>
      </c>
      <c r="P58" s="16">
        <v>9.7218700348264298E-2</v>
      </c>
      <c r="Q58" s="14">
        <v>8.7162368197210693E-3</v>
      </c>
      <c r="R58" s="15">
        <v>0</v>
      </c>
      <c r="S58" s="15">
        <v>0</v>
      </c>
      <c r="T58" s="15">
        <v>0</v>
      </c>
      <c r="U58" s="14">
        <v>2.4163433222840057E-2</v>
      </c>
      <c r="V58" s="16">
        <v>1.1690135282512344E-2</v>
      </c>
      <c r="W58" s="14">
        <v>3.4012742942432103E-2</v>
      </c>
      <c r="X58" s="15">
        <v>6.4515559549984794E-2</v>
      </c>
      <c r="Y58" s="16">
        <v>1.93615689547256E-2</v>
      </c>
      <c r="Z58" s="14">
        <v>0.36473061676483298</v>
      </c>
      <c r="AA58" s="15">
        <v>0</v>
      </c>
      <c r="AB58" s="16">
        <v>0</v>
      </c>
      <c r="AC58" s="26">
        <f t="shared" si="1"/>
        <v>0.46224461955736751</v>
      </c>
      <c r="AE58" s="25"/>
    </row>
    <row r="59" spans="1:31" x14ac:dyDescent="0.3">
      <c r="A59" s="17" t="s">
        <v>46</v>
      </c>
      <c r="B59">
        <v>1988</v>
      </c>
      <c r="C59" s="18">
        <v>1645.424</v>
      </c>
      <c r="D59" s="14">
        <v>3.70056593315765E-3</v>
      </c>
      <c r="E59" s="16">
        <v>2.71601726971285E-3</v>
      </c>
      <c r="F59" s="14">
        <v>2.16175283695874E-3</v>
      </c>
      <c r="G59" s="16">
        <v>0</v>
      </c>
      <c r="H59" s="14">
        <v>0.119588628827585</v>
      </c>
      <c r="I59" s="16">
        <v>1.9016982856698301E-2</v>
      </c>
      <c r="J59" s="14">
        <v>1.0635556549558E-4</v>
      </c>
      <c r="K59" s="15">
        <v>6.1181798733943296E-3</v>
      </c>
      <c r="L59" s="15">
        <v>0.221116867141843</v>
      </c>
      <c r="M59" s="15">
        <v>9.8953218137088107E-3</v>
      </c>
      <c r="N59" s="16">
        <v>0</v>
      </c>
      <c r="O59" s="14">
        <v>3.7301631676698498E-2</v>
      </c>
      <c r="P59" s="16">
        <v>0.10252007993076601</v>
      </c>
      <c r="Q59" s="14">
        <v>3.5085181691770599E-3</v>
      </c>
      <c r="R59" s="15">
        <v>0</v>
      </c>
      <c r="S59" s="15">
        <v>0</v>
      </c>
      <c r="T59" s="15">
        <v>0</v>
      </c>
      <c r="U59" s="14">
        <v>1.6535857412401198E-2</v>
      </c>
      <c r="V59" s="16">
        <v>1.7242062442906648E-2</v>
      </c>
      <c r="W59" s="14">
        <v>4.7497787804237697E-2</v>
      </c>
      <c r="X59" s="15">
        <v>6.8600555236826496E-2</v>
      </c>
      <c r="Y59" s="16">
        <v>4.8820243292914199E-2</v>
      </c>
      <c r="Z59" s="14">
        <v>0.27355259191551801</v>
      </c>
      <c r="AA59" s="15">
        <v>0</v>
      </c>
      <c r="AB59" s="16">
        <v>0</v>
      </c>
      <c r="AC59" s="26">
        <f t="shared" si="1"/>
        <v>0.51782580052314819</v>
      </c>
      <c r="AE59" s="25"/>
    </row>
    <row r="60" spans="1:31" x14ac:dyDescent="0.3">
      <c r="A60" s="17" t="s">
        <v>46</v>
      </c>
      <c r="B60">
        <v>1989</v>
      </c>
      <c r="C60" s="18">
        <v>2439.9209999999998</v>
      </c>
      <c r="D60" s="14">
        <v>2.0467875804175599E-3</v>
      </c>
      <c r="E60" s="16">
        <v>4.5083426881444102E-6</v>
      </c>
      <c r="F60" s="14">
        <v>3.7132349776898498E-3</v>
      </c>
      <c r="G60" s="16">
        <v>0</v>
      </c>
      <c r="H60" s="14">
        <v>0.234732190099597</v>
      </c>
      <c r="I60" s="16">
        <v>1.0297464549057099E-2</v>
      </c>
      <c r="J60" s="14">
        <v>3.6902834149138402E-3</v>
      </c>
      <c r="K60" s="15">
        <v>2.26646682413078E-4</v>
      </c>
      <c r="L60" s="15">
        <v>0.21985301983138</v>
      </c>
      <c r="M60" s="15">
        <v>2.0492466764292798E-6</v>
      </c>
      <c r="N60" s="16">
        <v>0</v>
      </c>
      <c r="O60" s="14">
        <v>3.5005231726764903E-2</v>
      </c>
      <c r="P60" s="16">
        <v>6.0463433037381102E-2</v>
      </c>
      <c r="Q60" s="14">
        <v>0</v>
      </c>
      <c r="R60" s="15">
        <v>0</v>
      </c>
      <c r="S60" s="15">
        <v>0</v>
      </c>
      <c r="T60" s="15">
        <v>0</v>
      </c>
      <c r="U60" s="14">
        <v>2.0978199124912451E-2</v>
      </c>
      <c r="V60" s="16">
        <v>2.8942951074827348E-3</v>
      </c>
      <c r="W60" s="14">
        <v>6.6525514555594203E-2</v>
      </c>
      <c r="X60" s="15">
        <v>4.4664970710117297E-2</v>
      </c>
      <c r="Y60" s="16">
        <v>5.2098408104196803E-2</v>
      </c>
      <c r="Z60" s="14">
        <v>0.242802943210047</v>
      </c>
      <c r="AA60" s="15">
        <v>0</v>
      </c>
      <c r="AB60" s="16">
        <v>0</v>
      </c>
      <c r="AC60" s="26">
        <f t="shared" si="1"/>
        <v>0.56798355356587327</v>
      </c>
      <c r="AE60" s="25"/>
    </row>
    <row r="61" spans="1:31" x14ac:dyDescent="0.3">
      <c r="A61" s="17" t="s">
        <v>46</v>
      </c>
      <c r="B61">
        <v>1990</v>
      </c>
      <c r="C61" s="18">
        <v>3080.9690000000001</v>
      </c>
      <c r="D61" s="14">
        <v>5.0756758669107003E-3</v>
      </c>
      <c r="E61" s="16">
        <v>3.05098817936824E-5</v>
      </c>
      <c r="F61" s="14">
        <v>7.3983217617574204E-3</v>
      </c>
      <c r="G61" s="16">
        <v>0</v>
      </c>
      <c r="H61" s="14">
        <v>0.20050412711065899</v>
      </c>
      <c r="I61" s="16">
        <v>1.26466705766919E-2</v>
      </c>
      <c r="J61" s="14">
        <v>1.4897910365212999E-3</v>
      </c>
      <c r="K61" s="15">
        <v>4.1415541668871102E-4</v>
      </c>
      <c r="L61" s="15">
        <v>0.112273768415067</v>
      </c>
      <c r="M61" s="15">
        <v>3.2457321057108999E-7</v>
      </c>
      <c r="N61" s="16">
        <v>0</v>
      </c>
      <c r="O61" s="14">
        <v>1.54688346426076E-2</v>
      </c>
      <c r="P61" s="16">
        <v>5.5360829661057903E-2</v>
      </c>
      <c r="Q61" s="14">
        <v>3.12693831064188E-3</v>
      </c>
      <c r="R61" s="15">
        <v>0</v>
      </c>
      <c r="S61" s="15">
        <v>0</v>
      </c>
      <c r="T61" s="15">
        <v>0</v>
      </c>
      <c r="U61" s="14">
        <v>4.8237928996665933E-3</v>
      </c>
      <c r="V61" s="16">
        <v>8.2039266262358534E-3</v>
      </c>
      <c r="W61" s="14">
        <v>6.3539100847817706E-2</v>
      </c>
      <c r="X61" s="15">
        <v>2.61963038251927E-2</v>
      </c>
      <c r="Y61" s="16">
        <v>5.4490973456727397E-2</v>
      </c>
      <c r="Z61" s="14">
        <v>0.42895595509075202</v>
      </c>
      <c r="AA61" s="15">
        <v>0</v>
      </c>
      <c r="AB61" s="16">
        <v>0</v>
      </c>
      <c r="AC61" s="26">
        <f t="shared" si="1"/>
        <v>0.40555682319426145</v>
      </c>
      <c r="AE61" s="25"/>
    </row>
    <row r="62" spans="1:31" x14ac:dyDescent="0.3">
      <c r="A62" s="17" t="s">
        <v>46</v>
      </c>
      <c r="B62">
        <v>1991</v>
      </c>
      <c r="C62" s="18">
        <v>1681.097</v>
      </c>
      <c r="D62" s="14">
        <v>3.4739220877795898E-4</v>
      </c>
      <c r="E62" s="16">
        <v>1.1343783255814499E-3</v>
      </c>
      <c r="F62" s="14">
        <v>6.4243764637019797E-4</v>
      </c>
      <c r="G62" s="16">
        <v>0</v>
      </c>
      <c r="H62" s="14">
        <v>0.26809696287602702</v>
      </c>
      <c r="I62" s="16">
        <v>5.9484967256499796E-7</v>
      </c>
      <c r="J62" s="14">
        <v>1.68639882172177E-3</v>
      </c>
      <c r="K62" s="15">
        <v>3.0254054346655801E-3</v>
      </c>
      <c r="L62" s="15">
        <v>0.118341773258771</v>
      </c>
      <c r="M62" s="15">
        <v>0</v>
      </c>
      <c r="N62" s="16">
        <v>0</v>
      </c>
      <c r="O62" s="14">
        <v>3.92404483500952E-2</v>
      </c>
      <c r="P62" s="16">
        <v>8.8372057055601194E-2</v>
      </c>
      <c r="Q62" s="14">
        <v>3.63096240133675E-3</v>
      </c>
      <c r="R62" s="15">
        <v>0</v>
      </c>
      <c r="S62" s="15">
        <v>0</v>
      </c>
      <c r="T62" s="15">
        <v>0</v>
      </c>
      <c r="U62" s="14">
        <v>7.0679686967630448E-3</v>
      </c>
      <c r="V62" s="16">
        <v>5.5529568060485564E-3</v>
      </c>
      <c r="W62" s="14">
        <v>0.11744295540352501</v>
      </c>
      <c r="X62" s="15">
        <v>1.99310331289628E-2</v>
      </c>
      <c r="Y62" s="16">
        <v>4.97199150316728E-2</v>
      </c>
      <c r="Z62" s="14">
        <v>0.27576635970440699</v>
      </c>
      <c r="AA62" s="15">
        <v>0</v>
      </c>
      <c r="AB62" s="16">
        <v>0</v>
      </c>
      <c r="AC62" s="26">
        <f t="shared" si="1"/>
        <v>0.51940607829292451</v>
      </c>
      <c r="AE62" s="25"/>
    </row>
    <row r="63" spans="1:31" x14ac:dyDescent="0.3">
      <c r="A63" s="17" t="s">
        <v>46</v>
      </c>
      <c r="B63">
        <v>1992</v>
      </c>
      <c r="C63" s="18">
        <v>1723.4739999999999</v>
      </c>
      <c r="D63" s="14">
        <v>2.7966769443577298E-4</v>
      </c>
      <c r="E63" s="16">
        <v>1.7406702973180899E-6</v>
      </c>
      <c r="F63" s="14">
        <v>3.5347211504205998E-3</v>
      </c>
      <c r="G63" s="16">
        <v>0</v>
      </c>
      <c r="H63" s="14">
        <v>0.17553209389871899</v>
      </c>
      <c r="I63" s="16">
        <v>2.5819942743551702E-4</v>
      </c>
      <c r="J63" s="14">
        <v>9.1930600635692795E-3</v>
      </c>
      <c r="K63" s="15">
        <v>2.08880435678171E-5</v>
      </c>
      <c r="L63" s="15">
        <v>0.11059000599950999</v>
      </c>
      <c r="M63" s="15">
        <v>0</v>
      </c>
      <c r="N63" s="16">
        <v>0</v>
      </c>
      <c r="O63" s="14">
        <v>1.30109302490203E-2</v>
      </c>
      <c r="P63" s="16">
        <v>0.119353700723074</v>
      </c>
      <c r="Q63" s="14">
        <v>2.3754347324067599E-3</v>
      </c>
      <c r="R63" s="15">
        <v>0</v>
      </c>
      <c r="S63" s="15">
        <v>0</v>
      </c>
      <c r="T63" s="15">
        <v>0</v>
      </c>
      <c r="U63" s="14">
        <v>6.1328942216158817E-3</v>
      </c>
      <c r="V63" s="16">
        <v>6.7950909865468838E-4</v>
      </c>
      <c r="W63" s="14">
        <v>0.123922960253534</v>
      </c>
      <c r="X63" s="15">
        <v>9.9757814739299799E-3</v>
      </c>
      <c r="Y63" s="16">
        <v>7.2101464832077494E-2</v>
      </c>
      <c r="Z63" s="14">
        <v>0.35303694746773101</v>
      </c>
      <c r="AA63" s="15">
        <v>0</v>
      </c>
      <c r="AB63" s="16">
        <v>0</v>
      </c>
      <c r="AC63" s="26">
        <f t="shared" si="1"/>
        <v>0.43149359955531652</v>
      </c>
      <c r="AE63" s="25"/>
    </row>
    <row r="64" spans="1:31" x14ac:dyDescent="0.3">
      <c r="A64" s="17" t="s">
        <v>46</v>
      </c>
      <c r="B64">
        <v>1993</v>
      </c>
      <c r="C64" s="18">
        <v>1138.991</v>
      </c>
      <c r="D64" s="14">
        <v>8.6778561024626194E-3</v>
      </c>
      <c r="E64" s="16">
        <v>0</v>
      </c>
      <c r="F64" s="14">
        <v>2.98773212431003E-3</v>
      </c>
      <c r="G64" s="16">
        <v>0</v>
      </c>
      <c r="H64" s="14">
        <v>0.18337458329345899</v>
      </c>
      <c r="I64" s="16">
        <v>1.7559401259535901E-6</v>
      </c>
      <c r="J64" s="14">
        <v>1.7243332036864199E-3</v>
      </c>
      <c r="K64" s="15">
        <v>8.7797006297679303E-7</v>
      </c>
      <c r="L64" s="15">
        <v>8.0296508049668494E-2</v>
      </c>
      <c r="M64" s="15">
        <v>1.32573479509496E-4</v>
      </c>
      <c r="N64" s="16">
        <v>0</v>
      </c>
      <c r="O64" s="14">
        <v>1.0495254132824599E-2</v>
      </c>
      <c r="P64" s="16">
        <v>7.2570371495472796E-2</v>
      </c>
      <c r="Q64" s="14">
        <v>0</v>
      </c>
      <c r="R64" s="15">
        <v>0</v>
      </c>
      <c r="S64" s="15">
        <v>0</v>
      </c>
      <c r="T64" s="15">
        <v>0</v>
      </c>
      <c r="U64" s="14">
        <v>1.5957878646249996E-2</v>
      </c>
      <c r="V64" s="16">
        <v>3.7411356567603063E-3</v>
      </c>
      <c r="W64" s="14">
        <v>9.4939292759995506E-2</v>
      </c>
      <c r="X64" s="15">
        <v>6.0070711708872203E-3</v>
      </c>
      <c r="Y64" s="16">
        <v>2.1573480387465701E-2</v>
      </c>
      <c r="Z64" s="14">
        <v>0.49751929558705899</v>
      </c>
      <c r="AA64" s="15">
        <v>0</v>
      </c>
      <c r="AB64" s="16">
        <v>0</v>
      </c>
      <c r="AC64" s="26">
        <f t="shared" si="1"/>
        <v>0.35158398968911975</v>
      </c>
      <c r="AE64" s="25"/>
    </row>
    <row r="65" spans="1:31" x14ac:dyDescent="0.3">
      <c r="A65" s="17" t="s">
        <v>46</v>
      </c>
      <c r="B65">
        <v>1994</v>
      </c>
      <c r="C65" s="18">
        <v>421.01400000000001</v>
      </c>
      <c r="D65" s="14">
        <v>7.1256537787341998E-6</v>
      </c>
      <c r="E65" s="16">
        <v>0</v>
      </c>
      <c r="F65" s="14">
        <v>0</v>
      </c>
      <c r="G65" s="16">
        <v>0</v>
      </c>
      <c r="H65" s="14">
        <v>0.197618131463562</v>
      </c>
      <c r="I65" s="16">
        <v>2.0607390728099299E-2</v>
      </c>
      <c r="J65" s="14">
        <v>7.0377707154631397E-3</v>
      </c>
      <c r="K65" s="15">
        <v>0</v>
      </c>
      <c r="L65" s="15">
        <v>8.54009605381294E-2</v>
      </c>
      <c r="M65" s="15">
        <v>2.37521792624473E-6</v>
      </c>
      <c r="N65" s="16">
        <v>0</v>
      </c>
      <c r="O65" s="14">
        <v>3.5820661545696797E-2</v>
      </c>
      <c r="P65" s="16">
        <v>9.1393635366044806E-2</v>
      </c>
      <c r="Q65" s="14">
        <v>1.0436707567919401E-2</v>
      </c>
      <c r="R65" s="15">
        <v>0</v>
      </c>
      <c r="S65" s="15">
        <v>0</v>
      </c>
      <c r="T65" s="15">
        <v>0</v>
      </c>
      <c r="U65" s="14">
        <v>8.8950438542082372E-3</v>
      </c>
      <c r="V65" s="16">
        <v>1.0071071286855963E-2</v>
      </c>
      <c r="W65" s="14">
        <v>3.58040350202131E-2</v>
      </c>
      <c r="X65" s="15">
        <v>2.8963407392628301E-2</v>
      </c>
      <c r="Y65" s="16">
        <v>2.13769613362026E-2</v>
      </c>
      <c r="Z65" s="14">
        <v>0.44656472231327199</v>
      </c>
      <c r="AA65" s="15">
        <v>0</v>
      </c>
      <c r="AB65" s="16">
        <v>0</v>
      </c>
      <c r="AC65" s="26">
        <f t="shared" si="1"/>
        <v>0.43788092557492164</v>
      </c>
      <c r="AE65" s="25"/>
    </row>
    <row r="66" spans="1:31" x14ac:dyDescent="0.3">
      <c r="A66" s="17" t="s">
        <v>46</v>
      </c>
      <c r="B66">
        <v>1995</v>
      </c>
      <c r="C66" s="18">
        <v>440.94600000000003</v>
      </c>
      <c r="D66" s="14">
        <v>2.4651544633583298E-3</v>
      </c>
      <c r="E66" s="16">
        <v>0</v>
      </c>
      <c r="F66" s="14">
        <v>0</v>
      </c>
      <c r="G66" s="16">
        <v>0</v>
      </c>
      <c r="H66" s="14">
        <v>0.141742979866015</v>
      </c>
      <c r="I66" s="16">
        <v>1.43101422849963E-3</v>
      </c>
      <c r="J66" s="14">
        <v>5.2069867965691902E-3</v>
      </c>
      <c r="K66" s="15">
        <v>1.6305851510162201E-3</v>
      </c>
      <c r="L66" s="15">
        <v>0.193527098556286</v>
      </c>
      <c r="M66" s="15">
        <v>6.8330362448009501E-3</v>
      </c>
      <c r="N66" s="16">
        <v>0</v>
      </c>
      <c r="O66" s="14">
        <v>2.3002816671429199E-2</v>
      </c>
      <c r="P66" s="16">
        <v>3.0389208655935202E-4</v>
      </c>
      <c r="Q66" s="14">
        <v>7.4181419039973098E-3</v>
      </c>
      <c r="R66" s="15">
        <v>0</v>
      </c>
      <c r="S66" s="15">
        <v>0</v>
      </c>
      <c r="T66" s="15">
        <v>0</v>
      </c>
      <c r="U66" s="14">
        <v>8.230322215360757E-3</v>
      </c>
      <c r="V66" s="16">
        <v>1.1438752909484443E-2</v>
      </c>
      <c r="W66" s="14">
        <v>8.0370385489379706E-2</v>
      </c>
      <c r="X66" s="15">
        <v>2.95274251268863E-2</v>
      </c>
      <c r="Y66" s="16">
        <v>5.3326257636989602E-2</v>
      </c>
      <c r="Z66" s="14">
        <v>0.38818812280868897</v>
      </c>
      <c r="AA66" s="15">
        <v>4.5357027844679397E-2</v>
      </c>
      <c r="AB66" s="16">
        <v>0</v>
      </c>
      <c r="AC66" s="26">
        <f t="shared" si="1"/>
        <v>0.37367840960117549</v>
      </c>
      <c r="AE66" s="25"/>
    </row>
    <row r="67" spans="1:31" x14ac:dyDescent="0.3">
      <c r="A67" s="17" t="s">
        <v>46</v>
      </c>
      <c r="B67">
        <v>1996</v>
      </c>
      <c r="C67" s="18">
        <v>1108.9860000000001</v>
      </c>
      <c r="D67" s="14">
        <v>1.71057163931736E-3</v>
      </c>
      <c r="E67" s="16">
        <v>1.2227386098652301E-3</v>
      </c>
      <c r="F67" s="14">
        <v>2.8133808722562799E-4</v>
      </c>
      <c r="G67" s="16">
        <v>0</v>
      </c>
      <c r="H67" s="14">
        <v>1.85881516989394E-2</v>
      </c>
      <c r="I67" s="16">
        <v>3.1839896986977298E-3</v>
      </c>
      <c r="J67" s="14">
        <v>3.29400010460006E-3</v>
      </c>
      <c r="K67" s="15">
        <v>3.1109500029756899E-4</v>
      </c>
      <c r="L67" s="15">
        <v>0.17306169780321801</v>
      </c>
      <c r="M67" s="15">
        <v>3.4373743221285001E-3</v>
      </c>
      <c r="N67" s="16">
        <v>0</v>
      </c>
      <c r="O67" s="14">
        <v>6.5582432961281698E-3</v>
      </c>
      <c r="P67" s="16">
        <v>1.3075007258883301E-4</v>
      </c>
      <c r="Q67" s="14">
        <v>0</v>
      </c>
      <c r="R67" s="15">
        <v>0</v>
      </c>
      <c r="S67" s="15">
        <v>0</v>
      </c>
      <c r="T67" s="15">
        <v>0</v>
      </c>
      <c r="U67" s="14">
        <v>3.7278577113095393E-3</v>
      </c>
      <c r="V67" s="16">
        <v>2.7219278527022036E-4</v>
      </c>
      <c r="W67" s="14">
        <v>4.7189955508906298E-2</v>
      </c>
      <c r="X67" s="15">
        <v>9.9189710239804701E-6</v>
      </c>
      <c r="Y67" s="16">
        <v>6.3891699264012405E-2</v>
      </c>
      <c r="Z67" s="14">
        <v>0.67222670078792701</v>
      </c>
      <c r="AA67" s="15">
        <v>9.0172463854367899E-4</v>
      </c>
      <c r="AB67" s="16">
        <v>0</v>
      </c>
      <c r="AC67" s="26">
        <f t="shared" si="1"/>
        <v>0.20884664008382392</v>
      </c>
      <c r="AE67" s="25"/>
    </row>
    <row r="68" spans="1:31" x14ac:dyDescent="0.3">
      <c r="A68" s="17" t="s">
        <v>46</v>
      </c>
      <c r="B68">
        <v>1997</v>
      </c>
      <c r="C68" s="18">
        <v>802.11800000000005</v>
      </c>
      <c r="D68" s="14">
        <v>1.6569881239418601E-2</v>
      </c>
      <c r="E68" s="16">
        <v>5.1239343837191005E-4</v>
      </c>
      <c r="F68" s="14">
        <v>0</v>
      </c>
      <c r="G68" s="16">
        <v>0</v>
      </c>
      <c r="H68" s="14">
        <v>0.104315075836722</v>
      </c>
      <c r="I68" s="16">
        <v>3.6639247592000199E-2</v>
      </c>
      <c r="J68" s="14">
        <v>1.1022069072131499E-2</v>
      </c>
      <c r="K68" s="15">
        <v>3.22645795257057E-3</v>
      </c>
      <c r="L68" s="15">
        <v>0.166717365774113</v>
      </c>
      <c r="M68" s="15">
        <v>1.6032553813778E-3</v>
      </c>
      <c r="N68" s="16">
        <v>0</v>
      </c>
      <c r="O68" s="14">
        <v>1.2316143011377401E-2</v>
      </c>
      <c r="P68" s="16">
        <v>1.43495096731404E-3</v>
      </c>
      <c r="Q68" s="14">
        <v>0</v>
      </c>
      <c r="R68" s="15">
        <v>0</v>
      </c>
      <c r="S68" s="15">
        <v>0</v>
      </c>
      <c r="T68" s="15">
        <v>0</v>
      </c>
      <c r="U68" s="14">
        <v>2.3073109959758229E-2</v>
      </c>
      <c r="V68" s="16">
        <v>3.2245029446867086E-4</v>
      </c>
      <c r="W68" s="14">
        <v>0.109766892153025</v>
      </c>
      <c r="X68" s="15">
        <v>3.1219845459146901E-2</v>
      </c>
      <c r="Y68" s="16">
        <v>6.2282606798500999E-2</v>
      </c>
      <c r="Z68" s="14">
        <v>0.41897825506970299</v>
      </c>
      <c r="AA68" s="15">
        <v>0</v>
      </c>
      <c r="AB68" s="16">
        <v>0</v>
      </c>
      <c r="AC68" s="26">
        <f t="shared" si="1"/>
        <v>0.33727456558760655</v>
      </c>
      <c r="AE68" s="25"/>
    </row>
    <row r="69" spans="1:31" x14ac:dyDescent="0.3">
      <c r="A69" s="17" t="s">
        <v>46</v>
      </c>
      <c r="B69">
        <v>1998</v>
      </c>
      <c r="C69" s="18">
        <v>1237.55</v>
      </c>
      <c r="D69" s="14">
        <v>8.2235061209648096E-3</v>
      </c>
      <c r="E69" s="16">
        <v>8.0804815967031692E-6</v>
      </c>
      <c r="F69" s="14">
        <v>2.3595006262373201E-4</v>
      </c>
      <c r="G69" s="16">
        <v>0</v>
      </c>
      <c r="H69" s="14">
        <v>8.6566199345480994E-3</v>
      </c>
      <c r="I69" s="16">
        <v>1.5975112116682201E-3</v>
      </c>
      <c r="J69" s="14">
        <v>2.47262736859117E-3</v>
      </c>
      <c r="K69" s="15">
        <v>1.7461920730475499E-3</v>
      </c>
      <c r="L69" s="15">
        <v>5.0456143186133902E-2</v>
      </c>
      <c r="M69" s="15">
        <v>1.87467173043513E-4</v>
      </c>
      <c r="N69" s="16">
        <v>0</v>
      </c>
      <c r="O69" s="14">
        <v>2.5291907397680899E-4</v>
      </c>
      <c r="P69" s="16">
        <v>4.1662963112601504E-3</v>
      </c>
      <c r="Q69" s="14">
        <v>0</v>
      </c>
      <c r="R69" s="15">
        <v>0</v>
      </c>
      <c r="S69" s="15">
        <v>0</v>
      </c>
      <c r="T69" s="15">
        <v>0</v>
      </c>
      <c r="U69" s="14">
        <v>2.6222122338491393E-3</v>
      </c>
      <c r="V69" s="16">
        <v>3.8534301644378032E-4</v>
      </c>
      <c r="W69" s="14">
        <v>6.2754636176316103E-2</v>
      </c>
      <c r="X69" s="15">
        <v>1.7405357359298601E-3</v>
      </c>
      <c r="Y69" s="16">
        <v>4.7020322411215698E-3</v>
      </c>
      <c r="Z69" s="14">
        <v>0.84127509999595995</v>
      </c>
      <c r="AA69" s="15">
        <v>8.5168276029251398E-3</v>
      </c>
      <c r="AB69" s="16">
        <v>0</v>
      </c>
      <c r="AC69" s="26">
        <f t="shared" si="1"/>
        <v>6.9771726394893152E-2</v>
      </c>
      <c r="AE69" s="25"/>
    </row>
    <row r="70" spans="1:31" x14ac:dyDescent="0.3">
      <c r="A70" s="17" t="s">
        <v>46</v>
      </c>
      <c r="B70">
        <v>1999</v>
      </c>
      <c r="C70" s="18">
        <v>1238.7439999999999</v>
      </c>
      <c r="D70" s="14">
        <v>3.1112158767267499E-3</v>
      </c>
      <c r="E70" s="16">
        <v>2.11504556227921E-3</v>
      </c>
      <c r="F70" s="14">
        <v>3.9523904858469504E-3</v>
      </c>
      <c r="G70" s="16">
        <v>0</v>
      </c>
      <c r="H70" s="14">
        <v>7.3235470767164202E-3</v>
      </c>
      <c r="I70" s="16">
        <v>1.29243814702634E-2</v>
      </c>
      <c r="J70" s="14">
        <v>2.3289719264028702E-3</v>
      </c>
      <c r="K70" s="15">
        <v>7.6698656058071697E-3</v>
      </c>
      <c r="L70" s="15">
        <v>8.9028887324580405E-2</v>
      </c>
      <c r="M70" s="15">
        <v>6.1917555201074599E-3</v>
      </c>
      <c r="N70" s="16">
        <v>0</v>
      </c>
      <c r="O70" s="14">
        <v>0</v>
      </c>
      <c r="P70" s="16">
        <v>2.7164611897212E-3</v>
      </c>
      <c r="Q70" s="14">
        <v>2.1570235658053601E-3</v>
      </c>
      <c r="R70" s="15">
        <v>0</v>
      </c>
      <c r="S70" s="15">
        <v>0</v>
      </c>
      <c r="T70" s="15">
        <v>0</v>
      </c>
      <c r="U70" s="14">
        <v>5.7521669123037477E-3</v>
      </c>
      <c r="V70" s="16">
        <v>6.2929689296998268E-4</v>
      </c>
      <c r="W70" s="14">
        <v>0.13732215857352301</v>
      </c>
      <c r="X70" s="15">
        <v>8.3891425508418205E-3</v>
      </c>
      <c r="Y70" s="16">
        <v>9.5588757644840192E-3</v>
      </c>
      <c r="Z70" s="14">
        <v>0.69024754105771602</v>
      </c>
      <c r="AA70" s="15">
        <v>8.5812726439038305E-3</v>
      </c>
      <c r="AB70" s="16">
        <v>0</v>
      </c>
      <c r="AC70" s="26">
        <f t="shared" si="1"/>
        <v>0.13213626059944586</v>
      </c>
      <c r="AE70" s="25"/>
    </row>
    <row r="71" spans="1:31" x14ac:dyDescent="0.3">
      <c r="A71" s="17" t="s">
        <v>46</v>
      </c>
      <c r="B71">
        <v>2000</v>
      </c>
      <c r="C71" s="18">
        <v>584.38099999999997</v>
      </c>
      <c r="D71" s="14">
        <v>1.5926253591407001E-2</v>
      </c>
      <c r="E71" s="16">
        <v>1.24405139797495E-3</v>
      </c>
      <c r="F71" s="14">
        <v>4.9094683092023904E-3</v>
      </c>
      <c r="G71" s="16">
        <v>0</v>
      </c>
      <c r="H71" s="14">
        <v>0.13339242720074701</v>
      </c>
      <c r="I71" s="16">
        <v>4.2614321820866899E-2</v>
      </c>
      <c r="J71" s="14">
        <v>0</v>
      </c>
      <c r="K71" s="15">
        <v>1.02672742611413E-4</v>
      </c>
      <c r="L71" s="15">
        <v>0.11500545021142</v>
      </c>
      <c r="M71" s="15">
        <v>0</v>
      </c>
      <c r="N71" s="16">
        <v>0</v>
      </c>
      <c r="O71" s="14">
        <v>0</v>
      </c>
      <c r="P71" s="16">
        <v>9.0694255973414593E-5</v>
      </c>
      <c r="Q71" s="14">
        <v>0</v>
      </c>
      <c r="R71" s="15">
        <v>0</v>
      </c>
      <c r="S71" s="15">
        <v>0</v>
      </c>
      <c r="T71" s="15">
        <v>0</v>
      </c>
      <c r="U71" s="14">
        <v>0</v>
      </c>
      <c r="V71" s="16">
        <v>0</v>
      </c>
      <c r="W71" s="14">
        <v>0.15226709971747901</v>
      </c>
      <c r="X71" s="15">
        <v>5.3868965623454597E-3</v>
      </c>
      <c r="Y71" s="16">
        <v>1.4488835194847199E-2</v>
      </c>
      <c r="Z71" s="14">
        <v>0.51457182899512499</v>
      </c>
      <c r="AA71" s="15">
        <v>0</v>
      </c>
      <c r="AB71" s="16">
        <v>0</v>
      </c>
      <c r="AC71" s="26">
        <f t="shared" si="1"/>
        <v>0.29611503454082111</v>
      </c>
      <c r="AE71" s="25"/>
    </row>
    <row r="72" spans="1:31" x14ac:dyDescent="0.3">
      <c r="A72" s="17" t="s">
        <v>46</v>
      </c>
      <c r="B72">
        <v>2001</v>
      </c>
      <c r="C72" s="18">
        <v>930.33399999999995</v>
      </c>
      <c r="D72" s="14">
        <v>4.3607994548194497E-3</v>
      </c>
      <c r="E72" s="16">
        <v>1.6123241760486001E-5</v>
      </c>
      <c r="F72" s="14">
        <v>2.7946952384842402E-4</v>
      </c>
      <c r="G72" s="16">
        <v>0</v>
      </c>
      <c r="H72" s="14">
        <v>6.4951941990725903E-2</v>
      </c>
      <c r="I72" s="16">
        <v>2.2380134446338601E-2</v>
      </c>
      <c r="J72" s="14">
        <v>5.6323857883297805E-4</v>
      </c>
      <c r="K72" s="15">
        <v>2.1497655680647999E-6</v>
      </c>
      <c r="L72" s="15">
        <v>5.52500499820495E-2</v>
      </c>
      <c r="M72" s="15">
        <v>7.8788908069574995E-4</v>
      </c>
      <c r="N72" s="16">
        <v>0</v>
      </c>
      <c r="O72" s="14">
        <v>1.2984584031111399E-3</v>
      </c>
      <c r="P72" s="16">
        <v>0</v>
      </c>
      <c r="Q72" s="14">
        <v>0</v>
      </c>
      <c r="R72" s="15">
        <v>0</v>
      </c>
      <c r="S72" s="15">
        <v>0</v>
      </c>
      <c r="T72" s="15">
        <v>0</v>
      </c>
      <c r="U72" s="14">
        <v>8.0663105957056197E-7</v>
      </c>
      <c r="V72" s="16">
        <v>2.6825172446183803E-7</v>
      </c>
      <c r="W72" s="14">
        <v>6.9734095496886098E-2</v>
      </c>
      <c r="X72" s="15">
        <v>1.05026796827806E-2</v>
      </c>
      <c r="Y72" s="16">
        <v>3.3978119686048198E-2</v>
      </c>
      <c r="Z72" s="14">
        <v>0.73029363647894197</v>
      </c>
      <c r="AA72" s="15">
        <v>5.6001393048088098E-3</v>
      </c>
      <c r="AB72" s="16">
        <v>0</v>
      </c>
      <c r="AC72" s="26">
        <f t="shared" si="1"/>
        <v>0.14551333177117035</v>
      </c>
      <c r="AE72" s="25"/>
    </row>
    <row r="73" spans="1:31" x14ac:dyDescent="0.3">
      <c r="A73" s="17" t="s">
        <v>46</v>
      </c>
      <c r="B73">
        <v>2002</v>
      </c>
      <c r="C73" s="18">
        <v>492.34100000000001</v>
      </c>
      <c r="D73" s="14">
        <v>4.9335724629880496E-3</v>
      </c>
      <c r="E73" s="16">
        <v>0</v>
      </c>
      <c r="F73" s="14">
        <v>6.1136488734434002E-4</v>
      </c>
      <c r="G73" s="16">
        <v>0</v>
      </c>
      <c r="H73" s="14">
        <v>9.3258534227293702E-2</v>
      </c>
      <c r="I73" s="16">
        <v>2.3956972911051502E-2</v>
      </c>
      <c r="J73" s="14">
        <v>4.0622251650786703E-6</v>
      </c>
      <c r="K73" s="15">
        <v>0</v>
      </c>
      <c r="L73" s="15">
        <v>5.5435155715246098E-2</v>
      </c>
      <c r="M73" s="15">
        <v>2.0311125825393398E-6</v>
      </c>
      <c r="N73" s="16">
        <v>0</v>
      </c>
      <c r="O73" s="14">
        <v>5.4114932536595599E-2</v>
      </c>
      <c r="P73" s="16">
        <v>0</v>
      </c>
      <c r="Q73" s="14">
        <v>0</v>
      </c>
      <c r="R73" s="15">
        <v>0</v>
      </c>
      <c r="S73" s="15">
        <v>0</v>
      </c>
      <c r="T73" s="15">
        <v>0</v>
      </c>
      <c r="U73" s="14">
        <v>6.4493181276061417E-3</v>
      </c>
      <c r="V73" s="16">
        <v>2.5566350633732787E-3</v>
      </c>
      <c r="W73" s="14">
        <v>0.11881602385338599</v>
      </c>
      <c r="X73" s="15">
        <v>1.9236667269230099E-2</v>
      </c>
      <c r="Y73" s="16">
        <v>3.2723254817291297E-2</v>
      </c>
      <c r="Z73" s="14">
        <v>0.58578911770500497</v>
      </c>
      <c r="AA73" s="15">
        <v>2.1123570858409099E-3</v>
      </c>
      <c r="AB73" s="16">
        <v>0</v>
      </c>
      <c r="AC73" s="26">
        <f t="shared" si="1"/>
        <v>0.22738305361527886</v>
      </c>
      <c r="AE73" s="25"/>
    </row>
    <row r="74" spans="1:31" x14ac:dyDescent="0.3">
      <c r="A74" s="17" t="s">
        <v>46</v>
      </c>
      <c r="B74">
        <v>2003</v>
      </c>
      <c r="C74" s="18">
        <v>438.40899999999999</v>
      </c>
      <c r="D74" s="14">
        <v>1.36333880007025E-2</v>
      </c>
      <c r="E74" s="16">
        <v>0</v>
      </c>
      <c r="F74" s="14">
        <v>1.1336446103980501E-3</v>
      </c>
      <c r="G74" s="16">
        <v>0</v>
      </c>
      <c r="H74" s="14">
        <v>0.108515108038384</v>
      </c>
      <c r="I74" s="16">
        <v>4.8390886136005402E-2</v>
      </c>
      <c r="J74" s="14">
        <v>2.4358532785595199E-2</v>
      </c>
      <c r="K74" s="15">
        <v>4.52089259116487E-3</v>
      </c>
      <c r="L74" s="15">
        <v>4.5539667296976102E-2</v>
      </c>
      <c r="M74" s="15">
        <v>1.23400751353188E-2</v>
      </c>
      <c r="N74" s="16">
        <v>0</v>
      </c>
      <c r="O74" s="14">
        <v>0</v>
      </c>
      <c r="P74" s="16">
        <v>0</v>
      </c>
      <c r="Q74" s="14">
        <v>0</v>
      </c>
      <c r="R74" s="15">
        <v>0</v>
      </c>
      <c r="S74" s="15">
        <v>0</v>
      </c>
      <c r="T74" s="15">
        <v>0</v>
      </c>
      <c r="U74" s="14">
        <v>1.1356267546947909E-2</v>
      </c>
      <c r="V74" s="16">
        <v>4.9139276360888919E-3</v>
      </c>
      <c r="W74" s="14">
        <v>9.5217023373151494E-2</v>
      </c>
      <c r="X74" s="15">
        <v>2.7348891103969098E-3</v>
      </c>
      <c r="Y74" s="16">
        <v>3.63359328845895E-2</v>
      </c>
      <c r="Z74" s="14">
        <v>0.58601442944830096</v>
      </c>
      <c r="AA74" s="15">
        <v>4.99533540597935E-3</v>
      </c>
      <c r="AB74" s="16">
        <v>0</v>
      </c>
      <c r="AC74" s="26">
        <f t="shared" si="1"/>
        <v>0.24479880659384243</v>
      </c>
      <c r="AE74" s="25"/>
    </row>
    <row r="75" spans="1:31" x14ac:dyDescent="0.3">
      <c r="A75" s="17" t="s">
        <v>46</v>
      </c>
      <c r="B75">
        <v>2004</v>
      </c>
      <c r="C75" s="18">
        <v>569.00900000000001</v>
      </c>
      <c r="D75" s="14">
        <v>1.43424796444344E-2</v>
      </c>
      <c r="E75" s="16">
        <v>0</v>
      </c>
      <c r="F75" s="14">
        <v>8.1510134286100905E-3</v>
      </c>
      <c r="G75" s="16">
        <v>0</v>
      </c>
      <c r="H75" s="14">
        <v>0.17516594640858099</v>
      </c>
      <c r="I75" s="16">
        <v>6.6770472874770004E-2</v>
      </c>
      <c r="J75" s="14">
        <v>7.9418778964831793E-3</v>
      </c>
      <c r="K75" s="15">
        <v>1.75744144644461E-3</v>
      </c>
      <c r="L75" s="15">
        <v>9.6676853968917908E-3</v>
      </c>
      <c r="M75" s="15">
        <v>0</v>
      </c>
      <c r="N75" s="16">
        <v>0</v>
      </c>
      <c r="O75" s="14">
        <v>1.75744144644461E-6</v>
      </c>
      <c r="P75" s="16">
        <v>0</v>
      </c>
      <c r="Q75" s="14">
        <v>0</v>
      </c>
      <c r="R75" s="15">
        <v>0</v>
      </c>
      <c r="S75" s="15">
        <v>0</v>
      </c>
      <c r="T75" s="15">
        <v>0</v>
      </c>
      <c r="U75" s="14">
        <v>2.192954889978295E-2</v>
      </c>
      <c r="V75" s="16">
        <v>2.3161132953668498E-3</v>
      </c>
      <c r="W75" s="14">
        <v>0.148173403232638</v>
      </c>
      <c r="X75" s="15">
        <v>1.7012033201583799E-3</v>
      </c>
      <c r="Y75" s="16">
        <v>3.6140025904686901E-2</v>
      </c>
      <c r="Z75" s="14">
        <v>0.50594103080970598</v>
      </c>
      <c r="AA75" s="15">
        <v>0</v>
      </c>
      <c r="AB75" s="16">
        <v>0</v>
      </c>
      <c r="AC75" s="26">
        <f t="shared" si="1"/>
        <v>0.26945619489322709</v>
      </c>
      <c r="AE75" s="25"/>
    </row>
    <row r="76" spans="1:31" x14ac:dyDescent="0.3">
      <c r="A76" s="17" t="s">
        <v>46</v>
      </c>
      <c r="B76">
        <v>2005</v>
      </c>
      <c r="C76" s="18">
        <v>867.49800000000005</v>
      </c>
      <c r="D76" s="14">
        <v>6.0749419595203702E-4</v>
      </c>
      <c r="E76" s="16">
        <v>0</v>
      </c>
      <c r="F76" s="14">
        <v>2.38156168659755E-3</v>
      </c>
      <c r="G76" s="16">
        <v>0</v>
      </c>
      <c r="H76" s="14">
        <v>0.123927663233806</v>
      </c>
      <c r="I76" s="16">
        <v>0.104927043059465</v>
      </c>
      <c r="J76" s="14">
        <v>3.8706717479463901E-2</v>
      </c>
      <c r="K76" s="15">
        <v>1.38847582357539E-2</v>
      </c>
      <c r="L76" s="15">
        <v>9.2967361308037594E-2</v>
      </c>
      <c r="M76" s="15">
        <v>0</v>
      </c>
      <c r="N76" s="16">
        <v>0</v>
      </c>
      <c r="O76" s="14">
        <v>0</v>
      </c>
      <c r="P76" s="16">
        <v>0</v>
      </c>
      <c r="Q76" s="14">
        <v>0</v>
      </c>
      <c r="R76" s="15">
        <v>0</v>
      </c>
      <c r="S76" s="15">
        <v>0</v>
      </c>
      <c r="T76" s="15">
        <v>0</v>
      </c>
      <c r="U76" s="14">
        <v>4.1378005215567851E-2</v>
      </c>
      <c r="V76" s="16">
        <v>2.0457260207001485E-3</v>
      </c>
      <c r="W76" s="14">
        <v>5.6946528983352097E-2</v>
      </c>
      <c r="X76" s="15">
        <v>3.2507279555687701E-3</v>
      </c>
      <c r="Y76" s="16">
        <v>2.39850697062126E-2</v>
      </c>
      <c r="Z76" s="14">
        <v>0.484512932594657</v>
      </c>
      <c r="AA76" s="15">
        <v>1.04784103248653E-2</v>
      </c>
      <c r="AB76" s="16">
        <v>0</v>
      </c>
      <c r="AC76" s="26">
        <f t="shared" si="1"/>
        <v>0.37679510500312396</v>
      </c>
      <c r="AE76" s="25"/>
    </row>
    <row r="77" spans="1:31" x14ac:dyDescent="0.3">
      <c r="A77" s="17" t="s">
        <v>46</v>
      </c>
      <c r="B77">
        <v>2006</v>
      </c>
      <c r="C77" s="18">
        <v>441.38499999999999</v>
      </c>
      <c r="D77" s="14">
        <v>1.0623378683009201E-2</v>
      </c>
      <c r="E77" s="16">
        <v>0</v>
      </c>
      <c r="F77" s="14">
        <v>7.0233469646680301E-3</v>
      </c>
      <c r="G77" s="16">
        <v>0</v>
      </c>
      <c r="H77" s="14">
        <v>0.19580411658756</v>
      </c>
      <c r="I77" s="16">
        <v>0.116032488643701</v>
      </c>
      <c r="J77" s="14">
        <v>2.6768014318565399E-2</v>
      </c>
      <c r="K77" s="15">
        <v>0</v>
      </c>
      <c r="L77" s="15">
        <v>0</v>
      </c>
      <c r="M77" s="15">
        <v>0</v>
      </c>
      <c r="N77" s="16">
        <v>0</v>
      </c>
      <c r="O77" s="14">
        <v>0</v>
      </c>
      <c r="P77" s="16">
        <v>0</v>
      </c>
      <c r="Q77" s="14">
        <v>0</v>
      </c>
      <c r="R77" s="15">
        <v>0</v>
      </c>
      <c r="S77" s="15">
        <v>0</v>
      </c>
      <c r="T77" s="15">
        <v>0</v>
      </c>
      <c r="U77" s="14">
        <v>2.0418920085677559E-5</v>
      </c>
      <c r="V77" s="16">
        <v>2.2370378648644412E-6</v>
      </c>
      <c r="W77" s="14">
        <v>0.138031423813677</v>
      </c>
      <c r="X77" s="15">
        <v>0</v>
      </c>
      <c r="Y77" s="16">
        <v>1.4076146674671801E-2</v>
      </c>
      <c r="Z77" s="14">
        <v>0.49161842835619701</v>
      </c>
      <c r="AA77" s="15">
        <v>0</v>
      </c>
      <c r="AB77" s="16">
        <v>0</v>
      </c>
      <c r="AC77" s="26">
        <f t="shared" si="1"/>
        <v>0.3456279665144944</v>
      </c>
      <c r="AE77" s="25"/>
    </row>
    <row r="78" spans="1:31" x14ac:dyDescent="0.3">
      <c r="A78" s="17" t="s">
        <v>46</v>
      </c>
      <c r="B78">
        <v>2007</v>
      </c>
      <c r="C78" s="18">
        <v>1172.9359999999999</v>
      </c>
      <c r="D78" s="14">
        <v>2.6429404502888501E-4</v>
      </c>
      <c r="E78" s="16">
        <v>1.6624947993752401E-4</v>
      </c>
      <c r="F78" s="14">
        <v>2.7708246656254099E-4</v>
      </c>
      <c r="G78" s="16">
        <v>0</v>
      </c>
      <c r="H78" s="14">
        <v>8.2271325971749507E-2</v>
      </c>
      <c r="I78" s="16">
        <v>1.5835476104408101E-2</v>
      </c>
      <c r="J78" s="14">
        <v>0</v>
      </c>
      <c r="K78" s="15">
        <v>0</v>
      </c>
      <c r="L78" s="15">
        <v>0.178176814421247</v>
      </c>
      <c r="M78" s="15">
        <v>7.7156809919722803E-3</v>
      </c>
      <c r="N78" s="16">
        <v>0</v>
      </c>
      <c r="O78" s="14">
        <v>0</v>
      </c>
      <c r="P78" s="16">
        <v>0</v>
      </c>
      <c r="Q78" s="14">
        <v>0</v>
      </c>
      <c r="R78" s="15">
        <v>0</v>
      </c>
      <c r="S78" s="15">
        <v>0</v>
      </c>
      <c r="T78" s="15">
        <v>0</v>
      </c>
      <c r="U78" s="14">
        <v>1.3231497551769901E-6</v>
      </c>
      <c r="V78" s="16">
        <v>3.8197311597710983E-7</v>
      </c>
      <c r="W78" s="14">
        <v>9.1121766234474894E-3</v>
      </c>
      <c r="X78" s="15">
        <v>1.27884215336557E-5</v>
      </c>
      <c r="Y78" s="16">
        <v>3.4758929728476201E-3</v>
      </c>
      <c r="Z78" s="14">
        <v>0.70268539800978103</v>
      </c>
      <c r="AA78" s="15">
        <v>0</v>
      </c>
      <c r="AB78" s="16">
        <v>0</v>
      </c>
      <c r="AC78" s="26">
        <f t="shared" si="1"/>
        <v>0.28427637995593946</v>
      </c>
      <c r="AE78" s="25"/>
    </row>
    <row r="79" spans="1:31" x14ac:dyDescent="0.3">
      <c r="A79" s="17" t="s">
        <v>46</v>
      </c>
      <c r="B79">
        <v>2008</v>
      </c>
      <c r="C79" s="18">
        <v>1123.7719999999999</v>
      </c>
      <c r="D79" s="14">
        <v>2.6001715650505598E-3</v>
      </c>
      <c r="E79" s="16">
        <v>2.0048550773644502E-3</v>
      </c>
      <c r="F79" s="14">
        <v>3.0611191594024398E-4</v>
      </c>
      <c r="G79" s="16">
        <v>0</v>
      </c>
      <c r="H79" s="14">
        <v>0.19508138661579</v>
      </c>
      <c r="I79" s="16">
        <v>0.11814229220873999</v>
      </c>
      <c r="J79" s="14">
        <v>1.7651267338926399E-2</v>
      </c>
      <c r="K79" s="15">
        <v>0</v>
      </c>
      <c r="L79" s="15">
        <v>0.286895384473007</v>
      </c>
      <c r="M79" s="15">
        <v>5.0383885699234396E-3</v>
      </c>
      <c r="N79" s="16">
        <v>0</v>
      </c>
      <c r="O79" s="14">
        <v>8.6583399479609705E-4</v>
      </c>
      <c r="P79" s="16">
        <v>0</v>
      </c>
      <c r="Q79" s="14">
        <v>0</v>
      </c>
      <c r="R79" s="15">
        <v>0</v>
      </c>
      <c r="S79" s="15">
        <v>0</v>
      </c>
      <c r="T79" s="15">
        <v>0</v>
      </c>
      <c r="U79" s="14">
        <v>2.5905398770035633E-3</v>
      </c>
      <c r="V79" s="16">
        <v>8.2118420937694653E-4</v>
      </c>
      <c r="W79" s="14">
        <v>3.6367697362098397E-2</v>
      </c>
      <c r="X79" s="15">
        <v>1.44887041143577E-2</v>
      </c>
      <c r="Y79" s="16">
        <v>1.38088509056997E-2</v>
      </c>
      <c r="Z79" s="14">
        <v>0.30333733177192501</v>
      </c>
      <c r="AA79" s="15">
        <v>0</v>
      </c>
      <c r="AB79" s="16">
        <v>0</v>
      </c>
      <c r="AC79" s="26">
        <f t="shared" si="1"/>
        <v>0.62398066511712325</v>
      </c>
      <c r="AE79" s="25"/>
    </row>
    <row r="80" spans="1:31" x14ac:dyDescent="0.3">
      <c r="A80" s="17" t="s">
        <v>46</v>
      </c>
      <c r="B80">
        <v>2009</v>
      </c>
      <c r="C80" s="18">
        <v>2459.2289999999998</v>
      </c>
      <c r="D80" s="14">
        <v>4.99343493428225E-4</v>
      </c>
      <c r="E80" s="16">
        <v>3.6596835837573501E-6</v>
      </c>
      <c r="F80" s="14">
        <v>1.59480877949959E-3</v>
      </c>
      <c r="G80" s="16">
        <v>0</v>
      </c>
      <c r="H80" s="14">
        <v>1.32208102620781E-2</v>
      </c>
      <c r="I80" s="16">
        <v>4.1395494278898E-2</v>
      </c>
      <c r="J80" s="14">
        <v>3.61983369584532E-3</v>
      </c>
      <c r="K80" s="15">
        <v>0</v>
      </c>
      <c r="L80" s="15">
        <v>0.13416318691752599</v>
      </c>
      <c r="M80" s="15">
        <v>0</v>
      </c>
      <c r="N80" s="16">
        <v>0</v>
      </c>
      <c r="O80" s="14">
        <v>1.32968503543184E-4</v>
      </c>
      <c r="P80" s="16">
        <v>0</v>
      </c>
      <c r="Q80" s="14">
        <v>1.43906891143525E-2</v>
      </c>
      <c r="R80" s="15">
        <v>0</v>
      </c>
      <c r="S80" s="15">
        <v>0</v>
      </c>
      <c r="T80" s="15">
        <v>0</v>
      </c>
      <c r="U80" s="14">
        <v>1.2309225744342166E-2</v>
      </c>
      <c r="V80" s="16">
        <v>1.4365457962504588E-3</v>
      </c>
      <c r="W80" s="14">
        <v>1.1155122194801701E-2</v>
      </c>
      <c r="X80" s="15">
        <v>7.5064176617956296E-4</v>
      </c>
      <c r="Y80" s="16">
        <v>1.07318187936138E-2</v>
      </c>
      <c r="Z80" s="14">
        <v>0.75418921946675199</v>
      </c>
      <c r="AA80" s="15">
        <v>4.06631509306372E-4</v>
      </c>
      <c r="AB80" s="16">
        <v>0</v>
      </c>
      <c r="AC80" s="26">
        <f t="shared" si="1"/>
        <v>0.1941271024373902</v>
      </c>
      <c r="AE80" s="25"/>
    </row>
    <row r="81" spans="1:31" x14ac:dyDescent="0.3">
      <c r="A81" s="17" t="s">
        <v>46</v>
      </c>
      <c r="B81">
        <v>2010</v>
      </c>
      <c r="C81" s="18">
        <v>2257.5720000000001</v>
      </c>
      <c r="D81" s="14">
        <v>4.6124774758014402E-3</v>
      </c>
      <c r="E81" s="16">
        <v>0</v>
      </c>
      <c r="F81" s="14">
        <v>1.80193588510134E-3</v>
      </c>
      <c r="G81" s="16">
        <v>0</v>
      </c>
      <c r="H81" s="14">
        <v>3.4211090498996302E-2</v>
      </c>
      <c r="I81" s="16">
        <v>4.2827869941689599E-2</v>
      </c>
      <c r="J81" s="14">
        <v>1.14884486519145E-2</v>
      </c>
      <c r="K81" s="15">
        <v>8.30892658130062E-3</v>
      </c>
      <c r="L81" s="15">
        <v>0.125246503765993</v>
      </c>
      <c r="M81" s="15">
        <v>4.5256585393511298E-3</v>
      </c>
      <c r="N81" s="16">
        <v>9.8402177206308398E-3</v>
      </c>
      <c r="O81" s="14">
        <v>9.6120965355700699E-5</v>
      </c>
      <c r="P81" s="16">
        <v>4.1637653195556998E-5</v>
      </c>
      <c r="Q81" s="14">
        <v>2.7476421571493602E-3</v>
      </c>
      <c r="R81" s="15">
        <v>0</v>
      </c>
      <c r="S81" s="15">
        <v>0</v>
      </c>
      <c r="T81" s="15">
        <v>0</v>
      </c>
      <c r="U81" s="14">
        <v>9.3834911626926847E-3</v>
      </c>
      <c r="V81" s="16">
        <v>5.4620321693285773E-4</v>
      </c>
      <c r="W81" s="14">
        <v>3.55807035168757E-2</v>
      </c>
      <c r="X81" s="15">
        <v>6.0157549792431899E-3</v>
      </c>
      <c r="Y81" s="16">
        <v>1.6848632070206399E-2</v>
      </c>
      <c r="Z81" s="14">
        <v>0.68546916776076205</v>
      </c>
      <c r="AA81" s="15">
        <v>4.07517456807579E-4</v>
      </c>
      <c r="AB81" s="16">
        <v>0</v>
      </c>
      <c r="AC81" s="26">
        <f t="shared" si="1"/>
        <v>0.23838841020352858</v>
      </c>
      <c r="AE81" s="25"/>
    </row>
    <row r="82" spans="1:31" x14ac:dyDescent="0.3">
      <c r="A82" s="17" t="s">
        <v>46</v>
      </c>
      <c r="B82">
        <v>2011</v>
      </c>
      <c r="C82" s="18">
        <v>3273.87</v>
      </c>
      <c r="D82" s="14">
        <v>2.33821135231393E-3</v>
      </c>
      <c r="E82" s="16">
        <v>0</v>
      </c>
      <c r="F82" s="14">
        <v>1.35924761826218E-3</v>
      </c>
      <c r="G82" s="16">
        <v>2.3763924651864598E-3</v>
      </c>
      <c r="H82" s="14">
        <v>2.8629725676340201E-2</v>
      </c>
      <c r="I82" s="16">
        <v>5.6850760720492902E-2</v>
      </c>
      <c r="J82" s="14">
        <v>0</v>
      </c>
      <c r="K82" s="15">
        <v>9.0046336598582095E-3</v>
      </c>
      <c r="L82" s="15">
        <v>0.17629808147543999</v>
      </c>
      <c r="M82" s="15">
        <v>2.54225121950475E-3</v>
      </c>
      <c r="N82" s="16">
        <v>3.8993606954460598E-3</v>
      </c>
      <c r="O82" s="14">
        <v>0</v>
      </c>
      <c r="P82" s="16">
        <v>6.4144269625855599E-6</v>
      </c>
      <c r="Q82" s="14">
        <v>0</v>
      </c>
      <c r="R82" s="15">
        <v>0</v>
      </c>
      <c r="S82" s="15">
        <v>0</v>
      </c>
      <c r="T82" s="15">
        <v>0</v>
      </c>
      <c r="U82" s="14">
        <v>6.3789779966342197E-3</v>
      </c>
      <c r="V82" s="16">
        <v>1.2436979875853052E-2</v>
      </c>
      <c r="W82" s="14">
        <v>2.81978209275261E-2</v>
      </c>
      <c r="X82" s="15">
        <v>4.1592977118822703E-3</v>
      </c>
      <c r="Y82" s="16">
        <v>1.49178189726532E-2</v>
      </c>
      <c r="Z82" s="14">
        <v>0.65060402520564298</v>
      </c>
      <c r="AA82" s="15">
        <v>0</v>
      </c>
      <c r="AB82" s="16">
        <v>0</v>
      </c>
      <c r="AC82" s="26">
        <f t="shared" si="1"/>
        <v>0.28096686795749332</v>
      </c>
      <c r="AE82" s="25"/>
    </row>
    <row r="83" spans="1:31" x14ac:dyDescent="0.3">
      <c r="A83" s="17" t="s">
        <v>46</v>
      </c>
      <c r="B83">
        <v>2012</v>
      </c>
      <c r="C83" s="18">
        <v>2274.8780000000002</v>
      </c>
      <c r="D83" s="14">
        <v>2.04670316386197E-3</v>
      </c>
      <c r="E83" s="16">
        <v>5.6926129664975505E-4</v>
      </c>
      <c r="F83" s="14">
        <v>0</v>
      </c>
      <c r="G83" s="16">
        <v>0</v>
      </c>
      <c r="H83" s="14">
        <v>1.33774206792628E-2</v>
      </c>
      <c r="I83" s="16">
        <v>1.11970839754923E-2</v>
      </c>
      <c r="J83" s="14">
        <v>7.6162326067595702E-3</v>
      </c>
      <c r="K83" s="15">
        <v>5.8825132600517499E-3</v>
      </c>
      <c r="L83" s="15">
        <v>0.15172945538178301</v>
      </c>
      <c r="M83" s="15">
        <v>7.2786320848854296E-3</v>
      </c>
      <c r="N83" s="16">
        <v>0</v>
      </c>
      <c r="O83" s="14">
        <v>0</v>
      </c>
      <c r="P83" s="16">
        <v>0</v>
      </c>
      <c r="Q83" s="14">
        <v>6.1716952955181746E-3</v>
      </c>
      <c r="R83" s="15">
        <v>0</v>
      </c>
      <c r="S83" s="15">
        <v>2.2740323435024657E-3</v>
      </c>
      <c r="T83" s="15">
        <v>0</v>
      </c>
      <c r="U83" s="14">
        <v>1.154478304901318E-3</v>
      </c>
      <c r="V83" s="16">
        <v>3.5917102819152118E-3</v>
      </c>
      <c r="W83" s="14">
        <v>3.8318977984753498E-2</v>
      </c>
      <c r="X83" s="15">
        <v>2.14824707083193E-3</v>
      </c>
      <c r="Y83" s="16">
        <v>2.2396365871048901E-2</v>
      </c>
      <c r="Z83" s="14">
        <v>0.72380760638592501</v>
      </c>
      <c r="AA83" s="15">
        <v>4.3958401285695299E-4</v>
      </c>
      <c r="AB83" s="16">
        <v>0</v>
      </c>
      <c r="AC83" s="26">
        <f t="shared" si="1"/>
        <v>0.19708133798823485</v>
      </c>
      <c r="AE83" s="25"/>
    </row>
    <row r="84" spans="1:31" x14ac:dyDescent="0.3">
      <c r="A84" s="17" t="s">
        <v>46</v>
      </c>
      <c r="B84">
        <v>2013</v>
      </c>
      <c r="C84" s="18">
        <v>3654.1060000000002</v>
      </c>
      <c r="D84" s="14">
        <v>2.5970784646093999E-4</v>
      </c>
      <c r="E84" s="16">
        <v>3.9391303919481301E-3</v>
      </c>
      <c r="F84" s="14">
        <v>3.7355238189587297E-4</v>
      </c>
      <c r="G84" s="16">
        <v>7.89249135082562E-4</v>
      </c>
      <c r="H84" s="14">
        <v>1.82745109200445E-2</v>
      </c>
      <c r="I84" s="16">
        <v>2.97120554247742E-2</v>
      </c>
      <c r="J84" s="14">
        <v>2.18056071717679E-3</v>
      </c>
      <c r="K84" s="15">
        <v>2.73883680440578E-3</v>
      </c>
      <c r="L84" s="15">
        <v>0.118309375809021</v>
      </c>
      <c r="M84" s="15">
        <v>4.44458918268928E-3</v>
      </c>
      <c r="N84" s="16">
        <v>7.2411692490584605E-4</v>
      </c>
      <c r="O84" s="14">
        <v>0</v>
      </c>
      <c r="P84" s="16">
        <v>1.99775266508415E-5</v>
      </c>
      <c r="Q84" s="14">
        <v>4.6290392232737603E-3</v>
      </c>
      <c r="R84" s="15">
        <v>0</v>
      </c>
      <c r="S84" s="15">
        <v>0</v>
      </c>
      <c r="T84" s="15">
        <v>0</v>
      </c>
      <c r="U84" s="14">
        <v>1.1530864184016568E-2</v>
      </c>
      <c r="V84" s="16">
        <v>0</v>
      </c>
      <c r="W84" s="14">
        <v>4.92517184777891E-2</v>
      </c>
      <c r="X84" s="15">
        <v>6.4869492018020296E-3</v>
      </c>
      <c r="Y84" s="16">
        <v>1.84036806814033E-2</v>
      </c>
      <c r="Z84" s="14">
        <v>0.71588809957893895</v>
      </c>
      <c r="AA84" s="15">
        <v>1.2043985587719699E-2</v>
      </c>
      <c r="AB84" s="16">
        <v>0</v>
      </c>
      <c r="AC84" s="26">
        <f t="shared" si="1"/>
        <v>0.17756682482664665</v>
      </c>
      <c r="AE84" s="25"/>
    </row>
    <row r="85" spans="1:31" x14ac:dyDescent="0.3">
      <c r="A85" s="17" t="s">
        <v>46</v>
      </c>
      <c r="B85">
        <v>2014</v>
      </c>
      <c r="C85" s="18">
        <v>2400.7449999999999</v>
      </c>
      <c r="D85" s="14">
        <v>3.96710187879179E-3</v>
      </c>
      <c r="E85" s="16">
        <v>8.94430687140867E-3</v>
      </c>
      <c r="F85" s="14">
        <v>3.9237819926731102E-4</v>
      </c>
      <c r="G85" s="16">
        <v>0</v>
      </c>
      <c r="H85" s="14">
        <v>3.7530433261341797E-2</v>
      </c>
      <c r="I85" s="16">
        <v>9.6199304799135296E-3</v>
      </c>
      <c r="J85" s="14">
        <v>6.9428448252521601E-3</v>
      </c>
      <c r="K85" s="15">
        <v>4.2061943271776104E-3</v>
      </c>
      <c r="L85" s="15">
        <v>0.164527677866662</v>
      </c>
      <c r="M85" s="15">
        <v>0</v>
      </c>
      <c r="N85" s="16">
        <v>0</v>
      </c>
      <c r="O85" s="14">
        <v>0</v>
      </c>
      <c r="P85" s="16">
        <v>6.0481225619547297E-4</v>
      </c>
      <c r="Q85" s="14">
        <v>0</v>
      </c>
      <c r="R85" s="15">
        <v>0</v>
      </c>
      <c r="S85" s="15">
        <v>0</v>
      </c>
      <c r="T85" s="15">
        <v>0</v>
      </c>
      <c r="U85" s="14">
        <v>1.2167113553507192E-2</v>
      </c>
      <c r="V85" s="16">
        <v>3.7407081123561808E-2</v>
      </c>
      <c r="W85" s="14">
        <v>5.3432996840564101E-2</v>
      </c>
      <c r="X85" s="15">
        <v>6.0893597612407804E-3</v>
      </c>
      <c r="Y85" s="16">
        <v>1.7037627903005101E-2</v>
      </c>
      <c r="Z85" s="14">
        <v>0.63713014085211095</v>
      </c>
      <c r="AA85" s="15">
        <v>0</v>
      </c>
      <c r="AB85" s="16">
        <v>0</v>
      </c>
      <c r="AC85" s="26">
        <f t="shared" si="1"/>
        <v>0.22382427121580989</v>
      </c>
      <c r="AE85" s="25"/>
    </row>
    <row r="86" spans="1:31" x14ac:dyDescent="0.3">
      <c r="A86" s="17" t="s">
        <v>46</v>
      </c>
      <c r="B86">
        <v>2015</v>
      </c>
      <c r="C86" s="18">
        <v>1986.3520000000001</v>
      </c>
      <c r="D86" s="14">
        <v>2.2433083360854501E-3</v>
      </c>
      <c r="E86" s="16">
        <v>8.6339178554455597E-4</v>
      </c>
      <c r="F86" s="14">
        <v>4.0365453857121002E-3</v>
      </c>
      <c r="G86" s="16">
        <v>0</v>
      </c>
      <c r="H86" s="14">
        <v>8.4989971565966205E-3</v>
      </c>
      <c r="I86" s="16">
        <v>1.3921500318171199E-2</v>
      </c>
      <c r="J86" s="14">
        <v>1.6007233360451699E-2</v>
      </c>
      <c r="K86" s="15">
        <v>0</v>
      </c>
      <c r="L86" s="15">
        <v>0.138435685115226</v>
      </c>
      <c r="M86" s="15">
        <v>0</v>
      </c>
      <c r="N86" s="16">
        <v>0</v>
      </c>
      <c r="O86" s="14">
        <v>0</v>
      </c>
      <c r="P86" s="16">
        <v>2.1949785335126899E-4</v>
      </c>
      <c r="Q86" s="14">
        <v>7.1155565579514597E-3</v>
      </c>
      <c r="R86" s="15">
        <v>0</v>
      </c>
      <c r="S86" s="15">
        <v>0</v>
      </c>
      <c r="T86" s="15">
        <v>0</v>
      </c>
      <c r="U86" s="14">
        <v>1.1147173786556252E-2</v>
      </c>
      <c r="V86" s="16">
        <v>2.0145869943860042E-2</v>
      </c>
      <c r="W86" s="14">
        <v>4.0651908624453302E-2</v>
      </c>
      <c r="X86" s="15">
        <v>4.6019033887246602E-3</v>
      </c>
      <c r="Y86" s="16">
        <v>6.1982971799560199E-3</v>
      </c>
      <c r="Z86" s="14">
        <v>0.72591313120735901</v>
      </c>
      <c r="AA86" s="15">
        <v>0</v>
      </c>
      <c r="AB86" s="16">
        <v>0</v>
      </c>
      <c r="AC86" s="26">
        <f t="shared" si="1"/>
        <v>0.18111945918950886</v>
      </c>
      <c r="AE86" s="25"/>
    </row>
    <row r="87" spans="1:31" x14ac:dyDescent="0.3">
      <c r="A87" s="17" t="s">
        <v>46</v>
      </c>
      <c r="B87">
        <v>2016</v>
      </c>
      <c r="C87" s="18">
        <v>3001.51</v>
      </c>
      <c r="D87" s="14">
        <v>3.81408024627604E-3</v>
      </c>
      <c r="E87" s="16">
        <v>2.06396113955975E-3</v>
      </c>
      <c r="F87" s="14">
        <v>2.2731891614553999E-3</v>
      </c>
      <c r="G87" s="16">
        <v>0</v>
      </c>
      <c r="H87" s="14">
        <v>7.0791035178959898E-3</v>
      </c>
      <c r="I87" s="16">
        <v>3.4369700584039403E-2</v>
      </c>
      <c r="J87" s="14">
        <v>1.34575596949535E-2</v>
      </c>
      <c r="K87" s="15">
        <v>0</v>
      </c>
      <c r="L87" s="15">
        <v>0.17384782992560399</v>
      </c>
      <c r="M87" s="15">
        <v>0</v>
      </c>
      <c r="N87" s="16">
        <v>0</v>
      </c>
      <c r="O87" s="14">
        <v>0</v>
      </c>
      <c r="P87" s="16">
        <v>0</v>
      </c>
      <c r="Q87" s="14">
        <v>3.63383763505702E-3</v>
      </c>
      <c r="R87" s="15">
        <v>0</v>
      </c>
      <c r="S87" s="15">
        <v>0</v>
      </c>
      <c r="T87" s="15">
        <v>0</v>
      </c>
      <c r="U87" s="14">
        <v>2.0910353757849585E-3</v>
      </c>
      <c r="V87" s="16">
        <v>1.5109973449772824E-2</v>
      </c>
      <c r="W87" s="14">
        <v>1.88208601670493E-2</v>
      </c>
      <c r="X87" s="15">
        <v>3.40495284040366E-4</v>
      </c>
      <c r="Y87" s="16">
        <v>6.8548830422020899E-3</v>
      </c>
      <c r="Z87" s="14">
        <v>0.70853736952400603</v>
      </c>
      <c r="AA87" s="15">
        <v>7.7061212523030099E-3</v>
      </c>
      <c r="AB87" s="16">
        <v>0</v>
      </c>
      <c r="AC87" s="26">
        <f t="shared" si="1"/>
        <v>0.23102738288394828</v>
      </c>
      <c r="AE87" s="25"/>
    </row>
    <row r="88" spans="1:31" x14ac:dyDescent="0.3">
      <c r="A88" s="17" t="s">
        <v>46</v>
      </c>
      <c r="B88">
        <v>2017</v>
      </c>
      <c r="C88" s="18">
        <v>2017.248</v>
      </c>
      <c r="D88" s="14">
        <v>4.2929773632195901E-4</v>
      </c>
      <c r="E88" s="16">
        <v>1.3830723837624301E-4</v>
      </c>
      <c r="F88" s="14">
        <v>4.1749948444613598E-3</v>
      </c>
      <c r="G88" s="16">
        <v>0</v>
      </c>
      <c r="H88" s="14">
        <v>1.8573323656783901E-2</v>
      </c>
      <c r="I88" s="16">
        <v>5.4314590967496301E-2</v>
      </c>
      <c r="J88" s="14">
        <v>8.9830303462935593E-3</v>
      </c>
      <c r="K88" s="15">
        <v>0</v>
      </c>
      <c r="L88" s="15">
        <v>0.316999198908612</v>
      </c>
      <c r="M88" s="15">
        <v>5.0261544440742996E-3</v>
      </c>
      <c r="N88" s="16">
        <v>4.83381319500627E-3</v>
      </c>
      <c r="O88" s="14">
        <v>9.8153524008946904E-5</v>
      </c>
      <c r="P88" s="16">
        <v>5.9486984247846597E-6</v>
      </c>
      <c r="Q88" s="14">
        <v>0</v>
      </c>
      <c r="R88" s="15">
        <v>0</v>
      </c>
      <c r="S88" s="15">
        <v>0</v>
      </c>
      <c r="T88" s="15">
        <v>0</v>
      </c>
      <c r="U88" s="14">
        <v>5.5837560142203216E-3</v>
      </c>
      <c r="V88" s="16">
        <v>5.9601890039430389E-3</v>
      </c>
      <c r="W88" s="14">
        <v>7.5877631307603194E-2</v>
      </c>
      <c r="X88" s="15">
        <v>2.3095821634226401E-3</v>
      </c>
      <c r="Y88" s="16">
        <v>8.0054609051539508E-3</v>
      </c>
      <c r="Z88" s="14">
        <v>0.48868656704579699</v>
      </c>
      <c r="AA88" s="15">
        <v>0</v>
      </c>
      <c r="AB88" s="16">
        <v>0</v>
      </c>
      <c r="AC88" s="26">
        <f t="shared" si="1"/>
        <v>0.41300920858516138</v>
      </c>
      <c r="AE88" s="25"/>
    </row>
    <row r="89" spans="1:31" x14ac:dyDescent="0.3">
      <c r="A89" s="17" t="s">
        <v>46</v>
      </c>
      <c r="B89">
        <v>2018</v>
      </c>
      <c r="C89" s="18">
        <v>2729.4009999999998</v>
      </c>
      <c r="D89" s="14">
        <v>1.8022269355070901E-3</v>
      </c>
      <c r="E89" s="16">
        <v>1.48677310516117E-3</v>
      </c>
      <c r="F89" s="14">
        <v>3.4241945393879499E-3</v>
      </c>
      <c r="G89" s="16">
        <v>0</v>
      </c>
      <c r="H89" s="14">
        <v>5.6206471676386099E-3</v>
      </c>
      <c r="I89" s="16">
        <v>3.5593890381076299E-2</v>
      </c>
      <c r="J89" s="14">
        <v>0</v>
      </c>
      <c r="K89" s="15">
        <v>3.4139358782384901E-3</v>
      </c>
      <c r="L89" s="15">
        <v>0.171755634294851</v>
      </c>
      <c r="M89" s="15">
        <v>0</v>
      </c>
      <c r="N89" s="16">
        <v>2.2961081937025699E-3</v>
      </c>
      <c r="O89" s="14">
        <v>1.3541432717288501E-3</v>
      </c>
      <c r="P89" s="16">
        <v>0</v>
      </c>
      <c r="Q89" s="14">
        <v>7.8515395868910404E-4</v>
      </c>
      <c r="R89" s="15">
        <v>0</v>
      </c>
      <c r="S89" s="15">
        <v>0</v>
      </c>
      <c r="T89" s="15">
        <v>0</v>
      </c>
      <c r="U89" s="14">
        <v>3.9676617872766171E-3</v>
      </c>
      <c r="V89" s="16">
        <v>3.8383388864496409E-2</v>
      </c>
      <c r="W89" s="14">
        <v>5.1547940372264803E-2</v>
      </c>
      <c r="X89" s="15">
        <v>5.0901278339093503E-3</v>
      </c>
      <c r="Y89" s="16">
        <v>8.9385912879785707E-3</v>
      </c>
      <c r="Z89" s="14">
        <v>0.66453958212809305</v>
      </c>
      <c r="AA89" s="15">
        <v>0</v>
      </c>
      <c r="AB89" s="16">
        <v>0</v>
      </c>
      <c r="AC89" s="26">
        <f t="shared" si="1"/>
        <v>0.22345855372662379</v>
      </c>
      <c r="AE89" s="25"/>
    </row>
    <row r="90" spans="1:31" x14ac:dyDescent="0.3">
      <c r="A90" s="17" t="s">
        <v>46</v>
      </c>
      <c r="B90">
        <v>2019</v>
      </c>
      <c r="C90" s="18">
        <v>2073.09</v>
      </c>
      <c r="D90" s="14">
        <v>2.32020799868795E-3</v>
      </c>
      <c r="E90" s="16">
        <v>2.69115185544284E-3</v>
      </c>
      <c r="F90" s="14">
        <v>1.5435895209566399E-5</v>
      </c>
      <c r="G90" s="16">
        <v>0</v>
      </c>
      <c r="H90" s="14">
        <v>1.33645910211327E-2</v>
      </c>
      <c r="I90" s="16">
        <v>7.5100453911793501E-3</v>
      </c>
      <c r="J90" s="14">
        <v>5.2728053292428198E-3</v>
      </c>
      <c r="K90" s="15">
        <v>0</v>
      </c>
      <c r="L90" s="15">
        <v>0.24097603094896999</v>
      </c>
      <c r="M90" s="15">
        <v>0</v>
      </c>
      <c r="N90" s="16">
        <v>2.3973874747357802E-3</v>
      </c>
      <c r="O90" s="14">
        <v>3.5671389085857302E-3</v>
      </c>
      <c r="P90" s="16">
        <v>6.2708324288863502E-6</v>
      </c>
      <c r="Q90" s="14">
        <v>3.4130224882559707E-3</v>
      </c>
      <c r="R90" s="15">
        <v>0</v>
      </c>
      <c r="S90" s="15">
        <v>5.9531893018737372E-3</v>
      </c>
      <c r="T90" s="15">
        <v>0</v>
      </c>
      <c r="U90" s="14">
        <v>6.5439742529625929E-3</v>
      </c>
      <c r="V90" s="16">
        <v>1.9048257632773201E-2</v>
      </c>
      <c r="W90" s="14">
        <v>3.17632133674852E-2</v>
      </c>
      <c r="X90" s="15">
        <v>0</v>
      </c>
      <c r="Y90" s="16">
        <v>9.0878833046322202E-3</v>
      </c>
      <c r="Z90" s="14">
        <v>0.63701045299528702</v>
      </c>
      <c r="AA90" s="15">
        <v>9.0589410011142797E-3</v>
      </c>
      <c r="AB90" s="16">
        <v>0</v>
      </c>
      <c r="AC90" s="26">
        <f t="shared" si="1"/>
        <v>0.2731097058014848</v>
      </c>
      <c r="AE90" s="25"/>
    </row>
    <row r="91" spans="1:31" x14ac:dyDescent="0.3">
      <c r="A91" s="17" t="s">
        <v>46</v>
      </c>
      <c r="B91">
        <v>2020</v>
      </c>
      <c r="C91" s="18">
        <v>2442.83</v>
      </c>
      <c r="D91" s="14">
        <v>4.2209240921390404E-3</v>
      </c>
      <c r="E91" s="16">
        <v>1.9542907201892902E-3</v>
      </c>
      <c r="F91" s="14">
        <v>2.0754616571763099E-4</v>
      </c>
      <c r="G91" s="16">
        <v>0</v>
      </c>
      <c r="H91" s="14">
        <v>8.3939529152663103E-3</v>
      </c>
      <c r="I91" s="16">
        <v>0</v>
      </c>
      <c r="J91" s="14">
        <v>6.2071449916695004E-3</v>
      </c>
      <c r="K91" s="15">
        <v>2.1262224551033002E-3</v>
      </c>
      <c r="L91" s="15">
        <v>0.168726436141688</v>
      </c>
      <c r="M91" s="15">
        <v>4.8476562020279799E-3</v>
      </c>
      <c r="N91" s="16">
        <v>0</v>
      </c>
      <c r="O91" s="14">
        <v>1.9792617578791799E-3</v>
      </c>
      <c r="P91" s="16">
        <v>1.3099560755353401E-5</v>
      </c>
      <c r="Q91" s="14">
        <v>0</v>
      </c>
      <c r="R91" s="15">
        <v>0</v>
      </c>
      <c r="S91" s="15">
        <v>0</v>
      </c>
      <c r="T91" s="15">
        <v>0</v>
      </c>
      <c r="U91" s="14">
        <v>6.9691093935127929E-3</v>
      </c>
      <c r="V91" s="16">
        <v>2.2249051510029386E-2</v>
      </c>
      <c r="W91" s="14">
        <v>1.36681635643905E-2</v>
      </c>
      <c r="X91" s="15">
        <v>3.6842514624431502E-6</v>
      </c>
      <c r="Y91" s="16">
        <v>1.25113086051833E-2</v>
      </c>
      <c r="Z91" s="14">
        <v>0.74592214767298604</v>
      </c>
      <c r="AA91" s="15">
        <v>0</v>
      </c>
      <c r="AB91" s="16">
        <v>0</v>
      </c>
      <c r="AC91" s="26">
        <f t="shared" si="1"/>
        <v>0.19250132019010727</v>
      </c>
      <c r="AE91" s="25"/>
    </row>
    <row r="92" spans="1:31" x14ac:dyDescent="0.3">
      <c r="A92" s="17" t="s">
        <v>46</v>
      </c>
      <c r="B92">
        <v>2021</v>
      </c>
      <c r="C92" s="18">
        <v>4105.4539999999997</v>
      </c>
      <c r="D92" s="14">
        <v>2.7960366868073501E-3</v>
      </c>
      <c r="E92" s="16">
        <v>3.1665194641079899E-6</v>
      </c>
      <c r="F92" s="14">
        <v>1.6120019856512801E-3</v>
      </c>
      <c r="G92" s="16">
        <v>0</v>
      </c>
      <c r="H92" s="14">
        <v>5.9793630619171499E-3</v>
      </c>
      <c r="I92" s="16">
        <v>9.1200632134716408E-3</v>
      </c>
      <c r="J92" s="14">
        <v>3.6634194415526302E-3</v>
      </c>
      <c r="K92" s="15">
        <v>1.63830845504541E-3</v>
      </c>
      <c r="L92" s="15">
        <v>0.15808409983402599</v>
      </c>
      <c r="M92" s="15">
        <v>0</v>
      </c>
      <c r="N92" s="16">
        <v>0</v>
      </c>
      <c r="O92" s="14">
        <v>1.8704386896065601E-3</v>
      </c>
      <c r="P92" s="16">
        <v>0</v>
      </c>
      <c r="Q92" s="14">
        <v>0</v>
      </c>
      <c r="R92" s="15">
        <v>0</v>
      </c>
      <c r="S92" s="15">
        <v>0</v>
      </c>
      <c r="T92" s="15">
        <v>0</v>
      </c>
      <c r="U92" s="14">
        <v>5.0256492662477809E-3</v>
      </c>
      <c r="V92" s="16">
        <v>1.0704157960918767E-2</v>
      </c>
      <c r="W92" s="14">
        <v>4.13425652802345E-2</v>
      </c>
      <c r="X92" s="15">
        <v>2.0126884870710999E-3</v>
      </c>
      <c r="Y92" s="16">
        <v>1.5121835490057901E-2</v>
      </c>
      <c r="Z92" s="14">
        <v>0.74102620562792798</v>
      </c>
      <c r="AA92" s="15">
        <v>0</v>
      </c>
      <c r="AB92" s="16">
        <v>0</v>
      </c>
      <c r="AC92" s="26">
        <f t="shared" si="1"/>
        <v>0.18196769468127066</v>
      </c>
      <c r="AE92" s="25"/>
    </row>
    <row r="93" spans="1:31" x14ac:dyDescent="0.3">
      <c r="A93" s="17" t="s">
        <v>46</v>
      </c>
      <c r="B93">
        <v>2022</v>
      </c>
      <c r="C93" s="18">
        <v>5249.4889999999996</v>
      </c>
      <c r="D93" s="14">
        <v>2.3415612452945401E-3</v>
      </c>
      <c r="E93" s="16">
        <v>4.5337746207297501E-5</v>
      </c>
      <c r="F93" s="14">
        <v>1.57310549655405E-3</v>
      </c>
      <c r="G93" s="16">
        <v>0</v>
      </c>
      <c r="H93" s="14">
        <v>4.4080480976338796E-3</v>
      </c>
      <c r="I93" s="16">
        <v>9.7916197176525204E-3</v>
      </c>
      <c r="J93" s="14">
        <v>5.2433674972935497E-3</v>
      </c>
      <c r="K93" s="15">
        <v>0</v>
      </c>
      <c r="L93" s="15">
        <v>4.81551632930367E-2</v>
      </c>
      <c r="M93" s="15">
        <v>0</v>
      </c>
      <c r="N93" s="16">
        <v>0</v>
      </c>
      <c r="O93" s="14">
        <v>5.6005451197249901E-5</v>
      </c>
      <c r="P93" s="16">
        <v>0</v>
      </c>
      <c r="Q93" s="14">
        <v>0</v>
      </c>
      <c r="R93" s="15">
        <v>0</v>
      </c>
      <c r="S93" s="15">
        <v>0</v>
      </c>
      <c r="T93" s="15">
        <v>0</v>
      </c>
      <c r="U93" s="14">
        <v>3.5378390909075515E-3</v>
      </c>
      <c r="V93" s="16">
        <v>3.0695207211313438E-2</v>
      </c>
      <c r="W93" s="14">
        <v>1.26322771606913E-2</v>
      </c>
      <c r="X93" s="15">
        <v>1.4159473426842101E-3</v>
      </c>
      <c r="Y93" s="16">
        <v>7.2344184357753701E-3</v>
      </c>
      <c r="Z93" s="14">
        <v>0.87252530674890405</v>
      </c>
      <c r="AA93" s="15">
        <v>3.4479546485381701E-4</v>
      </c>
      <c r="AB93" s="16">
        <v>0</v>
      </c>
      <c r="AC93" s="26">
        <f t="shared" si="1"/>
        <v>6.9227309553367949E-2</v>
      </c>
      <c r="AE93" s="25"/>
    </row>
    <row r="94" spans="1:31" x14ac:dyDescent="0.3">
      <c r="A94" s="17" t="s">
        <v>46</v>
      </c>
      <c r="B94">
        <v>2023</v>
      </c>
      <c r="C94" s="18">
        <v>3035.0239999999999</v>
      </c>
      <c r="D94" s="14">
        <v>2.9653801749178901E-6</v>
      </c>
      <c r="E94" s="16">
        <v>1.76242428395953E-3</v>
      </c>
      <c r="F94" s="14">
        <v>7.5076836295199E-3</v>
      </c>
      <c r="G94" s="16">
        <v>0</v>
      </c>
      <c r="H94" s="14">
        <v>5.6091813442002399E-3</v>
      </c>
      <c r="I94" s="16">
        <v>0</v>
      </c>
      <c r="J94" s="14">
        <v>0</v>
      </c>
      <c r="K94" s="15">
        <v>0</v>
      </c>
      <c r="L94" s="15">
        <v>0.233667344969924</v>
      </c>
      <c r="M94" s="15">
        <v>0</v>
      </c>
      <c r="N94" s="16">
        <v>0</v>
      </c>
      <c r="O94" s="14">
        <v>2.1255186120439202E-3</v>
      </c>
      <c r="P94" s="16">
        <v>0</v>
      </c>
      <c r="Q94" s="14">
        <v>0</v>
      </c>
      <c r="R94" s="15">
        <v>0</v>
      </c>
      <c r="S94" s="15">
        <v>0</v>
      </c>
      <c r="T94" s="15">
        <v>0</v>
      </c>
      <c r="U94" s="14">
        <v>2.0658373850136616E-3</v>
      </c>
      <c r="V94" s="16">
        <v>4.4998438089406496E-3</v>
      </c>
      <c r="W94" s="14">
        <v>1.24641518485521E-2</v>
      </c>
      <c r="X94" s="15">
        <v>8.5501795043465905E-4</v>
      </c>
      <c r="Y94" s="16">
        <v>7.7234974089167002E-3</v>
      </c>
      <c r="Z94" s="14">
        <v>0.72171653337831898</v>
      </c>
      <c r="AA94" s="15">
        <v>0</v>
      </c>
      <c r="AB94" s="16">
        <v>0</v>
      </c>
      <c r="AC94" s="26">
        <f t="shared" si="1"/>
        <v>0.24890972855568805</v>
      </c>
      <c r="AE94" s="25"/>
    </row>
    <row r="95" spans="1:31" ht="15" thickBot="1" x14ac:dyDescent="0.35">
      <c r="A95" s="4" t="s">
        <v>46</v>
      </c>
      <c r="B95" s="5">
        <v>2024</v>
      </c>
      <c r="C95" s="19">
        <v>7775.4449999999997</v>
      </c>
      <c r="D95" s="20">
        <v>0</v>
      </c>
      <c r="E95" s="21">
        <v>4.3403982190733098E-4</v>
      </c>
      <c r="F95" s="20">
        <v>4.3936789390425102E-3</v>
      </c>
      <c r="G95" s="21">
        <v>0</v>
      </c>
      <c r="H95" s="20">
        <v>7.7203379920832097E-3</v>
      </c>
      <c r="I95" s="21">
        <v>1.19436975073393E-2</v>
      </c>
      <c r="J95" s="20">
        <v>7.5584514880041396E-3</v>
      </c>
      <c r="K95" s="22">
        <v>1.4204358846463901E-3</v>
      </c>
      <c r="L95" s="22">
        <v>8.9772646744644205E-2</v>
      </c>
      <c r="M95" s="22">
        <v>3.80912427750997E-3</v>
      </c>
      <c r="N95" s="21">
        <v>1.7232543650468599E-3</v>
      </c>
      <c r="O95" s="20">
        <v>2.5554302143498998E-7</v>
      </c>
      <c r="P95" s="21">
        <v>0</v>
      </c>
      <c r="Q95" s="20">
        <v>0</v>
      </c>
      <c r="R95" s="22">
        <v>0</v>
      </c>
      <c r="S95" s="22">
        <v>0</v>
      </c>
      <c r="T95" s="22">
        <v>0</v>
      </c>
      <c r="U95" s="20">
        <v>7.988497007212875E-3</v>
      </c>
      <c r="V95" s="21">
        <v>2.8170118826549759E-3</v>
      </c>
      <c r="W95" s="20">
        <v>4.7727770113413096E-3</v>
      </c>
      <c r="X95" s="22">
        <v>9.49670002377912E-4</v>
      </c>
      <c r="Y95" s="21">
        <v>7.3376946976045302E-3</v>
      </c>
      <c r="Z95" s="20">
        <v>0.84502404133475495</v>
      </c>
      <c r="AA95" s="22">
        <v>2.3343855008086398E-3</v>
      </c>
      <c r="AB95" s="21">
        <v>0</v>
      </c>
      <c r="AC95" s="27">
        <f t="shared" si="1"/>
        <v>0.12834188274133801</v>
      </c>
      <c r="AE95" s="25"/>
    </row>
    <row r="97" spans="1:29" x14ac:dyDescent="0.3">
      <c r="A97" s="23" t="s">
        <v>31</v>
      </c>
    </row>
    <row r="98" spans="1:29" x14ac:dyDescent="0.3">
      <c r="A98" t="s">
        <v>32</v>
      </c>
    </row>
    <row r="99" spans="1:29" x14ac:dyDescent="0.3">
      <c r="A99" t="s">
        <v>33</v>
      </c>
    </row>
    <row r="100" spans="1:29" x14ac:dyDescent="0.3">
      <c r="A100" t="s">
        <v>45</v>
      </c>
    </row>
    <row r="102" spans="1:29" ht="15" thickBot="1" x14ac:dyDescent="0.35">
      <c r="A102" t="s">
        <v>84</v>
      </c>
    </row>
    <row r="103" spans="1:29" ht="15" thickBot="1" x14ac:dyDescent="0.35">
      <c r="A103" s="1"/>
      <c r="B103" s="2"/>
      <c r="C103" s="3"/>
      <c r="D103" s="88" t="s">
        <v>2</v>
      </c>
      <c r="E103" s="89"/>
      <c r="F103" s="89"/>
      <c r="G103" s="89"/>
      <c r="H103" s="89"/>
      <c r="I103" s="90"/>
      <c r="J103" s="88" t="s">
        <v>3</v>
      </c>
      <c r="K103" s="89"/>
      <c r="L103" s="89"/>
      <c r="M103" s="89"/>
      <c r="N103" s="89"/>
      <c r="O103" s="89"/>
      <c r="P103" s="89"/>
      <c r="Q103" s="89"/>
      <c r="R103" s="89"/>
      <c r="S103" s="89"/>
      <c r="T103" s="89"/>
      <c r="U103" s="89"/>
      <c r="V103" s="89"/>
      <c r="W103" s="89"/>
      <c r="X103" s="89"/>
      <c r="Y103" s="90"/>
      <c r="Z103" s="91" t="s">
        <v>4</v>
      </c>
      <c r="AA103" s="92"/>
      <c r="AB103" s="93"/>
      <c r="AC103" s="97" t="s">
        <v>38</v>
      </c>
    </row>
    <row r="104" spans="1:29" ht="15" thickBot="1" x14ac:dyDescent="0.35">
      <c r="A104" s="4"/>
      <c r="B104" s="5"/>
      <c r="C104" s="6"/>
      <c r="D104" s="85" t="s">
        <v>5</v>
      </c>
      <c r="E104" s="86"/>
      <c r="F104" s="85" t="s">
        <v>6</v>
      </c>
      <c r="G104" s="86"/>
      <c r="H104" s="85" t="s">
        <v>7</v>
      </c>
      <c r="I104" s="86"/>
      <c r="J104" s="85" t="s">
        <v>8</v>
      </c>
      <c r="K104" s="87"/>
      <c r="L104" s="87"/>
      <c r="M104" s="87"/>
      <c r="N104" s="86"/>
      <c r="O104" s="85" t="s">
        <v>9</v>
      </c>
      <c r="P104" s="86"/>
      <c r="Q104" s="85" t="s">
        <v>10</v>
      </c>
      <c r="R104" s="87"/>
      <c r="S104" s="87"/>
      <c r="T104" s="87"/>
      <c r="U104" s="87"/>
      <c r="V104" s="86"/>
      <c r="W104" s="85" t="s">
        <v>11</v>
      </c>
      <c r="X104" s="87"/>
      <c r="Y104" s="86"/>
      <c r="Z104" s="94"/>
      <c r="AA104" s="95"/>
      <c r="AB104" s="96"/>
      <c r="AC104" s="98"/>
    </row>
    <row r="105" spans="1:29" ht="43.8" thickBot="1" x14ac:dyDescent="0.35">
      <c r="A105" s="7" t="s">
        <v>12</v>
      </c>
      <c r="B105" s="8" t="s">
        <v>27</v>
      </c>
      <c r="C105" s="9" t="s">
        <v>13</v>
      </c>
      <c r="D105" s="7" t="s">
        <v>14</v>
      </c>
      <c r="E105" s="9" t="s">
        <v>15</v>
      </c>
      <c r="F105" s="7" t="s">
        <v>16</v>
      </c>
      <c r="G105" s="9" t="s">
        <v>17</v>
      </c>
      <c r="H105" s="7" t="s">
        <v>18</v>
      </c>
      <c r="I105" s="9" t="s">
        <v>19</v>
      </c>
      <c r="J105" s="7" t="s">
        <v>20</v>
      </c>
      <c r="K105" s="8" t="s">
        <v>21</v>
      </c>
      <c r="L105" s="8" t="s">
        <v>22</v>
      </c>
      <c r="M105" s="8" t="s">
        <v>7</v>
      </c>
      <c r="N105" s="9" t="s">
        <v>6</v>
      </c>
      <c r="O105" s="31" t="s">
        <v>40</v>
      </c>
      <c r="P105" s="31" t="s">
        <v>42</v>
      </c>
      <c r="Q105" s="7" t="s">
        <v>23</v>
      </c>
      <c r="R105" s="8" t="s">
        <v>60</v>
      </c>
      <c r="S105" s="8" t="s">
        <v>24</v>
      </c>
      <c r="T105" s="8" t="s">
        <v>25</v>
      </c>
      <c r="U105" s="7" t="s">
        <v>44</v>
      </c>
      <c r="V105" s="31" t="s">
        <v>62</v>
      </c>
      <c r="W105" s="7" t="s">
        <v>36</v>
      </c>
      <c r="X105" s="8" t="s">
        <v>35</v>
      </c>
      <c r="Y105" s="9" t="s">
        <v>43</v>
      </c>
      <c r="Z105" s="7" t="s">
        <v>4</v>
      </c>
      <c r="AA105" s="8" t="s">
        <v>28</v>
      </c>
      <c r="AB105" s="9" t="s">
        <v>29</v>
      </c>
      <c r="AC105" s="30" t="s">
        <v>37</v>
      </c>
    </row>
    <row r="106" spans="1:29" x14ac:dyDescent="0.3">
      <c r="A106" s="1" t="s">
        <v>46</v>
      </c>
      <c r="B106" s="2">
        <v>1985</v>
      </c>
      <c r="C106" s="71">
        <f>C11-C56</f>
        <v>0</v>
      </c>
      <c r="D106" s="11">
        <f t="shared" ref="D106:AC106" si="2">D11-D56</f>
        <v>0</v>
      </c>
      <c r="E106" s="12">
        <f t="shared" si="2"/>
        <v>0</v>
      </c>
      <c r="F106" s="13">
        <f t="shared" si="2"/>
        <v>0</v>
      </c>
      <c r="G106" s="13">
        <f t="shared" si="2"/>
        <v>0</v>
      </c>
      <c r="H106" s="11">
        <f t="shared" si="2"/>
        <v>0</v>
      </c>
      <c r="I106" s="12">
        <f t="shared" si="2"/>
        <v>0</v>
      </c>
      <c r="J106" s="13">
        <f t="shared" si="2"/>
        <v>0</v>
      </c>
      <c r="K106" s="13">
        <f t="shared" si="2"/>
        <v>0</v>
      </c>
      <c r="L106" s="13">
        <f t="shared" si="2"/>
        <v>0</v>
      </c>
      <c r="M106" s="13">
        <f t="shared" si="2"/>
        <v>0</v>
      </c>
      <c r="N106" s="13">
        <f t="shared" si="2"/>
        <v>0</v>
      </c>
      <c r="O106" s="11">
        <f t="shared" si="2"/>
        <v>0</v>
      </c>
      <c r="P106" s="12">
        <f t="shared" si="2"/>
        <v>0</v>
      </c>
      <c r="Q106" s="13">
        <f t="shared" si="2"/>
        <v>0</v>
      </c>
      <c r="R106" s="13">
        <f t="shared" si="2"/>
        <v>0</v>
      </c>
      <c r="S106" s="13">
        <f t="shared" si="2"/>
        <v>0</v>
      </c>
      <c r="T106" s="13">
        <f t="shared" si="2"/>
        <v>0</v>
      </c>
      <c r="U106" s="11">
        <f t="shared" si="2"/>
        <v>0</v>
      </c>
      <c r="V106" s="12">
        <f t="shared" si="2"/>
        <v>0</v>
      </c>
      <c r="W106" s="13">
        <f t="shared" si="2"/>
        <v>0</v>
      </c>
      <c r="X106" s="13">
        <f t="shared" si="2"/>
        <v>0</v>
      </c>
      <c r="Y106" s="13">
        <f t="shared" si="2"/>
        <v>0</v>
      </c>
      <c r="Z106" s="11">
        <f t="shared" si="2"/>
        <v>0</v>
      </c>
      <c r="AA106" s="13">
        <f t="shared" si="2"/>
        <v>0</v>
      </c>
      <c r="AB106" s="12">
        <f t="shared" si="2"/>
        <v>0</v>
      </c>
      <c r="AC106" s="12">
        <f t="shared" si="2"/>
        <v>0</v>
      </c>
    </row>
    <row r="107" spans="1:29" x14ac:dyDescent="0.3">
      <c r="A107" s="17" t="s">
        <v>46</v>
      </c>
      <c r="B107" s="72">
        <v>1986</v>
      </c>
      <c r="C107" s="73">
        <f t="shared" ref="C107:AC107" si="3">C12-C57</f>
        <v>0</v>
      </c>
      <c r="D107" s="14">
        <f t="shared" si="3"/>
        <v>0</v>
      </c>
      <c r="E107" s="16">
        <f t="shared" si="3"/>
        <v>0</v>
      </c>
      <c r="F107" s="15">
        <f t="shared" si="3"/>
        <v>0</v>
      </c>
      <c r="G107" s="15">
        <f t="shared" si="3"/>
        <v>0</v>
      </c>
      <c r="H107" s="14">
        <f t="shared" si="3"/>
        <v>0</v>
      </c>
      <c r="I107" s="16">
        <f t="shared" si="3"/>
        <v>0</v>
      </c>
      <c r="J107" s="15">
        <f t="shared" si="3"/>
        <v>0</v>
      </c>
      <c r="K107" s="15">
        <f t="shared" si="3"/>
        <v>0</v>
      </c>
      <c r="L107" s="15">
        <f t="shared" si="3"/>
        <v>0</v>
      </c>
      <c r="M107" s="15">
        <f t="shared" si="3"/>
        <v>0</v>
      </c>
      <c r="N107" s="15">
        <f t="shared" si="3"/>
        <v>0</v>
      </c>
      <c r="O107" s="14">
        <f t="shared" si="3"/>
        <v>0</v>
      </c>
      <c r="P107" s="16">
        <f t="shared" si="3"/>
        <v>0</v>
      </c>
      <c r="Q107" s="15">
        <f t="shared" si="3"/>
        <v>0</v>
      </c>
      <c r="R107" s="15">
        <f t="shared" si="3"/>
        <v>0</v>
      </c>
      <c r="S107" s="15">
        <f t="shared" si="3"/>
        <v>0</v>
      </c>
      <c r="T107" s="15">
        <f t="shared" si="3"/>
        <v>0</v>
      </c>
      <c r="U107" s="14">
        <f t="shared" si="3"/>
        <v>0</v>
      </c>
      <c r="V107" s="16">
        <f t="shared" si="3"/>
        <v>0</v>
      </c>
      <c r="W107" s="15">
        <f t="shared" si="3"/>
        <v>0</v>
      </c>
      <c r="X107" s="15">
        <f t="shared" si="3"/>
        <v>0</v>
      </c>
      <c r="Y107" s="15">
        <f t="shared" si="3"/>
        <v>0</v>
      </c>
      <c r="Z107" s="14">
        <f t="shared" si="3"/>
        <v>0</v>
      </c>
      <c r="AA107" s="15">
        <f t="shared" si="3"/>
        <v>0</v>
      </c>
      <c r="AB107" s="16">
        <f t="shared" si="3"/>
        <v>0</v>
      </c>
      <c r="AC107" s="16">
        <f t="shared" si="3"/>
        <v>0</v>
      </c>
    </row>
    <row r="108" spans="1:29" x14ac:dyDescent="0.3">
      <c r="A108" s="17" t="s">
        <v>46</v>
      </c>
      <c r="B108" s="72">
        <v>1987</v>
      </c>
      <c r="C108" s="73">
        <f t="shared" ref="C108:AC108" si="4">C13-C58</f>
        <v>0</v>
      </c>
      <c r="D108" s="14">
        <f t="shared" si="4"/>
        <v>0</v>
      </c>
      <c r="E108" s="16">
        <f t="shared" si="4"/>
        <v>0</v>
      </c>
      <c r="F108" s="15">
        <f t="shared" si="4"/>
        <v>0</v>
      </c>
      <c r="G108" s="15">
        <f t="shared" si="4"/>
        <v>0</v>
      </c>
      <c r="H108" s="14">
        <f t="shared" si="4"/>
        <v>0</v>
      </c>
      <c r="I108" s="16">
        <f t="shared" si="4"/>
        <v>0</v>
      </c>
      <c r="J108" s="15">
        <f t="shared" si="4"/>
        <v>0</v>
      </c>
      <c r="K108" s="15">
        <f t="shared" si="4"/>
        <v>0</v>
      </c>
      <c r="L108" s="15">
        <f t="shared" si="4"/>
        <v>0</v>
      </c>
      <c r="M108" s="15">
        <f t="shared" si="4"/>
        <v>0</v>
      </c>
      <c r="N108" s="15">
        <f t="shared" si="4"/>
        <v>0</v>
      </c>
      <c r="O108" s="14">
        <f t="shared" si="4"/>
        <v>0</v>
      </c>
      <c r="P108" s="16">
        <f t="shared" si="4"/>
        <v>0</v>
      </c>
      <c r="Q108" s="15">
        <f t="shared" si="4"/>
        <v>0</v>
      </c>
      <c r="R108" s="15">
        <f t="shared" si="4"/>
        <v>0</v>
      </c>
      <c r="S108" s="15">
        <f t="shared" si="4"/>
        <v>0</v>
      </c>
      <c r="T108" s="15">
        <f t="shared" si="4"/>
        <v>0</v>
      </c>
      <c r="U108" s="14">
        <f t="shared" si="4"/>
        <v>0</v>
      </c>
      <c r="V108" s="16">
        <f t="shared" si="4"/>
        <v>0</v>
      </c>
      <c r="W108" s="15">
        <f t="shared" si="4"/>
        <v>0</v>
      </c>
      <c r="X108" s="15">
        <f t="shared" si="4"/>
        <v>0</v>
      </c>
      <c r="Y108" s="15">
        <f t="shared" si="4"/>
        <v>0</v>
      </c>
      <c r="Z108" s="14">
        <f t="shared" si="4"/>
        <v>0</v>
      </c>
      <c r="AA108" s="15">
        <f t="shared" si="4"/>
        <v>0</v>
      </c>
      <c r="AB108" s="16">
        <f t="shared" si="4"/>
        <v>0</v>
      </c>
      <c r="AC108" s="16">
        <f t="shared" si="4"/>
        <v>0</v>
      </c>
    </row>
    <row r="109" spans="1:29" x14ac:dyDescent="0.3">
      <c r="A109" s="17" t="s">
        <v>46</v>
      </c>
      <c r="B109" s="72">
        <v>1988</v>
      </c>
      <c r="C109" s="73">
        <f t="shared" ref="C109:AC109" si="5">C14-C59</f>
        <v>0</v>
      </c>
      <c r="D109" s="14">
        <f t="shared" si="5"/>
        <v>0</v>
      </c>
      <c r="E109" s="16">
        <f t="shared" si="5"/>
        <v>0</v>
      </c>
      <c r="F109" s="15">
        <f t="shared" si="5"/>
        <v>0</v>
      </c>
      <c r="G109" s="15">
        <f t="shared" si="5"/>
        <v>0</v>
      </c>
      <c r="H109" s="14">
        <f t="shared" si="5"/>
        <v>0</v>
      </c>
      <c r="I109" s="16">
        <f t="shared" si="5"/>
        <v>0</v>
      </c>
      <c r="J109" s="15">
        <f t="shared" si="5"/>
        <v>0</v>
      </c>
      <c r="K109" s="15">
        <f t="shared" si="5"/>
        <v>0</v>
      </c>
      <c r="L109" s="15">
        <f t="shared" si="5"/>
        <v>0</v>
      </c>
      <c r="M109" s="15">
        <f t="shared" si="5"/>
        <v>0</v>
      </c>
      <c r="N109" s="15">
        <f t="shared" si="5"/>
        <v>0</v>
      </c>
      <c r="O109" s="14">
        <f t="shared" si="5"/>
        <v>0</v>
      </c>
      <c r="P109" s="16">
        <f t="shared" si="5"/>
        <v>0</v>
      </c>
      <c r="Q109" s="15">
        <f t="shared" si="5"/>
        <v>0</v>
      </c>
      <c r="R109" s="15">
        <f t="shared" si="5"/>
        <v>0</v>
      </c>
      <c r="S109" s="15">
        <f t="shared" si="5"/>
        <v>0</v>
      </c>
      <c r="T109" s="15">
        <f t="shared" si="5"/>
        <v>0</v>
      </c>
      <c r="U109" s="14">
        <f t="shared" si="5"/>
        <v>0</v>
      </c>
      <c r="V109" s="16">
        <f t="shared" si="5"/>
        <v>0</v>
      </c>
      <c r="W109" s="15">
        <f t="shared" si="5"/>
        <v>0</v>
      </c>
      <c r="X109" s="15">
        <f t="shared" si="5"/>
        <v>0</v>
      </c>
      <c r="Y109" s="15">
        <f t="shared" si="5"/>
        <v>0</v>
      </c>
      <c r="Z109" s="14">
        <f t="shared" si="5"/>
        <v>0</v>
      </c>
      <c r="AA109" s="15">
        <f t="shared" si="5"/>
        <v>0</v>
      </c>
      <c r="AB109" s="16">
        <f t="shared" si="5"/>
        <v>0</v>
      </c>
      <c r="AC109" s="16">
        <f t="shared" si="5"/>
        <v>0</v>
      </c>
    </row>
    <row r="110" spans="1:29" x14ac:dyDescent="0.3">
      <c r="A110" s="17" t="s">
        <v>46</v>
      </c>
      <c r="B110" s="72">
        <v>1989</v>
      </c>
      <c r="C110" s="73">
        <f t="shared" ref="C110:AC110" si="6">C15-C60</f>
        <v>0</v>
      </c>
      <c r="D110" s="14">
        <f t="shared" si="6"/>
        <v>0</v>
      </c>
      <c r="E110" s="16">
        <f t="shared" si="6"/>
        <v>0</v>
      </c>
      <c r="F110" s="15">
        <f t="shared" si="6"/>
        <v>0</v>
      </c>
      <c r="G110" s="15">
        <f t="shared" si="6"/>
        <v>0</v>
      </c>
      <c r="H110" s="14">
        <f t="shared" si="6"/>
        <v>0</v>
      </c>
      <c r="I110" s="16">
        <f t="shared" si="6"/>
        <v>0</v>
      </c>
      <c r="J110" s="15">
        <f t="shared" si="6"/>
        <v>0</v>
      </c>
      <c r="K110" s="15">
        <f t="shared" si="6"/>
        <v>0</v>
      </c>
      <c r="L110" s="15">
        <f t="shared" si="6"/>
        <v>0</v>
      </c>
      <c r="M110" s="15">
        <f t="shared" si="6"/>
        <v>0</v>
      </c>
      <c r="N110" s="15">
        <f t="shared" si="6"/>
        <v>0</v>
      </c>
      <c r="O110" s="14">
        <f t="shared" si="6"/>
        <v>0</v>
      </c>
      <c r="P110" s="16">
        <f t="shared" si="6"/>
        <v>0</v>
      </c>
      <c r="Q110" s="15">
        <f t="shared" si="6"/>
        <v>0</v>
      </c>
      <c r="R110" s="15">
        <f t="shared" si="6"/>
        <v>0</v>
      </c>
      <c r="S110" s="15">
        <f t="shared" si="6"/>
        <v>0</v>
      </c>
      <c r="T110" s="15">
        <f t="shared" si="6"/>
        <v>0</v>
      </c>
      <c r="U110" s="14">
        <f t="shared" si="6"/>
        <v>0</v>
      </c>
      <c r="V110" s="16">
        <f t="shared" si="6"/>
        <v>0</v>
      </c>
      <c r="W110" s="15">
        <f t="shared" si="6"/>
        <v>0</v>
      </c>
      <c r="X110" s="15">
        <f t="shared" si="6"/>
        <v>0</v>
      </c>
      <c r="Y110" s="15">
        <f t="shared" si="6"/>
        <v>0</v>
      </c>
      <c r="Z110" s="14">
        <f t="shared" si="6"/>
        <v>0</v>
      </c>
      <c r="AA110" s="15">
        <f t="shared" si="6"/>
        <v>0</v>
      </c>
      <c r="AB110" s="16">
        <f t="shared" si="6"/>
        <v>0</v>
      </c>
      <c r="AC110" s="16">
        <f t="shared" si="6"/>
        <v>0</v>
      </c>
    </row>
    <row r="111" spans="1:29" x14ac:dyDescent="0.3">
      <c r="A111" s="17" t="s">
        <v>46</v>
      </c>
      <c r="B111" s="72">
        <v>1990</v>
      </c>
      <c r="C111" s="73">
        <f t="shared" ref="C111:AC111" si="7">C16-C61</f>
        <v>0</v>
      </c>
      <c r="D111" s="14">
        <f t="shared" si="7"/>
        <v>0</v>
      </c>
      <c r="E111" s="16">
        <f t="shared" si="7"/>
        <v>0</v>
      </c>
      <c r="F111" s="15">
        <f t="shared" si="7"/>
        <v>0</v>
      </c>
      <c r="G111" s="15">
        <f t="shared" si="7"/>
        <v>0</v>
      </c>
      <c r="H111" s="14">
        <f t="shared" si="7"/>
        <v>0</v>
      </c>
      <c r="I111" s="16">
        <f t="shared" si="7"/>
        <v>0</v>
      </c>
      <c r="J111" s="15">
        <f t="shared" si="7"/>
        <v>0</v>
      </c>
      <c r="K111" s="15">
        <f t="shared" si="7"/>
        <v>0</v>
      </c>
      <c r="L111" s="15">
        <f t="shared" si="7"/>
        <v>0</v>
      </c>
      <c r="M111" s="15">
        <f t="shared" si="7"/>
        <v>0</v>
      </c>
      <c r="N111" s="15">
        <f t="shared" si="7"/>
        <v>0</v>
      </c>
      <c r="O111" s="14">
        <f t="shared" si="7"/>
        <v>0</v>
      </c>
      <c r="P111" s="16">
        <f t="shared" si="7"/>
        <v>0</v>
      </c>
      <c r="Q111" s="15">
        <f t="shared" si="7"/>
        <v>0</v>
      </c>
      <c r="R111" s="15">
        <f t="shared" si="7"/>
        <v>0</v>
      </c>
      <c r="S111" s="15">
        <f t="shared" si="7"/>
        <v>0</v>
      </c>
      <c r="T111" s="15">
        <f t="shared" si="7"/>
        <v>0</v>
      </c>
      <c r="U111" s="14">
        <f t="shared" si="7"/>
        <v>0</v>
      </c>
      <c r="V111" s="16">
        <f t="shared" si="7"/>
        <v>0</v>
      </c>
      <c r="W111" s="15">
        <f t="shared" si="7"/>
        <v>0</v>
      </c>
      <c r="X111" s="15">
        <f t="shared" si="7"/>
        <v>0</v>
      </c>
      <c r="Y111" s="15">
        <f t="shared" si="7"/>
        <v>0</v>
      </c>
      <c r="Z111" s="14">
        <f t="shared" si="7"/>
        <v>0</v>
      </c>
      <c r="AA111" s="15">
        <f t="shared" si="7"/>
        <v>0</v>
      </c>
      <c r="AB111" s="16">
        <f t="shared" si="7"/>
        <v>0</v>
      </c>
      <c r="AC111" s="16">
        <f t="shared" si="7"/>
        <v>0</v>
      </c>
    </row>
    <row r="112" spans="1:29" x14ac:dyDescent="0.3">
      <c r="A112" s="17" t="s">
        <v>46</v>
      </c>
      <c r="B112" s="72">
        <v>1991</v>
      </c>
      <c r="C112" s="73">
        <f t="shared" ref="C112:AC112" si="8">C17-C62</f>
        <v>0</v>
      </c>
      <c r="D112" s="14">
        <f t="shared" si="8"/>
        <v>0</v>
      </c>
      <c r="E112" s="16">
        <f t="shared" si="8"/>
        <v>0</v>
      </c>
      <c r="F112" s="15">
        <f t="shared" si="8"/>
        <v>0</v>
      </c>
      <c r="G112" s="15">
        <f t="shared" si="8"/>
        <v>0</v>
      </c>
      <c r="H112" s="14">
        <f t="shared" si="8"/>
        <v>0</v>
      </c>
      <c r="I112" s="16">
        <f t="shared" si="8"/>
        <v>0</v>
      </c>
      <c r="J112" s="15">
        <f t="shared" si="8"/>
        <v>0</v>
      </c>
      <c r="K112" s="15">
        <f t="shared" si="8"/>
        <v>0</v>
      </c>
      <c r="L112" s="15">
        <f t="shared" si="8"/>
        <v>0</v>
      </c>
      <c r="M112" s="15">
        <f t="shared" si="8"/>
        <v>0</v>
      </c>
      <c r="N112" s="15">
        <f t="shared" si="8"/>
        <v>0</v>
      </c>
      <c r="O112" s="14">
        <f t="shared" si="8"/>
        <v>0</v>
      </c>
      <c r="P112" s="16">
        <f t="shared" si="8"/>
        <v>0</v>
      </c>
      <c r="Q112" s="15">
        <f t="shared" si="8"/>
        <v>0</v>
      </c>
      <c r="R112" s="15">
        <f t="shared" si="8"/>
        <v>0</v>
      </c>
      <c r="S112" s="15">
        <f t="shared" si="8"/>
        <v>0</v>
      </c>
      <c r="T112" s="15">
        <f t="shared" si="8"/>
        <v>0</v>
      </c>
      <c r="U112" s="14">
        <f t="shared" si="8"/>
        <v>0</v>
      </c>
      <c r="V112" s="16">
        <f t="shared" si="8"/>
        <v>0</v>
      </c>
      <c r="W112" s="15">
        <f t="shared" si="8"/>
        <v>0</v>
      </c>
      <c r="X112" s="15">
        <f t="shared" si="8"/>
        <v>0</v>
      </c>
      <c r="Y112" s="15">
        <f t="shared" si="8"/>
        <v>0</v>
      </c>
      <c r="Z112" s="14">
        <f t="shared" si="8"/>
        <v>0</v>
      </c>
      <c r="AA112" s="15">
        <f t="shared" si="8"/>
        <v>0</v>
      </c>
      <c r="AB112" s="16">
        <f t="shared" si="8"/>
        <v>0</v>
      </c>
      <c r="AC112" s="16">
        <f t="shared" si="8"/>
        <v>0</v>
      </c>
    </row>
    <row r="113" spans="1:29" x14ac:dyDescent="0.3">
      <c r="A113" s="17" t="s">
        <v>46</v>
      </c>
      <c r="B113" s="72">
        <v>1992</v>
      </c>
      <c r="C113" s="73">
        <f t="shared" ref="C113:AC113" si="9">C18-C63</f>
        <v>0</v>
      </c>
      <c r="D113" s="14">
        <f t="shared" si="9"/>
        <v>0</v>
      </c>
      <c r="E113" s="16">
        <f t="shared" si="9"/>
        <v>0</v>
      </c>
      <c r="F113" s="15">
        <f t="shared" si="9"/>
        <v>0</v>
      </c>
      <c r="G113" s="15">
        <f t="shared" si="9"/>
        <v>0</v>
      </c>
      <c r="H113" s="14">
        <f t="shared" si="9"/>
        <v>0</v>
      </c>
      <c r="I113" s="16">
        <f t="shared" si="9"/>
        <v>0</v>
      </c>
      <c r="J113" s="15">
        <f t="shared" si="9"/>
        <v>0</v>
      </c>
      <c r="K113" s="15">
        <f t="shared" si="9"/>
        <v>0</v>
      </c>
      <c r="L113" s="15">
        <f t="shared" si="9"/>
        <v>0</v>
      </c>
      <c r="M113" s="15">
        <f t="shared" si="9"/>
        <v>0</v>
      </c>
      <c r="N113" s="15">
        <f t="shared" si="9"/>
        <v>0</v>
      </c>
      <c r="O113" s="14">
        <f t="shared" si="9"/>
        <v>0</v>
      </c>
      <c r="P113" s="16">
        <f t="shared" si="9"/>
        <v>0</v>
      </c>
      <c r="Q113" s="15">
        <f t="shared" si="9"/>
        <v>0</v>
      </c>
      <c r="R113" s="15">
        <f t="shared" si="9"/>
        <v>0</v>
      </c>
      <c r="S113" s="15">
        <f t="shared" si="9"/>
        <v>0</v>
      </c>
      <c r="T113" s="15">
        <f t="shared" si="9"/>
        <v>0</v>
      </c>
      <c r="U113" s="14">
        <f t="shared" si="9"/>
        <v>0</v>
      </c>
      <c r="V113" s="16">
        <f t="shared" si="9"/>
        <v>0</v>
      </c>
      <c r="W113" s="15">
        <f t="shared" si="9"/>
        <v>0</v>
      </c>
      <c r="X113" s="15">
        <f t="shared" si="9"/>
        <v>0</v>
      </c>
      <c r="Y113" s="15">
        <f t="shared" si="9"/>
        <v>0</v>
      </c>
      <c r="Z113" s="14">
        <f t="shared" si="9"/>
        <v>0</v>
      </c>
      <c r="AA113" s="15">
        <f t="shared" si="9"/>
        <v>0</v>
      </c>
      <c r="AB113" s="16">
        <f t="shared" si="9"/>
        <v>0</v>
      </c>
      <c r="AC113" s="16">
        <f t="shared" si="9"/>
        <v>0</v>
      </c>
    </row>
    <row r="114" spans="1:29" x14ac:dyDescent="0.3">
      <c r="A114" s="17" t="s">
        <v>46</v>
      </c>
      <c r="B114" s="72">
        <v>1993</v>
      </c>
      <c r="C114" s="73">
        <f t="shared" ref="C114:AC114" si="10">C19-C64</f>
        <v>0</v>
      </c>
      <c r="D114" s="14">
        <f t="shared" si="10"/>
        <v>0</v>
      </c>
      <c r="E114" s="16">
        <f t="shared" si="10"/>
        <v>0</v>
      </c>
      <c r="F114" s="15">
        <f t="shared" si="10"/>
        <v>0</v>
      </c>
      <c r="G114" s="15">
        <f t="shared" si="10"/>
        <v>0</v>
      </c>
      <c r="H114" s="14">
        <f t="shared" si="10"/>
        <v>0</v>
      </c>
      <c r="I114" s="16">
        <f t="shared" si="10"/>
        <v>0</v>
      </c>
      <c r="J114" s="15">
        <f t="shared" si="10"/>
        <v>0</v>
      </c>
      <c r="K114" s="15">
        <f t="shared" si="10"/>
        <v>0</v>
      </c>
      <c r="L114" s="15">
        <f t="shared" si="10"/>
        <v>0</v>
      </c>
      <c r="M114" s="15">
        <f t="shared" si="10"/>
        <v>0</v>
      </c>
      <c r="N114" s="15">
        <f t="shared" si="10"/>
        <v>0</v>
      </c>
      <c r="O114" s="14">
        <f t="shared" si="10"/>
        <v>0</v>
      </c>
      <c r="P114" s="16">
        <f t="shared" si="10"/>
        <v>0</v>
      </c>
      <c r="Q114" s="15">
        <f t="shared" si="10"/>
        <v>0</v>
      </c>
      <c r="R114" s="15">
        <f t="shared" si="10"/>
        <v>0</v>
      </c>
      <c r="S114" s="15">
        <f t="shared" si="10"/>
        <v>0</v>
      </c>
      <c r="T114" s="15">
        <f t="shared" si="10"/>
        <v>0</v>
      </c>
      <c r="U114" s="14">
        <f t="shared" si="10"/>
        <v>0</v>
      </c>
      <c r="V114" s="16">
        <f t="shared" si="10"/>
        <v>0</v>
      </c>
      <c r="W114" s="15">
        <f t="shared" si="10"/>
        <v>0</v>
      </c>
      <c r="X114" s="15">
        <f t="shared" si="10"/>
        <v>0</v>
      </c>
      <c r="Y114" s="15">
        <f t="shared" si="10"/>
        <v>0</v>
      </c>
      <c r="Z114" s="14">
        <f t="shared" si="10"/>
        <v>0</v>
      </c>
      <c r="AA114" s="15">
        <f t="shared" si="10"/>
        <v>0</v>
      </c>
      <c r="AB114" s="16">
        <f t="shared" si="10"/>
        <v>0</v>
      </c>
      <c r="AC114" s="16">
        <f t="shared" si="10"/>
        <v>0</v>
      </c>
    </row>
    <row r="115" spans="1:29" x14ac:dyDescent="0.3">
      <c r="A115" s="17" t="s">
        <v>46</v>
      </c>
      <c r="B115" s="72">
        <v>1994</v>
      </c>
      <c r="C115" s="73">
        <f t="shared" ref="C115:AC115" si="11">C20-C65</f>
        <v>0</v>
      </c>
      <c r="D115" s="14">
        <f t="shared" si="11"/>
        <v>0</v>
      </c>
      <c r="E115" s="16">
        <f t="shared" si="11"/>
        <v>0</v>
      </c>
      <c r="F115" s="15">
        <f t="shared" si="11"/>
        <v>0</v>
      </c>
      <c r="G115" s="15">
        <f t="shared" si="11"/>
        <v>0</v>
      </c>
      <c r="H115" s="14">
        <f t="shared" si="11"/>
        <v>0</v>
      </c>
      <c r="I115" s="16">
        <f t="shared" si="11"/>
        <v>0</v>
      </c>
      <c r="J115" s="15">
        <f t="shared" si="11"/>
        <v>0</v>
      </c>
      <c r="K115" s="15">
        <f t="shared" si="11"/>
        <v>0</v>
      </c>
      <c r="L115" s="15">
        <f t="shared" si="11"/>
        <v>0</v>
      </c>
      <c r="M115" s="15">
        <f t="shared" si="11"/>
        <v>0</v>
      </c>
      <c r="N115" s="15">
        <f t="shared" si="11"/>
        <v>0</v>
      </c>
      <c r="O115" s="14">
        <f t="shared" si="11"/>
        <v>0</v>
      </c>
      <c r="P115" s="16">
        <f t="shared" si="11"/>
        <v>0</v>
      </c>
      <c r="Q115" s="15">
        <f t="shared" si="11"/>
        <v>0</v>
      </c>
      <c r="R115" s="15">
        <f t="shared" si="11"/>
        <v>0</v>
      </c>
      <c r="S115" s="15">
        <f t="shared" si="11"/>
        <v>0</v>
      </c>
      <c r="T115" s="15">
        <f t="shared" si="11"/>
        <v>0</v>
      </c>
      <c r="U115" s="14">
        <f t="shared" si="11"/>
        <v>0</v>
      </c>
      <c r="V115" s="16">
        <f t="shared" si="11"/>
        <v>0</v>
      </c>
      <c r="W115" s="15">
        <f t="shared" si="11"/>
        <v>0</v>
      </c>
      <c r="X115" s="15">
        <f t="shared" si="11"/>
        <v>0</v>
      </c>
      <c r="Y115" s="15">
        <f t="shared" si="11"/>
        <v>0</v>
      </c>
      <c r="Z115" s="14">
        <f t="shared" si="11"/>
        <v>0</v>
      </c>
      <c r="AA115" s="15">
        <f t="shared" si="11"/>
        <v>0</v>
      </c>
      <c r="AB115" s="16">
        <f t="shared" si="11"/>
        <v>0</v>
      </c>
      <c r="AC115" s="16">
        <f t="shared" si="11"/>
        <v>0</v>
      </c>
    </row>
    <row r="116" spans="1:29" x14ac:dyDescent="0.3">
      <c r="A116" s="17" t="s">
        <v>46</v>
      </c>
      <c r="B116" s="72">
        <v>1995</v>
      </c>
      <c r="C116" s="73">
        <f t="shared" ref="C116:AC116" si="12">C21-C66</f>
        <v>0</v>
      </c>
      <c r="D116" s="14">
        <f t="shared" si="12"/>
        <v>0</v>
      </c>
      <c r="E116" s="16">
        <f t="shared" si="12"/>
        <v>0</v>
      </c>
      <c r="F116" s="15">
        <f t="shared" si="12"/>
        <v>0</v>
      </c>
      <c r="G116" s="15">
        <f t="shared" si="12"/>
        <v>0</v>
      </c>
      <c r="H116" s="14">
        <f t="shared" si="12"/>
        <v>0</v>
      </c>
      <c r="I116" s="16">
        <f t="shared" si="12"/>
        <v>0</v>
      </c>
      <c r="J116" s="15">
        <f t="shared" si="12"/>
        <v>0</v>
      </c>
      <c r="K116" s="15">
        <f t="shared" si="12"/>
        <v>0</v>
      </c>
      <c r="L116" s="15">
        <f t="shared" si="12"/>
        <v>0</v>
      </c>
      <c r="M116" s="15">
        <f t="shared" si="12"/>
        <v>0</v>
      </c>
      <c r="N116" s="15">
        <f t="shared" si="12"/>
        <v>0</v>
      </c>
      <c r="O116" s="14">
        <f t="shared" si="12"/>
        <v>0</v>
      </c>
      <c r="P116" s="16">
        <f t="shared" si="12"/>
        <v>0</v>
      </c>
      <c r="Q116" s="15">
        <f t="shared" si="12"/>
        <v>0</v>
      </c>
      <c r="R116" s="15">
        <f t="shared" si="12"/>
        <v>0</v>
      </c>
      <c r="S116" s="15">
        <f t="shared" si="12"/>
        <v>0</v>
      </c>
      <c r="T116" s="15">
        <f t="shared" si="12"/>
        <v>0</v>
      </c>
      <c r="U116" s="14">
        <f t="shared" si="12"/>
        <v>0</v>
      </c>
      <c r="V116" s="16">
        <f t="shared" si="12"/>
        <v>0</v>
      </c>
      <c r="W116" s="15">
        <f t="shared" si="12"/>
        <v>0</v>
      </c>
      <c r="X116" s="15">
        <f t="shared" si="12"/>
        <v>0</v>
      </c>
      <c r="Y116" s="15">
        <f t="shared" si="12"/>
        <v>0</v>
      </c>
      <c r="Z116" s="14">
        <f t="shared" si="12"/>
        <v>0</v>
      </c>
      <c r="AA116" s="15">
        <f t="shared" si="12"/>
        <v>0</v>
      </c>
      <c r="AB116" s="16">
        <f t="shared" si="12"/>
        <v>0</v>
      </c>
      <c r="AC116" s="16">
        <f t="shared" si="12"/>
        <v>0</v>
      </c>
    </row>
    <row r="117" spans="1:29" x14ac:dyDescent="0.3">
      <c r="A117" s="17" t="s">
        <v>46</v>
      </c>
      <c r="B117" s="72">
        <v>1996</v>
      </c>
      <c r="C117" s="73">
        <f t="shared" ref="C117:AC117" si="13">C22-C67</f>
        <v>0</v>
      </c>
      <c r="D117" s="14">
        <f t="shared" si="13"/>
        <v>0</v>
      </c>
      <c r="E117" s="16">
        <f t="shared" si="13"/>
        <v>0</v>
      </c>
      <c r="F117" s="15">
        <f t="shared" si="13"/>
        <v>0</v>
      </c>
      <c r="G117" s="15">
        <f t="shared" si="13"/>
        <v>0</v>
      </c>
      <c r="H117" s="14">
        <f t="shared" si="13"/>
        <v>0</v>
      </c>
      <c r="I117" s="16">
        <f t="shared" si="13"/>
        <v>0</v>
      </c>
      <c r="J117" s="15">
        <f t="shared" si="13"/>
        <v>0</v>
      </c>
      <c r="K117" s="15">
        <f t="shared" si="13"/>
        <v>0</v>
      </c>
      <c r="L117" s="15">
        <f t="shared" si="13"/>
        <v>0</v>
      </c>
      <c r="M117" s="15">
        <f t="shared" si="13"/>
        <v>0</v>
      </c>
      <c r="N117" s="15">
        <f t="shared" si="13"/>
        <v>0</v>
      </c>
      <c r="O117" s="14">
        <f t="shared" si="13"/>
        <v>0</v>
      </c>
      <c r="P117" s="16">
        <f t="shared" si="13"/>
        <v>0</v>
      </c>
      <c r="Q117" s="15">
        <f t="shared" si="13"/>
        <v>0</v>
      </c>
      <c r="R117" s="15">
        <f t="shared" si="13"/>
        <v>0</v>
      </c>
      <c r="S117" s="15">
        <f t="shared" si="13"/>
        <v>0</v>
      </c>
      <c r="T117" s="15">
        <f t="shared" si="13"/>
        <v>0</v>
      </c>
      <c r="U117" s="14">
        <f t="shared" si="13"/>
        <v>0</v>
      </c>
      <c r="V117" s="16">
        <f t="shared" si="13"/>
        <v>0</v>
      </c>
      <c r="W117" s="15">
        <f t="shared" si="13"/>
        <v>0</v>
      </c>
      <c r="X117" s="15">
        <f t="shared" si="13"/>
        <v>0</v>
      </c>
      <c r="Y117" s="15">
        <f t="shared" si="13"/>
        <v>0</v>
      </c>
      <c r="Z117" s="14">
        <f t="shared" si="13"/>
        <v>0</v>
      </c>
      <c r="AA117" s="15">
        <f t="shared" si="13"/>
        <v>0</v>
      </c>
      <c r="AB117" s="16">
        <f t="shared" si="13"/>
        <v>0</v>
      </c>
      <c r="AC117" s="16">
        <f t="shared" si="13"/>
        <v>0</v>
      </c>
    </row>
    <row r="118" spans="1:29" x14ac:dyDescent="0.3">
      <c r="A118" s="17" t="s">
        <v>46</v>
      </c>
      <c r="B118" s="72">
        <v>1997</v>
      </c>
      <c r="C118" s="73">
        <f t="shared" ref="C118:AC118" si="14">C23-C68</f>
        <v>0</v>
      </c>
      <c r="D118" s="14">
        <f t="shared" si="14"/>
        <v>0</v>
      </c>
      <c r="E118" s="16">
        <f t="shared" si="14"/>
        <v>0</v>
      </c>
      <c r="F118" s="15">
        <f t="shared" si="14"/>
        <v>0</v>
      </c>
      <c r="G118" s="15">
        <f t="shared" si="14"/>
        <v>0</v>
      </c>
      <c r="H118" s="14">
        <f t="shared" si="14"/>
        <v>0</v>
      </c>
      <c r="I118" s="16">
        <f t="shared" si="14"/>
        <v>0</v>
      </c>
      <c r="J118" s="15">
        <f t="shared" si="14"/>
        <v>0</v>
      </c>
      <c r="K118" s="15">
        <f t="shared" si="14"/>
        <v>0</v>
      </c>
      <c r="L118" s="15">
        <f t="shared" si="14"/>
        <v>0</v>
      </c>
      <c r="M118" s="15">
        <f t="shared" si="14"/>
        <v>0</v>
      </c>
      <c r="N118" s="15">
        <f t="shared" si="14"/>
        <v>0</v>
      </c>
      <c r="O118" s="14">
        <f t="shared" si="14"/>
        <v>0</v>
      </c>
      <c r="P118" s="16">
        <f t="shared" si="14"/>
        <v>0</v>
      </c>
      <c r="Q118" s="15">
        <f t="shared" si="14"/>
        <v>0</v>
      </c>
      <c r="R118" s="15">
        <f t="shared" si="14"/>
        <v>0</v>
      </c>
      <c r="S118" s="15">
        <f t="shared" si="14"/>
        <v>0</v>
      </c>
      <c r="T118" s="15">
        <f t="shared" si="14"/>
        <v>0</v>
      </c>
      <c r="U118" s="14">
        <f t="shared" si="14"/>
        <v>0</v>
      </c>
      <c r="V118" s="16">
        <f t="shared" si="14"/>
        <v>0</v>
      </c>
      <c r="W118" s="15">
        <f t="shared" si="14"/>
        <v>0</v>
      </c>
      <c r="X118" s="15">
        <f t="shared" si="14"/>
        <v>0</v>
      </c>
      <c r="Y118" s="15">
        <f t="shared" si="14"/>
        <v>0</v>
      </c>
      <c r="Z118" s="14">
        <f t="shared" si="14"/>
        <v>0</v>
      </c>
      <c r="AA118" s="15">
        <f t="shared" si="14"/>
        <v>0</v>
      </c>
      <c r="AB118" s="16">
        <f t="shared" si="14"/>
        <v>0</v>
      </c>
      <c r="AC118" s="16">
        <f t="shared" si="14"/>
        <v>0</v>
      </c>
    </row>
    <row r="119" spans="1:29" x14ac:dyDescent="0.3">
      <c r="A119" s="17" t="s">
        <v>46</v>
      </c>
      <c r="B119" s="72">
        <v>1998</v>
      </c>
      <c r="C119" s="73">
        <f t="shared" ref="C119:AC119" si="15">C24-C69</f>
        <v>0</v>
      </c>
      <c r="D119" s="14">
        <f t="shared" si="15"/>
        <v>0</v>
      </c>
      <c r="E119" s="16">
        <f t="shared" si="15"/>
        <v>0</v>
      </c>
      <c r="F119" s="15">
        <f t="shared" si="15"/>
        <v>0</v>
      </c>
      <c r="G119" s="15">
        <f t="shared" si="15"/>
        <v>0</v>
      </c>
      <c r="H119" s="14">
        <f t="shared" si="15"/>
        <v>0</v>
      </c>
      <c r="I119" s="16">
        <f t="shared" si="15"/>
        <v>0</v>
      </c>
      <c r="J119" s="15">
        <f t="shared" si="15"/>
        <v>0</v>
      </c>
      <c r="K119" s="15">
        <f t="shared" si="15"/>
        <v>0</v>
      </c>
      <c r="L119" s="15">
        <f t="shared" si="15"/>
        <v>0</v>
      </c>
      <c r="M119" s="15">
        <f t="shared" si="15"/>
        <v>0</v>
      </c>
      <c r="N119" s="15">
        <f t="shared" si="15"/>
        <v>0</v>
      </c>
      <c r="O119" s="14">
        <f t="shared" si="15"/>
        <v>0</v>
      </c>
      <c r="P119" s="16">
        <f t="shared" si="15"/>
        <v>0</v>
      </c>
      <c r="Q119" s="15">
        <f t="shared" si="15"/>
        <v>0</v>
      </c>
      <c r="R119" s="15">
        <f t="shared" si="15"/>
        <v>0</v>
      </c>
      <c r="S119" s="15">
        <f t="shared" si="15"/>
        <v>0</v>
      </c>
      <c r="T119" s="15">
        <f t="shared" si="15"/>
        <v>0</v>
      </c>
      <c r="U119" s="14">
        <f t="shared" si="15"/>
        <v>0</v>
      </c>
      <c r="V119" s="16">
        <f t="shared" si="15"/>
        <v>0</v>
      </c>
      <c r="W119" s="15">
        <f t="shared" si="15"/>
        <v>0</v>
      </c>
      <c r="X119" s="15">
        <f t="shared" si="15"/>
        <v>0</v>
      </c>
      <c r="Y119" s="15">
        <f t="shared" si="15"/>
        <v>0</v>
      </c>
      <c r="Z119" s="14">
        <f t="shared" si="15"/>
        <v>0</v>
      </c>
      <c r="AA119" s="15">
        <f t="shared" si="15"/>
        <v>0</v>
      </c>
      <c r="AB119" s="16">
        <f t="shared" si="15"/>
        <v>0</v>
      </c>
      <c r="AC119" s="16">
        <f t="shared" si="15"/>
        <v>0</v>
      </c>
    </row>
    <row r="120" spans="1:29" x14ac:dyDescent="0.3">
      <c r="A120" s="17" t="s">
        <v>46</v>
      </c>
      <c r="B120" s="72">
        <v>1999</v>
      </c>
      <c r="C120" s="73">
        <f t="shared" ref="C120:AC120" si="16">C25-C70</f>
        <v>0</v>
      </c>
      <c r="D120" s="14">
        <f t="shared" si="16"/>
        <v>0</v>
      </c>
      <c r="E120" s="16">
        <f t="shared" si="16"/>
        <v>0</v>
      </c>
      <c r="F120" s="15">
        <f t="shared" si="16"/>
        <v>0</v>
      </c>
      <c r="G120" s="15">
        <f t="shared" si="16"/>
        <v>0</v>
      </c>
      <c r="H120" s="14">
        <f t="shared" si="16"/>
        <v>0</v>
      </c>
      <c r="I120" s="16">
        <f t="shared" si="16"/>
        <v>0</v>
      </c>
      <c r="J120" s="15">
        <f t="shared" si="16"/>
        <v>0</v>
      </c>
      <c r="K120" s="15">
        <f t="shared" si="16"/>
        <v>0</v>
      </c>
      <c r="L120" s="15">
        <f t="shared" si="16"/>
        <v>0</v>
      </c>
      <c r="M120" s="15">
        <f t="shared" si="16"/>
        <v>0</v>
      </c>
      <c r="N120" s="15">
        <f t="shared" si="16"/>
        <v>0</v>
      </c>
      <c r="O120" s="14">
        <f t="shared" si="16"/>
        <v>0</v>
      </c>
      <c r="P120" s="16">
        <f t="shared" si="16"/>
        <v>0</v>
      </c>
      <c r="Q120" s="15">
        <f t="shared" si="16"/>
        <v>0</v>
      </c>
      <c r="R120" s="15">
        <f t="shared" si="16"/>
        <v>0</v>
      </c>
      <c r="S120" s="15">
        <f t="shared" si="16"/>
        <v>0</v>
      </c>
      <c r="T120" s="15">
        <f t="shared" si="16"/>
        <v>0</v>
      </c>
      <c r="U120" s="14">
        <f t="shared" si="16"/>
        <v>0</v>
      </c>
      <c r="V120" s="16">
        <f t="shared" si="16"/>
        <v>0</v>
      </c>
      <c r="W120" s="15">
        <f t="shared" si="16"/>
        <v>0</v>
      </c>
      <c r="X120" s="15">
        <f t="shared" si="16"/>
        <v>0</v>
      </c>
      <c r="Y120" s="15">
        <f t="shared" si="16"/>
        <v>0</v>
      </c>
      <c r="Z120" s="14">
        <f t="shared" si="16"/>
        <v>0</v>
      </c>
      <c r="AA120" s="15">
        <f t="shared" si="16"/>
        <v>0</v>
      </c>
      <c r="AB120" s="16">
        <f t="shared" si="16"/>
        <v>0</v>
      </c>
      <c r="AC120" s="16">
        <f t="shared" si="16"/>
        <v>0</v>
      </c>
    </row>
    <row r="121" spans="1:29" x14ac:dyDescent="0.3">
      <c r="A121" s="17" t="s">
        <v>46</v>
      </c>
      <c r="B121" s="72">
        <v>2000</v>
      </c>
      <c r="C121" s="73">
        <f t="shared" ref="C121:AC121" si="17">C26-C71</f>
        <v>0</v>
      </c>
      <c r="D121" s="14">
        <f t="shared" si="17"/>
        <v>0</v>
      </c>
      <c r="E121" s="16">
        <f t="shared" si="17"/>
        <v>0</v>
      </c>
      <c r="F121" s="15">
        <f t="shared" si="17"/>
        <v>0</v>
      </c>
      <c r="G121" s="15">
        <f t="shared" si="17"/>
        <v>0</v>
      </c>
      <c r="H121" s="14">
        <f t="shared" si="17"/>
        <v>0</v>
      </c>
      <c r="I121" s="16">
        <f t="shared" si="17"/>
        <v>0</v>
      </c>
      <c r="J121" s="15">
        <f t="shared" si="17"/>
        <v>0</v>
      </c>
      <c r="K121" s="15">
        <f t="shared" si="17"/>
        <v>0</v>
      </c>
      <c r="L121" s="15">
        <f t="shared" si="17"/>
        <v>0</v>
      </c>
      <c r="M121" s="15">
        <f t="shared" si="17"/>
        <v>0</v>
      </c>
      <c r="N121" s="15">
        <f t="shared" si="17"/>
        <v>0</v>
      </c>
      <c r="O121" s="14">
        <f t="shared" si="17"/>
        <v>0</v>
      </c>
      <c r="P121" s="16">
        <f t="shared" si="17"/>
        <v>0</v>
      </c>
      <c r="Q121" s="15">
        <f t="shared" si="17"/>
        <v>0</v>
      </c>
      <c r="R121" s="15">
        <f t="shared" si="17"/>
        <v>0</v>
      </c>
      <c r="S121" s="15">
        <f t="shared" si="17"/>
        <v>0</v>
      </c>
      <c r="T121" s="15">
        <f t="shared" si="17"/>
        <v>0</v>
      </c>
      <c r="U121" s="14">
        <f t="shared" si="17"/>
        <v>0</v>
      </c>
      <c r="V121" s="16">
        <f t="shared" si="17"/>
        <v>0</v>
      </c>
      <c r="W121" s="15">
        <f t="shared" si="17"/>
        <v>0</v>
      </c>
      <c r="X121" s="15">
        <f t="shared" si="17"/>
        <v>0</v>
      </c>
      <c r="Y121" s="15">
        <f t="shared" si="17"/>
        <v>0</v>
      </c>
      <c r="Z121" s="14">
        <f t="shared" si="17"/>
        <v>0</v>
      </c>
      <c r="AA121" s="15">
        <f t="shared" si="17"/>
        <v>0</v>
      </c>
      <c r="AB121" s="16">
        <f t="shared" si="17"/>
        <v>0</v>
      </c>
      <c r="AC121" s="16">
        <f t="shared" si="17"/>
        <v>0</v>
      </c>
    </row>
    <row r="122" spans="1:29" x14ac:dyDescent="0.3">
      <c r="A122" s="17" t="s">
        <v>46</v>
      </c>
      <c r="B122" s="72">
        <v>2001</v>
      </c>
      <c r="C122" s="73">
        <f t="shared" ref="C122:AC122" si="18">C27-C72</f>
        <v>0</v>
      </c>
      <c r="D122" s="14">
        <f t="shared" si="18"/>
        <v>0</v>
      </c>
      <c r="E122" s="16">
        <f t="shared" si="18"/>
        <v>0</v>
      </c>
      <c r="F122" s="15">
        <f t="shared" si="18"/>
        <v>0</v>
      </c>
      <c r="G122" s="15">
        <f t="shared" si="18"/>
        <v>0</v>
      </c>
      <c r="H122" s="14">
        <f t="shared" si="18"/>
        <v>0</v>
      </c>
      <c r="I122" s="16">
        <f t="shared" si="18"/>
        <v>0</v>
      </c>
      <c r="J122" s="15">
        <f t="shared" si="18"/>
        <v>0</v>
      </c>
      <c r="K122" s="15">
        <f t="shared" si="18"/>
        <v>0</v>
      </c>
      <c r="L122" s="15">
        <f t="shared" si="18"/>
        <v>0</v>
      </c>
      <c r="M122" s="15">
        <f t="shared" si="18"/>
        <v>0</v>
      </c>
      <c r="N122" s="15">
        <f t="shared" si="18"/>
        <v>0</v>
      </c>
      <c r="O122" s="14">
        <f t="shared" si="18"/>
        <v>0</v>
      </c>
      <c r="P122" s="16">
        <f t="shared" si="18"/>
        <v>0</v>
      </c>
      <c r="Q122" s="15">
        <f t="shared" si="18"/>
        <v>0</v>
      </c>
      <c r="R122" s="15">
        <f t="shared" si="18"/>
        <v>0</v>
      </c>
      <c r="S122" s="15">
        <f t="shared" si="18"/>
        <v>0</v>
      </c>
      <c r="T122" s="15">
        <f t="shared" si="18"/>
        <v>0</v>
      </c>
      <c r="U122" s="14">
        <f t="shared" si="18"/>
        <v>0</v>
      </c>
      <c r="V122" s="16">
        <f t="shared" si="18"/>
        <v>0</v>
      </c>
      <c r="W122" s="15">
        <f t="shared" si="18"/>
        <v>0</v>
      </c>
      <c r="X122" s="15">
        <f t="shared" si="18"/>
        <v>0</v>
      </c>
      <c r="Y122" s="15">
        <f t="shared" si="18"/>
        <v>0</v>
      </c>
      <c r="Z122" s="14">
        <f t="shared" si="18"/>
        <v>0</v>
      </c>
      <c r="AA122" s="15">
        <f t="shared" si="18"/>
        <v>0</v>
      </c>
      <c r="AB122" s="16">
        <f t="shared" si="18"/>
        <v>0</v>
      </c>
      <c r="AC122" s="16">
        <f t="shared" si="18"/>
        <v>0</v>
      </c>
    </row>
    <row r="123" spans="1:29" x14ac:dyDescent="0.3">
      <c r="A123" s="17" t="s">
        <v>46</v>
      </c>
      <c r="B123" s="72">
        <v>2002</v>
      </c>
      <c r="C123" s="73">
        <f t="shared" ref="C123:AC123" si="19">C28-C73</f>
        <v>0</v>
      </c>
      <c r="D123" s="14">
        <f t="shared" si="19"/>
        <v>0</v>
      </c>
      <c r="E123" s="16">
        <f t="shared" si="19"/>
        <v>0</v>
      </c>
      <c r="F123" s="15">
        <f t="shared" si="19"/>
        <v>0</v>
      </c>
      <c r="G123" s="15">
        <f t="shared" si="19"/>
        <v>0</v>
      </c>
      <c r="H123" s="14">
        <f t="shared" si="19"/>
        <v>0</v>
      </c>
      <c r="I123" s="16">
        <f t="shared" si="19"/>
        <v>0</v>
      </c>
      <c r="J123" s="15">
        <f t="shared" si="19"/>
        <v>0</v>
      </c>
      <c r="K123" s="15">
        <f t="shared" si="19"/>
        <v>0</v>
      </c>
      <c r="L123" s="15">
        <f t="shared" si="19"/>
        <v>0</v>
      </c>
      <c r="M123" s="15">
        <f t="shared" si="19"/>
        <v>0</v>
      </c>
      <c r="N123" s="15">
        <f t="shared" si="19"/>
        <v>0</v>
      </c>
      <c r="O123" s="14">
        <f t="shared" si="19"/>
        <v>0</v>
      </c>
      <c r="P123" s="16">
        <f t="shared" si="19"/>
        <v>0</v>
      </c>
      <c r="Q123" s="15">
        <f t="shared" si="19"/>
        <v>0</v>
      </c>
      <c r="R123" s="15">
        <f t="shared" si="19"/>
        <v>0</v>
      </c>
      <c r="S123" s="15">
        <f t="shared" si="19"/>
        <v>0</v>
      </c>
      <c r="T123" s="15">
        <f t="shared" si="19"/>
        <v>0</v>
      </c>
      <c r="U123" s="14">
        <f t="shared" si="19"/>
        <v>0</v>
      </c>
      <c r="V123" s="16">
        <f t="shared" si="19"/>
        <v>0</v>
      </c>
      <c r="W123" s="15">
        <f t="shared" si="19"/>
        <v>0</v>
      </c>
      <c r="X123" s="15">
        <f t="shared" si="19"/>
        <v>0</v>
      </c>
      <c r="Y123" s="15">
        <f t="shared" si="19"/>
        <v>0</v>
      </c>
      <c r="Z123" s="14">
        <f t="shared" si="19"/>
        <v>0</v>
      </c>
      <c r="AA123" s="15">
        <f t="shared" si="19"/>
        <v>0</v>
      </c>
      <c r="AB123" s="16">
        <f t="shared" si="19"/>
        <v>0</v>
      </c>
      <c r="AC123" s="16">
        <f t="shared" si="19"/>
        <v>0</v>
      </c>
    </row>
    <row r="124" spans="1:29" x14ac:dyDescent="0.3">
      <c r="A124" s="17" t="s">
        <v>46</v>
      </c>
      <c r="B124" s="72">
        <v>2003</v>
      </c>
      <c r="C124" s="73">
        <f t="shared" ref="C124:AC124" si="20">C29-C74</f>
        <v>0</v>
      </c>
      <c r="D124" s="14">
        <f t="shared" si="20"/>
        <v>0</v>
      </c>
      <c r="E124" s="16">
        <f t="shared" si="20"/>
        <v>0</v>
      </c>
      <c r="F124" s="15">
        <f t="shared" si="20"/>
        <v>0</v>
      </c>
      <c r="G124" s="15">
        <f t="shared" si="20"/>
        <v>0</v>
      </c>
      <c r="H124" s="14">
        <f t="shared" si="20"/>
        <v>0</v>
      </c>
      <c r="I124" s="16">
        <f t="shared" si="20"/>
        <v>0</v>
      </c>
      <c r="J124" s="15">
        <f t="shared" si="20"/>
        <v>0</v>
      </c>
      <c r="K124" s="15">
        <f t="shared" si="20"/>
        <v>0</v>
      </c>
      <c r="L124" s="15">
        <f t="shared" si="20"/>
        <v>0</v>
      </c>
      <c r="M124" s="15">
        <f t="shared" si="20"/>
        <v>0</v>
      </c>
      <c r="N124" s="15">
        <f t="shared" si="20"/>
        <v>0</v>
      </c>
      <c r="O124" s="14">
        <f t="shared" si="20"/>
        <v>0</v>
      </c>
      <c r="P124" s="16">
        <f t="shared" si="20"/>
        <v>0</v>
      </c>
      <c r="Q124" s="15">
        <f t="shared" si="20"/>
        <v>0</v>
      </c>
      <c r="R124" s="15">
        <f t="shared" si="20"/>
        <v>0</v>
      </c>
      <c r="S124" s="15">
        <f t="shared" si="20"/>
        <v>0</v>
      </c>
      <c r="T124" s="15">
        <f t="shared" si="20"/>
        <v>0</v>
      </c>
      <c r="U124" s="14">
        <f t="shared" si="20"/>
        <v>0</v>
      </c>
      <c r="V124" s="16">
        <f t="shared" si="20"/>
        <v>0</v>
      </c>
      <c r="W124" s="15">
        <f t="shared" si="20"/>
        <v>0</v>
      </c>
      <c r="X124" s="15">
        <f t="shared" si="20"/>
        <v>0</v>
      </c>
      <c r="Y124" s="15">
        <f t="shared" si="20"/>
        <v>0</v>
      </c>
      <c r="Z124" s="14">
        <f t="shared" si="20"/>
        <v>0</v>
      </c>
      <c r="AA124" s="15">
        <f t="shared" si="20"/>
        <v>0</v>
      </c>
      <c r="AB124" s="16">
        <f t="shared" si="20"/>
        <v>0</v>
      </c>
      <c r="AC124" s="16">
        <f t="shared" si="20"/>
        <v>0</v>
      </c>
    </row>
    <row r="125" spans="1:29" x14ac:dyDescent="0.3">
      <c r="A125" s="17" t="s">
        <v>46</v>
      </c>
      <c r="B125" s="72">
        <v>2004</v>
      </c>
      <c r="C125" s="73">
        <f t="shared" ref="C125:AC125" si="21">C30-C75</f>
        <v>0</v>
      </c>
      <c r="D125" s="14">
        <f t="shared" si="21"/>
        <v>0</v>
      </c>
      <c r="E125" s="16">
        <f t="shared" si="21"/>
        <v>0</v>
      </c>
      <c r="F125" s="15">
        <f t="shared" si="21"/>
        <v>0</v>
      </c>
      <c r="G125" s="15">
        <f t="shared" si="21"/>
        <v>0</v>
      </c>
      <c r="H125" s="14">
        <f t="shared" si="21"/>
        <v>0</v>
      </c>
      <c r="I125" s="16">
        <f t="shared" si="21"/>
        <v>0</v>
      </c>
      <c r="J125" s="15">
        <f t="shared" si="21"/>
        <v>0</v>
      </c>
      <c r="K125" s="15">
        <f t="shared" si="21"/>
        <v>0</v>
      </c>
      <c r="L125" s="15">
        <f t="shared" si="21"/>
        <v>0</v>
      </c>
      <c r="M125" s="15">
        <f t="shared" si="21"/>
        <v>0</v>
      </c>
      <c r="N125" s="15">
        <f t="shared" si="21"/>
        <v>0</v>
      </c>
      <c r="O125" s="14">
        <f t="shared" si="21"/>
        <v>0</v>
      </c>
      <c r="P125" s="16">
        <f t="shared" si="21"/>
        <v>0</v>
      </c>
      <c r="Q125" s="15">
        <f t="shared" si="21"/>
        <v>0</v>
      </c>
      <c r="R125" s="15">
        <f t="shared" si="21"/>
        <v>0</v>
      </c>
      <c r="S125" s="15">
        <f t="shared" si="21"/>
        <v>0</v>
      </c>
      <c r="T125" s="15">
        <f t="shared" si="21"/>
        <v>0</v>
      </c>
      <c r="U125" s="14">
        <f t="shared" si="21"/>
        <v>0</v>
      </c>
      <c r="V125" s="16">
        <f t="shared" si="21"/>
        <v>0</v>
      </c>
      <c r="W125" s="15">
        <f t="shared" si="21"/>
        <v>0</v>
      </c>
      <c r="X125" s="15">
        <f t="shared" si="21"/>
        <v>0</v>
      </c>
      <c r="Y125" s="15">
        <f t="shared" si="21"/>
        <v>0</v>
      </c>
      <c r="Z125" s="14">
        <f t="shared" si="21"/>
        <v>0</v>
      </c>
      <c r="AA125" s="15">
        <f t="shared" si="21"/>
        <v>0</v>
      </c>
      <c r="AB125" s="16">
        <f t="shared" si="21"/>
        <v>0</v>
      </c>
      <c r="AC125" s="16">
        <f t="shared" si="21"/>
        <v>0</v>
      </c>
    </row>
    <row r="126" spans="1:29" x14ac:dyDescent="0.3">
      <c r="A126" s="17" t="s">
        <v>46</v>
      </c>
      <c r="B126" s="72">
        <v>2005</v>
      </c>
      <c r="C126" s="73">
        <f t="shared" ref="C126:AC126" si="22">C31-C76</f>
        <v>0.76099999999996726</v>
      </c>
      <c r="D126" s="14">
        <f t="shared" si="22"/>
        <v>-5.3244836289599237E-7</v>
      </c>
      <c r="E126" s="16">
        <f t="shared" si="22"/>
        <v>0</v>
      </c>
      <c r="F126" s="15">
        <f t="shared" si="22"/>
        <v>-2.0873592366998581E-6</v>
      </c>
      <c r="G126" s="15">
        <f t="shared" si="22"/>
        <v>0</v>
      </c>
      <c r="H126" s="14">
        <f t="shared" si="22"/>
        <v>-1.0861845569300199E-4</v>
      </c>
      <c r="I126" s="16">
        <f t="shared" si="22"/>
        <v>-9.1965047029005098E-5</v>
      </c>
      <c r="J126" s="15">
        <f t="shared" si="22"/>
        <v>-3.3925144457901124E-5</v>
      </c>
      <c r="K126" s="15">
        <f t="shared" si="22"/>
        <v>-1.2169526624500326E-5</v>
      </c>
      <c r="L126" s="15">
        <f t="shared" si="22"/>
        <v>-8.1482785615094588E-5</v>
      </c>
      <c r="M126" s="15">
        <f t="shared" si="22"/>
        <v>4.2729185646218503E-4</v>
      </c>
      <c r="N126" s="15">
        <f t="shared" si="22"/>
        <v>0</v>
      </c>
      <c r="O126" s="14">
        <f t="shared" si="22"/>
        <v>0</v>
      </c>
      <c r="P126" s="16">
        <f t="shared" si="22"/>
        <v>0</v>
      </c>
      <c r="Q126" s="15">
        <f t="shared" si="22"/>
        <v>0</v>
      </c>
      <c r="R126" s="15">
        <f t="shared" si="22"/>
        <v>0</v>
      </c>
      <c r="S126" s="15">
        <f t="shared" si="22"/>
        <v>0</v>
      </c>
      <c r="T126" s="15">
        <f t="shared" si="22"/>
        <v>0</v>
      </c>
      <c r="U126" s="14">
        <f t="shared" si="22"/>
        <v>-3.9558852389875998E-5</v>
      </c>
      <c r="V126" s="16">
        <f t="shared" si="22"/>
        <v>-1.955787217421557E-6</v>
      </c>
      <c r="W126" s="15">
        <f t="shared" si="22"/>
        <v>-4.9911729744597788E-5</v>
      </c>
      <c r="X126" s="15">
        <f t="shared" si="22"/>
        <v>-2.8491544276400271E-6</v>
      </c>
      <c r="Y126" s="15">
        <f t="shared" si="22"/>
        <v>5.6060157390079926E-4</v>
      </c>
      <c r="Z126" s="14">
        <f t="shared" si="22"/>
        <v>-5.5365316305899803E-4</v>
      </c>
      <c r="AA126" s="15">
        <f t="shared" si="22"/>
        <v>-9.1839765060993533E-6</v>
      </c>
      <c r="AB126" s="16">
        <f t="shared" si="22"/>
        <v>0</v>
      </c>
      <c r="AC126" s="16">
        <f t="shared" si="22"/>
        <v>9.704353780592978E-5</v>
      </c>
    </row>
    <row r="127" spans="1:29" x14ac:dyDescent="0.3">
      <c r="A127" s="17" t="s">
        <v>46</v>
      </c>
      <c r="B127" s="72">
        <v>2006</v>
      </c>
      <c r="C127" s="73">
        <f t="shared" ref="C127:AC127" si="23">C32-C77</f>
        <v>4.5219999999999914</v>
      </c>
      <c r="D127" s="14">
        <f t="shared" si="23"/>
        <v>-1.2118876448360093E-4</v>
      </c>
      <c r="E127" s="16">
        <f t="shared" si="23"/>
        <v>0</v>
      </c>
      <c r="F127" s="15">
        <f t="shared" si="23"/>
        <v>-7.3467281236279727E-5</v>
      </c>
      <c r="G127" s="15">
        <f t="shared" si="23"/>
        <v>0</v>
      </c>
      <c r="H127" s="14">
        <f t="shared" si="23"/>
        <v>-2.1740547136719912E-3</v>
      </c>
      <c r="I127" s="16">
        <f t="shared" si="23"/>
        <v>-1.2843460937970036E-3</v>
      </c>
      <c r="J127" s="15">
        <f t="shared" si="23"/>
        <v>-2.7818572201949998E-4</v>
      </c>
      <c r="K127" s="15">
        <f t="shared" si="23"/>
        <v>6.7278602937383801E-6</v>
      </c>
      <c r="L127" s="15">
        <f t="shared" si="23"/>
        <v>1.1993532283637601E-2</v>
      </c>
      <c r="M127" s="15">
        <f t="shared" si="23"/>
        <v>4.4852401958255904E-6</v>
      </c>
      <c r="N127" s="15">
        <f t="shared" si="23"/>
        <v>0</v>
      </c>
      <c r="O127" s="14">
        <f t="shared" si="23"/>
        <v>0</v>
      </c>
      <c r="P127" s="16">
        <f t="shared" si="23"/>
        <v>0</v>
      </c>
      <c r="Q127" s="15">
        <f t="shared" si="23"/>
        <v>0</v>
      </c>
      <c r="R127" s="15">
        <f t="shared" si="23"/>
        <v>0</v>
      </c>
      <c r="S127" s="15">
        <f t="shared" si="23"/>
        <v>0</v>
      </c>
      <c r="T127" s="15">
        <f t="shared" si="23"/>
        <v>0</v>
      </c>
      <c r="U127" s="14">
        <f t="shared" si="23"/>
        <v>-2.0707088390052185E-7</v>
      </c>
      <c r="V127" s="16">
        <f t="shared" si="23"/>
        <v>-2.2686087513577086E-8</v>
      </c>
      <c r="W127" s="15">
        <f t="shared" si="23"/>
        <v>-1.5365941743130107E-3</v>
      </c>
      <c r="X127" s="15">
        <f t="shared" si="23"/>
        <v>0</v>
      </c>
      <c r="Y127" s="15">
        <f t="shared" si="23"/>
        <v>-6.6498923010600147E-5</v>
      </c>
      <c r="Z127" s="14">
        <f t="shared" si="23"/>
        <v>-6.4701799546240113E-3</v>
      </c>
      <c r="AA127" s="15">
        <f t="shared" si="23"/>
        <v>0</v>
      </c>
      <c r="AB127" s="16">
        <f t="shared" si="23"/>
        <v>0</v>
      </c>
      <c r="AC127" s="16">
        <f t="shared" si="23"/>
        <v>8.1946915734024128E-3</v>
      </c>
    </row>
    <row r="128" spans="1:29" x14ac:dyDescent="0.3">
      <c r="A128" s="17" t="s">
        <v>46</v>
      </c>
      <c r="B128" s="72">
        <v>2007</v>
      </c>
      <c r="C128" s="73">
        <f t="shared" ref="C128:AC128" si="24">C33-C78</f>
        <v>-1.8229999999998654</v>
      </c>
      <c r="D128" s="14">
        <f t="shared" si="24"/>
        <v>-4.4247818606102688E-7</v>
      </c>
      <c r="E128" s="16">
        <f t="shared" si="24"/>
        <v>2.5879040017998166E-7</v>
      </c>
      <c r="F128" s="15">
        <f t="shared" si="24"/>
        <v>4.3131733363301365E-7</v>
      </c>
      <c r="G128" s="15">
        <f t="shared" si="24"/>
        <v>0</v>
      </c>
      <c r="H128" s="14">
        <f t="shared" si="24"/>
        <v>-8.3426567099290083E-4</v>
      </c>
      <c r="I128" s="16">
        <f t="shared" si="24"/>
        <v>-8.379373046130123E-5</v>
      </c>
      <c r="J128" s="15">
        <f t="shared" si="24"/>
        <v>4.2352872865385302E-4</v>
      </c>
      <c r="K128" s="15">
        <f t="shared" si="24"/>
        <v>0</v>
      </c>
      <c r="L128" s="15">
        <f t="shared" si="24"/>
        <v>-4.9455831103401016E-4</v>
      </c>
      <c r="M128" s="15">
        <f t="shared" si="24"/>
        <v>-9.3871653334590133E-5</v>
      </c>
      <c r="N128" s="15">
        <f t="shared" si="24"/>
        <v>0</v>
      </c>
      <c r="O128" s="14">
        <f t="shared" si="24"/>
        <v>0</v>
      </c>
      <c r="P128" s="16">
        <f t="shared" si="24"/>
        <v>0</v>
      </c>
      <c r="Q128" s="15">
        <f t="shared" si="24"/>
        <v>0</v>
      </c>
      <c r="R128" s="15">
        <f t="shared" si="24"/>
        <v>0</v>
      </c>
      <c r="S128" s="15">
        <f t="shared" si="24"/>
        <v>0</v>
      </c>
      <c r="T128" s="15">
        <f t="shared" si="24"/>
        <v>0</v>
      </c>
      <c r="U128" s="14">
        <f t="shared" si="24"/>
        <v>2.0596663205691076E-9</v>
      </c>
      <c r="V128" s="16">
        <f t="shared" si="24"/>
        <v>5.9459419409084608E-10</v>
      </c>
      <c r="W128" s="15">
        <f t="shared" si="24"/>
        <v>-5.8396159905538952E-5</v>
      </c>
      <c r="X128" s="15">
        <f t="shared" si="24"/>
        <v>2.5815726513632009E-6</v>
      </c>
      <c r="Y128" s="15">
        <f t="shared" si="24"/>
        <v>3.81973093364133E-3</v>
      </c>
      <c r="Z128" s="14">
        <f t="shared" si="24"/>
        <v>-2.6812139558080039E-3</v>
      </c>
      <c r="AA128" s="15">
        <f t="shared" si="24"/>
        <v>0</v>
      </c>
      <c r="AB128" s="16">
        <f t="shared" si="24"/>
        <v>0</v>
      </c>
      <c r="AC128" s="16">
        <f t="shared" si="24"/>
        <v>-1.0825293198353236E-3</v>
      </c>
    </row>
    <row r="129" spans="1:29" x14ac:dyDescent="0.3">
      <c r="A129" s="17" t="s">
        <v>46</v>
      </c>
      <c r="B129" s="72">
        <v>2008</v>
      </c>
      <c r="C129" s="73">
        <f t="shared" ref="C129:AC129" si="25">C34-C79</f>
        <v>3.3410000000001219</v>
      </c>
      <c r="D129" s="14">
        <f t="shared" si="25"/>
        <v>-1.1256345369839785E-5</v>
      </c>
      <c r="E129" s="16">
        <f t="shared" si="25"/>
        <v>-8.6044795983000397E-6</v>
      </c>
      <c r="F129" s="15">
        <f t="shared" si="25"/>
        <v>-9.0738010399696659E-7</v>
      </c>
      <c r="G129" s="15">
        <f t="shared" si="25"/>
        <v>0</v>
      </c>
      <c r="H129" s="14">
        <f t="shared" si="25"/>
        <v>-8.3023344836100077E-4</v>
      </c>
      <c r="I129" s="16">
        <f t="shared" si="25"/>
        <v>-7.2283204813498869E-4</v>
      </c>
      <c r="J129" s="15">
        <f t="shared" si="25"/>
        <v>-1.2713657673892008E-3</v>
      </c>
      <c r="K129" s="15">
        <f t="shared" si="25"/>
        <v>9.8836585151621903E-4</v>
      </c>
      <c r="L129" s="15">
        <f t="shared" si="25"/>
        <v>-1.2053072580339719E-3</v>
      </c>
      <c r="M129" s="15">
        <f t="shared" si="25"/>
        <v>-2.1145400871179325E-5</v>
      </c>
      <c r="N129" s="15">
        <f t="shared" si="25"/>
        <v>0</v>
      </c>
      <c r="O129" s="14">
        <f t="shared" si="25"/>
        <v>-2.5665140732240551E-6</v>
      </c>
      <c r="P129" s="16">
        <f t="shared" si="25"/>
        <v>0</v>
      </c>
      <c r="Q129" s="15">
        <f t="shared" si="25"/>
        <v>0</v>
      </c>
      <c r="R129" s="15">
        <f t="shared" si="25"/>
        <v>0</v>
      </c>
      <c r="S129" s="15">
        <f t="shared" si="25"/>
        <v>0</v>
      </c>
      <c r="T129" s="15">
        <f t="shared" si="25"/>
        <v>0</v>
      </c>
      <c r="U129" s="14">
        <f t="shared" si="25"/>
        <v>-1.7110322285270822E-5</v>
      </c>
      <c r="V129" s="16">
        <f t="shared" si="25"/>
        <v>-5.4238603322590527E-6</v>
      </c>
      <c r="W129" s="15">
        <f t="shared" si="25"/>
        <v>-1.5393707364459719E-4</v>
      </c>
      <c r="X129" s="15">
        <f t="shared" si="25"/>
        <v>-6.6015351119200552E-5</v>
      </c>
      <c r="Y129" s="15">
        <f t="shared" si="25"/>
        <v>5.3382976055852994E-3</v>
      </c>
      <c r="Z129" s="14">
        <f t="shared" si="25"/>
        <v>-2.0099582077839906E-3</v>
      </c>
      <c r="AA129" s="15">
        <f t="shared" si="25"/>
        <v>0</v>
      </c>
      <c r="AB129" s="16">
        <f t="shared" si="25"/>
        <v>0</v>
      </c>
      <c r="AC129" s="16">
        <f t="shared" si="25"/>
        <v>-3.0659919654514312E-3</v>
      </c>
    </row>
    <row r="130" spans="1:29" x14ac:dyDescent="0.3">
      <c r="A130" s="17" t="s">
        <v>46</v>
      </c>
      <c r="B130" s="72">
        <v>2009</v>
      </c>
      <c r="C130" s="73">
        <f t="shared" ref="C130:AC130" si="26">C35-C80</f>
        <v>12.412000000000262</v>
      </c>
      <c r="D130" s="14">
        <f t="shared" si="26"/>
        <v>-2.9121751259309978E-6</v>
      </c>
      <c r="E130" s="16">
        <f t="shared" si="26"/>
        <v>-1.8378070537590183E-8</v>
      </c>
      <c r="F130" s="15">
        <f t="shared" si="26"/>
        <v>-1.245923925486986E-5</v>
      </c>
      <c r="G130" s="15">
        <f t="shared" si="26"/>
        <v>2.6055563894594697E-4</v>
      </c>
      <c r="H130" s="14">
        <f t="shared" si="26"/>
        <v>-9.9972729442900435E-5</v>
      </c>
      <c r="I130" s="16">
        <f t="shared" si="26"/>
        <v>-3.1833137376739706E-4</v>
      </c>
      <c r="J130" s="15">
        <f t="shared" si="26"/>
        <v>2.5517712389129966E-5</v>
      </c>
      <c r="K130" s="15">
        <f t="shared" si="26"/>
        <v>3.04251305104584E-3</v>
      </c>
      <c r="L130" s="15">
        <f t="shared" si="26"/>
        <v>-9.6463583344899573E-4</v>
      </c>
      <c r="M130" s="15">
        <f t="shared" si="26"/>
        <v>5.2879847841980304E-4</v>
      </c>
      <c r="N130" s="15">
        <f t="shared" si="26"/>
        <v>1.2611054760784399E-3</v>
      </c>
      <c r="O130" s="14">
        <f t="shared" si="26"/>
        <v>-6.6773656286599615E-7</v>
      </c>
      <c r="P130" s="16">
        <f t="shared" si="26"/>
        <v>0</v>
      </c>
      <c r="Q130" s="15">
        <f t="shared" si="26"/>
        <v>-1.7341403273669898E-4</v>
      </c>
      <c r="R130" s="15">
        <f t="shared" si="26"/>
        <v>0</v>
      </c>
      <c r="S130" s="15">
        <f t="shared" si="26"/>
        <v>0</v>
      </c>
      <c r="T130" s="15">
        <f t="shared" si="26"/>
        <v>0</v>
      </c>
      <c r="U130" s="14">
        <f t="shared" si="26"/>
        <v>-1.7847675718054949E-4</v>
      </c>
      <c r="V130" s="16">
        <f t="shared" si="26"/>
        <v>-2.0829095231597334E-5</v>
      </c>
      <c r="W130" s="15">
        <f t="shared" si="26"/>
        <v>-7.7866234085701563E-5</v>
      </c>
      <c r="X130" s="15">
        <f t="shared" si="26"/>
        <v>-7.0062624797939156E-6</v>
      </c>
      <c r="Y130" s="15">
        <f t="shared" si="26"/>
        <v>4.9686814003868998E-3</v>
      </c>
      <c r="Z130" s="14">
        <f t="shared" si="26"/>
        <v>-8.2285399020419758E-3</v>
      </c>
      <c r="AA130" s="15">
        <f t="shared" si="26"/>
        <v>-2.0420078375099973E-6</v>
      </c>
      <c r="AB130" s="16">
        <f t="shared" si="26"/>
        <v>0</v>
      </c>
      <c r="AC130" s="16">
        <f t="shared" si="26"/>
        <v>3.7224234444021009E-3</v>
      </c>
    </row>
    <row r="131" spans="1:29" x14ac:dyDescent="0.3">
      <c r="A131" s="17" t="s">
        <v>46</v>
      </c>
      <c r="B131" s="72">
        <v>2010</v>
      </c>
      <c r="C131" s="73">
        <f t="shared" ref="C131:AC131" si="27">C36-C81</f>
        <v>5.7719999999999345</v>
      </c>
      <c r="D131" s="14">
        <f t="shared" si="27"/>
        <v>-3.9155877317070473E-5</v>
      </c>
      <c r="E131" s="16">
        <f t="shared" si="27"/>
        <v>0</v>
      </c>
      <c r="F131" s="15">
        <f t="shared" si="27"/>
        <v>-1.4757267975530012E-5</v>
      </c>
      <c r="G131" s="15">
        <f t="shared" si="27"/>
        <v>2.2091206639379601E-6</v>
      </c>
      <c r="H131" s="14">
        <f t="shared" si="27"/>
        <v>-2.4718576334849945E-4</v>
      </c>
      <c r="I131" s="16">
        <f t="shared" si="27"/>
        <v>-3.1820282966420199E-4</v>
      </c>
      <c r="J131" s="15">
        <f t="shared" si="27"/>
        <v>-2.7981222722609986E-4</v>
      </c>
      <c r="K131" s="15">
        <f t="shared" si="27"/>
        <v>-8.2161228795649827E-5</v>
      </c>
      <c r="L131" s="15">
        <f t="shared" si="27"/>
        <v>-8.0673676636799918E-4</v>
      </c>
      <c r="M131" s="15">
        <f t="shared" si="27"/>
        <v>-4.6887305283309713E-5</v>
      </c>
      <c r="N131" s="15">
        <f t="shared" si="27"/>
        <v>-5.3813179385669291E-5</v>
      </c>
      <c r="O131" s="14">
        <f t="shared" si="27"/>
        <v>-2.4512854079319826E-7</v>
      </c>
      <c r="P131" s="16">
        <f t="shared" si="27"/>
        <v>-1.0618471352330104E-7</v>
      </c>
      <c r="Q131" s="15">
        <f t="shared" si="27"/>
        <v>-3.1749212904030096E-5</v>
      </c>
      <c r="R131" s="15">
        <f t="shared" si="27"/>
        <v>0</v>
      </c>
      <c r="S131" s="15">
        <f t="shared" si="27"/>
        <v>0</v>
      </c>
      <c r="T131" s="15">
        <f t="shared" si="27"/>
        <v>0</v>
      </c>
      <c r="U131" s="14">
        <f t="shared" si="27"/>
        <v>-1.0826904193505203E-4</v>
      </c>
      <c r="V131" s="16">
        <f t="shared" si="27"/>
        <v>-6.3022278141297789E-6</v>
      </c>
      <c r="W131" s="15">
        <f t="shared" si="27"/>
        <v>-2.2107634575189994E-4</v>
      </c>
      <c r="X131" s="15">
        <f t="shared" si="27"/>
        <v>-4.8920065946760245E-5</v>
      </c>
      <c r="Y131" s="15">
        <f t="shared" si="27"/>
        <v>1.0794536621782102E-2</v>
      </c>
      <c r="Z131" s="14">
        <f t="shared" si="27"/>
        <v>-8.4903258348330013E-3</v>
      </c>
      <c r="AA131" s="15">
        <f t="shared" si="27"/>
        <v>-1.039254642994016E-6</v>
      </c>
      <c r="AB131" s="16">
        <f t="shared" si="27"/>
        <v>0</v>
      </c>
      <c r="AC131" s="16">
        <f t="shared" si="27"/>
        <v>-1.8476987606373396E-3</v>
      </c>
    </row>
    <row r="132" spans="1:29" x14ac:dyDescent="0.3">
      <c r="A132" s="17" t="s">
        <v>46</v>
      </c>
      <c r="B132" s="72">
        <v>2011</v>
      </c>
      <c r="C132" s="73">
        <f t="shared" ref="C132:AC132" si="28">C37-C82</f>
        <v>-14.594000000000051</v>
      </c>
      <c r="D132" s="14">
        <f t="shared" si="28"/>
        <v>-2.6881538241988606E-7</v>
      </c>
      <c r="E132" s="16">
        <f t="shared" si="28"/>
        <v>0</v>
      </c>
      <c r="F132" s="15">
        <f t="shared" si="28"/>
        <v>-6.1863862585100245E-6</v>
      </c>
      <c r="G132" s="15">
        <f t="shared" si="28"/>
        <v>-1.1143250330149755E-5</v>
      </c>
      <c r="H132" s="14">
        <f t="shared" si="28"/>
        <v>-4.9452020473100822E-5</v>
      </c>
      <c r="I132" s="16">
        <f t="shared" si="28"/>
        <v>-1.2896115519070439E-4</v>
      </c>
      <c r="J132" s="15">
        <f t="shared" si="28"/>
        <v>1.5340830294826199E-6</v>
      </c>
      <c r="K132" s="15">
        <f t="shared" si="28"/>
        <v>-3.6691086108700185E-5</v>
      </c>
      <c r="L132" s="15">
        <f t="shared" si="28"/>
        <v>-2.7401968993898129E-4</v>
      </c>
      <c r="M132" s="15">
        <f t="shared" si="28"/>
        <v>-1.1934670676110037E-5</v>
      </c>
      <c r="N132" s="15">
        <f t="shared" si="28"/>
        <v>-1.813063085502999E-5</v>
      </c>
      <c r="O132" s="14">
        <f t="shared" si="28"/>
        <v>0</v>
      </c>
      <c r="P132" s="16">
        <f t="shared" si="28"/>
        <v>2.8721761241450015E-8</v>
      </c>
      <c r="Q132" s="15">
        <f t="shared" si="28"/>
        <v>0</v>
      </c>
      <c r="R132" s="15">
        <f t="shared" si="28"/>
        <v>0</v>
      </c>
      <c r="S132" s="15">
        <f t="shared" si="28"/>
        <v>0</v>
      </c>
      <c r="T132" s="15">
        <f t="shared" si="28"/>
        <v>0</v>
      </c>
      <c r="U132" s="14">
        <f t="shared" si="28"/>
        <v>-6.2243664552105206E-5</v>
      </c>
      <c r="V132" s="16">
        <f t="shared" si="28"/>
        <v>-1.2135536505100512E-4</v>
      </c>
      <c r="W132" s="15">
        <f t="shared" si="28"/>
        <v>-3.2056506225199705E-5</v>
      </c>
      <c r="X132" s="15">
        <f t="shared" si="28"/>
        <v>-3.5682528632980694E-5</v>
      </c>
      <c r="Y132" s="15">
        <f t="shared" si="28"/>
        <v>7.8715980635228992E-3</v>
      </c>
      <c r="Z132" s="14">
        <f t="shared" si="28"/>
        <v>-7.085035098638004E-3</v>
      </c>
      <c r="AA132" s="15">
        <f t="shared" si="28"/>
        <v>0</v>
      </c>
      <c r="AB132" s="16">
        <f t="shared" si="28"/>
        <v>0</v>
      </c>
      <c r="AC132" s="16">
        <f t="shared" si="28"/>
        <v>-5.3495608504056102E-4</v>
      </c>
    </row>
    <row r="133" spans="1:29" x14ac:dyDescent="0.3">
      <c r="A133" s="17" t="s">
        <v>46</v>
      </c>
      <c r="B133" s="72">
        <v>2012</v>
      </c>
      <c r="C133" s="73">
        <f t="shared" ref="C133:AC133" si="29">C38-C83</f>
        <v>8.9909999999999854</v>
      </c>
      <c r="D133" s="14">
        <f t="shared" si="29"/>
        <v>-2.4257918534849928E-5</v>
      </c>
      <c r="E133" s="16">
        <f t="shared" si="29"/>
        <v>-2.2410341040490604E-6</v>
      </c>
      <c r="F133" s="15">
        <f t="shared" si="29"/>
        <v>0</v>
      </c>
      <c r="G133" s="15">
        <f t="shared" si="29"/>
        <v>1.3091819189279199E-4</v>
      </c>
      <c r="H133" s="14">
        <f t="shared" si="29"/>
        <v>-9.9951612516899213E-5</v>
      </c>
      <c r="I133" s="16">
        <f t="shared" si="29"/>
        <v>-7.2978345966300331E-5</v>
      </c>
      <c r="J133" s="15">
        <f t="shared" si="29"/>
        <v>-1.0660749253453995E-4</v>
      </c>
      <c r="K133" s="15">
        <f t="shared" si="29"/>
        <v>-4.6364163934589989E-5</v>
      </c>
      <c r="L133" s="15">
        <f t="shared" si="29"/>
        <v>-1.268111057743021E-3</v>
      </c>
      <c r="M133" s="15">
        <f t="shared" si="29"/>
        <v>-1.2760897454065952E-4</v>
      </c>
      <c r="N133" s="15">
        <f t="shared" si="29"/>
        <v>1.42302382492166E-4</v>
      </c>
      <c r="O133" s="14">
        <f t="shared" si="29"/>
        <v>0</v>
      </c>
      <c r="P133" s="16">
        <f t="shared" si="29"/>
        <v>0</v>
      </c>
      <c r="Q133" s="15">
        <f t="shared" si="29"/>
        <v>-8.4768877236083943E-5</v>
      </c>
      <c r="R133" s="15">
        <f t="shared" si="29"/>
        <v>0</v>
      </c>
      <c r="S133" s="15">
        <f t="shared" si="29"/>
        <v>-3.1234070920064735E-5</v>
      </c>
      <c r="T133" s="15">
        <f t="shared" si="29"/>
        <v>0</v>
      </c>
      <c r="U133" s="14">
        <f t="shared" si="29"/>
        <v>-3.3727224761148601E-5</v>
      </c>
      <c r="V133" s="16">
        <f t="shared" si="29"/>
        <v>-1.0492914370135087E-4</v>
      </c>
      <c r="W133" s="15">
        <f t="shared" si="29"/>
        <v>-3.3825317085219714E-4</v>
      </c>
      <c r="X133" s="15">
        <f t="shared" si="29"/>
        <v>-2.5971231017999936E-5</v>
      </c>
      <c r="Y133" s="15">
        <f t="shared" si="29"/>
        <v>1.6834430641360497E-2</v>
      </c>
      <c r="Z133" s="14">
        <f t="shared" si="29"/>
        <v>-1.4738916369116062E-2</v>
      </c>
      <c r="AA133" s="15">
        <f t="shared" si="29"/>
        <v>-1.7305282656740147E-6</v>
      </c>
      <c r="AB133" s="16">
        <f t="shared" si="29"/>
        <v>0</v>
      </c>
      <c r="AC133" s="16">
        <f t="shared" si="29"/>
        <v>-1.4484010728510466E-3</v>
      </c>
    </row>
    <row r="134" spans="1:29" x14ac:dyDescent="0.3">
      <c r="A134" s="17" t="s">
        <v>46</v>
      </c>
      <c r="B134" s="72">
        <v>2013</v>
      </c>
      <c r="C134" s="73">
        <f t="shared" ref="C134:AC134" si="30">C39-C84</f>
        <v>29.505999999999858</v>
      </c>
      <c r="D134" s="14">
        <f t="shared" si="30"/>
        <v>-2.3517514107559826E-6</v>
      </c>
      <c r="E134" s="16">
        <f t="shared" si="30"/>
        <v>-3.8611010428039969E-5</v>
      </c>
      <c r="F134" s="15">
        <f t="shared" si="30"/>
        <v>-2.9921817444999847E-6</v>
      </c>
      <c r="G134" s="15">
        <f t="shared" si="30"/>
        <v>-8.4937243606950574E-6</v>
      </c>
      <c r="H134" s="14">
        <f t="shared" si="30"/>
        <v>-2.8103060778579894E-4</v>
      </c>
      <c r="I134" s="16">
        <f t="shared" si="30"/>
        <v>2.1319607202486997E-3</v>
      </c>
      <c r="J134" s="15">
        <f t="shared" si="30"/>
        <v>1.1094012493145008E-4</v>
      </c>
      <c r="K134" s="15">
        <f t="shared" si="30"/>
        <v>3.0355745427292991E-4</v>
      </c>
      <c r="L134" s="15">
        <f t="shared" si="30"/>
        <v>-2.3623108086899963E-3</v>
      </c>
      <c r="M134" s="15">
        <f t="shared" si="30"/>
        <v>-6.3854229175723011E-4</v>
      </c>
      <c r="N134" s="15">
        <f t="shared" si="30"/>
        <v>-7.9720106206280453E-6</v>
      </c>
      <c r="O134" s="14">
        <f t="shared" si="30"/>
        <v>0</v>
      </c>
      <c r="P134" s="16">
        <f t="shared" si="30"/>
        <v>-1.6002144128089848E-7</v>
      </c>
      <c r="Q134" s="15">
        <f t="shared" si="30"/>
        <v>-1.801450400644505E-4</v>
      </c>
      <c r="R134" s="15">
        <f t="shared" si="30"/>
        <v>0</v>
      </c>
      <c r="S134" s="15">
        <f t="shared" si="30"/>
        <v>0</v>
      </c>
      <c r="T134" s="15">
        <f t="shared" si="30"/>
        <v>0</v>
      </c>
      <c r="U134" s="14">
        <f t="shared" si="30"/>
        <v>-4.0129896379255403E-4</v>
      </c>
      <c r="V134" s="16">
        <f t="shared" si="30"/>
        <v>0</v>
      </c>
      <c r="W134" s="15">
        <f t="shared" si="30"/>
        <v>-8.5655633801980102E-4</v>
      </c>
      <c r="X134" s="15">
        <f t="shared" si="30"/>
        <v>-2.1077244920158968E-4</v>
      </c>
      <c r="Y134" s="15">
        <f t="shared" si="30"/>
        <v>1.7237152283632103E-2</v>
      </c>
      <c r="Z134" s="14">
        <f t="shared" si="30"/>
        <v>-1.4695900183345989E-2</v>
      </c>
      <c r="AA134" s="15">
        <f t="shared" si="30"/>
        <v>-9.6473200421599153E-5</v>
      </c>
      <c r="AB134" s="16">
        <f t="shared" si="30"/>
        <v>0</v>
      </c>
      <c r="AC134" s="16">
        <f t="shared" si="30"/>
        <v>-7.5504334694703745E-4</v>
      </c>
    </row>
    <row r="135" spans="1:29" x14ac:dyDescent="0.3">
      <c r="A135" s="17" t="s">
        <v>46</v>
      </c>
      <c r="B135" s="72">
        <v>2014</v>
      </c>
      <c r="C135" s="73">
        <f t="shared" ref="C135:AC135" si="31">C40-C85</f>
        <v>-47.172999999999774</v>
      </c>
      <c r="D135" s="14">
        <f t="shared" si="31"/>
        <v>1.5355424405220051E-5</v>
      </c>
      <c r="E135" s="16">
        <f t="shared" si="31"/>
        <v>1.7842232489380036E-4</v>
      </c>
      <c r="F135" s="15">
        <f t="shared" si="31"/>
        <v>7.8644956661769985E-6</v>
      </c>
      <c r="G135" s="15">
        <f t="shared" si="31"/>
        <v>0</v>
      </c>
      <c r="H135" s="14">
        <f t="shared" si="31"/>
        <v>-1.5405386865699477E-4</v>
      </c>
      <c r="I135" s="16">
        <f t="shared" si="31"/>
        <v>3.6914144990209119E-4</v>
      </c>
      <c r="J135" s="15">
        <f t="shared" si="31"/>
        <v>3.120851280273701E-4</v>
      </c>
      <c r="K135" s="15">
        <f t="shared" si="31"/>
        <v>2.8995025645951918E-4</v>
      </c>
      <c r="L135" s="15">
        <f t="shared" si="31"/>
        <v>-1.2641948430723998E-2</v>
      </c>
      <c r="M135" s="15">
        <f t="shared" si="31"/>
        <v>0</v>
      </c>
      <c r="N135" s="15">
        <f t="shared" si="31"/>
        <v>0</v>
      </c>
      <c r="O135" s="14">
        <f t="shared" si="31"/>
        <v>0</v>
      </c>
      <c r="P135" s="16">
        <f t="shared" si="31"/>
        <v>7.0237105818340322E-6</v>
      </c>
      <c r="Q135" s="15">
        <f t="shared" si="31"/>
        <v>0</v>
      </c>
      <c r="R135" s="15">
        <f t="shared" si="31"/>
        <v>0</v>
      </c>
      <c r="S135" s="15">
        <f t="shared" si="31"/>
        <v>0</v>
      </c>
      <c r="T135" s="15">
        <f t="shared" si="31"/>
        <v>0</v>
      </c>
      <c r="U135" s="14">
        <f t="shared" si="31"/>
        <v>1.9767834213937907E-5</v>
      </c>
      <c r="V135" s="16">
        <f t="shared" si="31"/>
        <v>6.0775053575858051E-5</v>
      </c>
      <c r="W135" s="15">
        <f t="shared" si="31"/>
        <v>4.2811299588869922E-4</v>
      </c>
      <c r="X135" s="15">
        <f t="shared" si="31"/>
        <v>1.2162507372496991E-4</v>
      </c>
      <c r="Y135" s="15">
        <f t="shared" si="31"/>
        <v>1.0000848081583399E-2</v>
      </c>
      <c r="Z135" s="14">
        <f t="shared" si="31"/>
        <v>9.8503047045706005E-4</v>
      </c>
      <c r="AA135" s="15">
        <f t="shared" si="31"/>
        <v>0</v>
      </c>
      <c r="AB135" s="16">
        <f t="shared" si="31"/>
        <v>0</v>
      </c>
      <c r="AC135" s="16">
        <f t="shared" si="31"/>
        <v>-1.1809937258743991E-2</v>
      </c>
    </row>
    <row r="136" spans="1:29" x14ac:dyDescent="0.3">
      <c r="A136" s="17" t="s">
        <v>46</v>
      </c>
      <c r="B136" s="72">
        <v>2015</v>
      </c>
      <c r="C136" s="73">
        <f t="shared" ref="C136:AC136" si="32">C41-C86</f>
        <v>4.0949999999997999</v>
      </c>
      <c r="D136" s="14">
        <f t="shared" si="32"/>
        <v>-4.6152184088703307E-6</v>
      </c>
      <c r="E136" s="16">
        <f t="shared" si="32"/>
        <v>-1.7762790779179928E-6</v>
      </c>
      <c r="F136" s="15">
        <f t="shared" si="32"/>
        <v>-1.1318891361839986E-5</v>
      </c>
      <c r="G136" s="15">
        <f t="shared" si="32"/>
        <v>0</v>
      </c>
      <c r="H136" s="14">
        <f t="shared" si="32"/>
        <v>-2.3011611641140378E-5</v>
      </c>
      <c r="I136" s="16">
        <f t="shared" si="32"/>
        <v>1.8584496948199913E-5</v>
      </c>
      <c r="J136" s="15">
        <f t="shared" si="32"/>
        <v>-7.6995248836619901E-4</v>
      </c>
      <c r="K136" s="15">
        <f t="shared" si="32"/>
        <v>4.3206375251388298E-5</v>
      </c>
      <c r="L136" s="15">
        <f t="shared" si="32"/>
        <v>5.1335734483030082E-3</v>
      </c>
      <c r="M136" s="15">
        <f t="shared" si="32"/>
        <v>0</v>
      </c>
      <c r="N136" s="15">
        <f t="shared" si="32"/>
        <v>0</v>
      </c>
      <c r="O136" s="14">
        <f t="shared" si="32"/>
        <v>0</v>
      </c>
      <c r="P136" s="16">
        <f t="shared" si="32"/>
        <v>-4.5157882097498223E-7</v>
      </c>
      <c r="Q136" s="15">
        <f t="shared" si="32"/>
        <v>-2.0165422191499582E-5</v>
      </c>
      <c r="R136" s="15">
        <f t="shared" si="32"/>
        <v>0</v>
      </c>
      <c r="S136" s="15">
        <f t="shared" si="32"/>
        <v>0</v>
      </c>
      <c r="T136" s="15">
        <f t="shared" si="32"/>
        <v>0</v>
      </c>
      <c r="U136" s="14">
        <f t="shared" si="32"/>
        <v>-1.2082683836815017E-4</v>
      </c>
      <c r="V136" s="16">
        <f t="shared" si="32"/>
        <v>-2.1836582241394759E-4</v>
      </c>
      <c r="W136" s="15">
        <f t="shared" si="32"/>
        <v>-1.0724704843539934E-4</v>
      </c>
      <c r="X136" s="15">
        <f t="shared" si="32"/>
        <v>-2.1022812653049769E-5</v>
      </c>
      <c r="Y136" s="15">
        <f t="shared" si="32"/>
        <v>6.875650531286681E-3</v>
      </c>
      <c r="Z136" s="14">
        <f t="shared" si="32"/>
        <v>-1.0772260840050008E-2</v>
      </c>
      <c r="AA136" s="15">
        <f t="shared" si="32"/>
        <v>0</v>
      </c>
      <c r="AB136" s="16">
        <f t="shared" si="32"/>
        <v>0</v>
      </c>
      <c r="AC136" s="16">
        <f t="shared" si="32"/>
        <v>4.3906297503124581E-3</v>
      </c>
    </row>
    <row r="137" spans="1:29" x14ac:dyDescent="0.3">
      <c r="A137" s="17" t="s">
        <v>46</v>
      </c>
      <c r="B137" s="72">
        <v>2016</v>
      </c>
      <c r="C137" s="73">
        <f t="shared" ref="C137:AC137" si="33">C42-C87</f>
        <v>-5.0000000000181899E-2</v>
      </c>
      <c r="D137" s="14">
        <f t="shared" si="33"/>
        <v>-7.2662290977300661E-6</v>
      </c>
      <c r="E137" s="16">
        <f t="shared" si="33"/>
        <v>-1.2983021406300609E-6</v>
      </c>
      <c r="F137" s="15">
        <f t="shared" si="33"/>
        <v>-2.395045762460012E-5</v>
      </c>
      <c r="G137" s="15">
        <f t="shared" si="33"/>
        <v>0</v>
      </c>
      <c r="H137" s="14">
        <f t="shared" si="33"/>
        <v>-1.5874289453829751E-5</v>
      </c>
      <c r="I137" s="16">
        <f t="shared" si="33"/>
        <v>2.3845677937709558E-4</v>
      </c>
      <c r="J137" s="15">
        <f t="shared" si="33"/>
        <v>1.3622280083642E-3</v>
      </c>
      <c r="K137" s="15">
        <f t="shared" si="33"/>
        <v>6.8733216501302703E-4</v>
      </c>
      <c r="L137" s="15">
        <f t="shared" si="33"/>
        <v>-1.6829501670860003E-3</v>
      </c>
      <c r="M137" s="15">
        <f t="shared" si="33"/>
        <v>2.2322469731397401E-4</v>
      </c>
      <c r="N137" s="15">
        <f t="shared" si="33"/>
        <v>3.1218140504954298E-4</v>
      </c>
      <c r="O137" s="14">
        <f t="shared" si="33"/>
        <v>0</v>
      </c>
      <c r="P137" s="16">
        <f t="shared" si="33"/>
        <v>0</v>
      </c>
      <c r="Q137" s="15">
        <f t="shared" si="33"/>
        <v>-7.2692316800001232E-6</v>
      </c>
      <c r="R137" s="15">
        <f t="shared" si="33"/>
        <v>0</v>
      </c>
      <c r="S137" s="15">
        <f t="shared" si="33"/>
        <v>0</v>
      </c>
      <c r="T137" s="15">
        <f t="shared" si="33"/>
        <v>0</v>
      </c>
      <c r="U137" s="14">
        <f t="shared" si="33"/>
        <v>-1.908204135254608E-5</v>
      </c>
      <c r="V137" s="16">
        <f t="shared" si="33"/>
        <v>-1.3788821630824656E-4</v>
      </c>
      <c r="W137" s="15">
        <f t="shared" si="33"/>
        <v>-2.6340166782799074E-5</v>
      </c>
      <c r="X137" s="15">
        <f t="shared" si="33"/>
        <v>2.0046993010739735E-6</v>
      </c>
      <c r="Y137" s="15">
        <f t="shared" si="33"/>
        <v>1.7939078795493196E-3</v>
      </c>
      <c r="Z137" s="14">
        <f t="shared" si="33"/>
        <v>-2.6975449053200373E-3</v>
      </c>
      <c r="AA137" s="15">
        <f t="shared" si="33"/>
        <v>1.283728794003805E-7</v>
      </c>
      <c r="AB137" s="16">
        <f t="shared" si="33"/>
        <v>0</v>
      </c>
      <c r="AC137" s="16">
        <f t="shared" si="33"/>
        <v>1.1006481409534252E-3</v>
      </c>
    </row>
    <row r="138" spans="1:29" x14ac:dyDescent="0.3">
      <c r="A138" s="17" t="s">
        <v>46</v>
      </c>
      <c r="B138" s="72">
        <v>2017</v>
      </c>
      <c r="C138" s="73">
        <f t="shared" ref="C138:AC138" si="34">C43-C88</f>
        <v>5.2000000000000455</v>
      </c>
      <c r="D138" s="14">
        <f t="shared" si="34"/>
        <v>-1.1037852290260268E-6</v>
      </c>
      <c r="E138" s="16">
        <f t="shared" si="34"/>
        <v>-3.5560748140700776E-7</v>
      </c>
      <c r="F138" s="15">
        <f t="shared" si="34"/>
        <v>-1.815125688827985E-5</v>
      </c>
      <c r="G138" s="15">
        <f t="shared" si="34"/>
        <v>0</v>
      </c>
      <c r="H138" s="14">
        <f t="shared" si="34"/>
        <v>-8.6321766006001999E-5</v>
      </c>
      <c r="I138" s="16">
        <f t="shared" si="34"/>
        <v>-6.0044002630002535E-5</v>
      </c>
      <c r="J138" s="15">
        <f t="shared" si="34"/>
        <v>4.8964830848520144E-4</v>
      </c>
      <c r="K138" s="15">
        <f t="shared" si="34"/>
        <v>3.9654913253641099E-4</v>
      </c>
      <c r="L138" s="15">
        <f t="shared" si="34"/>
        <v>4.3145938272598494E-4</v>
      </c>
      <c r="M138" s="15">
        <f t="shared" si="34"/>
        <v>-1.4296338057105933E-4</v>
      </c>
      <c r="N138" s="15">
        <f t="shared" si="34"/>
        <v>-1.7015806023889992E-4</v>
      </c>
      <c r="O138" s="14">
        <f t="shared" si="34"/>
        <v>-2.5236659970820168E-7</v>
      </c>
      <c r="P138" s="16">
        <f t="shared" si="34"/>
        <v>-1.5294945436860066E-8</v>
      </c>
      <c r="Q138" s="15">
        <f t="shared" si="34"/>
        <v>0</v>
      </c>
      <c r="R138" s="15">
        <f t="shared" si="34"/>
        <v>0</v>
      </c>
      <c r="S138" s="15">
        <f t="shared" si="34"/>
        <v>0</v>
      </c>
      <c r="T138" s="15">
        <f t="shared" si="34"/>
        <v>0</v>
      </c>
      <c r="U138" s="14">
        <f t="shared" si="34"/>
        <v>-6.5298442870712417E-5</v>
      </c>
      <c r="V138" s="16">
        <f t="shared" si="34"/>
        <v>-6.9700585086715852E-5</v>
      </c>
      <c r="W138" s="15">
        <f t="shared" si="34"/>
        <v>-3.3205485767719145E-4</v>
      </c>
      <c r="X138" s="15">
        <f t="shared" si="34"/>
        <v>-2.9671876483250339E-5</v>
      </c>
      <c r="Y138" s="15">
        <f t="shared" si="34"/>
        <v>4.5946158335310495E-3</v>
      </c>
      <c r="Z138" s="14">
        <f t="shared" si="34"/>
        <v>-4.9361813745709693E-3</v>
      </c>
      <c r="AA138" s="15">
        <f t="shared" si="34"/>
        <v>0</v>
      </c>
      <c r="AB138" s="16">
        <f t="shared" si="34"/>
        <v>0</v>
      </c>
      <c r="AC138" s="16">
        <f t="shared" si="34"/>
        <v>8.3975069586827988E-4</v>
      </c>
    </row>
    <row r="139" spans="1:29" x14ac:dyDescent="0.3">
      <c r="A139" s="17" t="s">
        <v>46</v>
      </c>
      <c r="B139" s="72">
        <v>2018</v>
      </c>
      <c r="C139" s="73">
        <f t="shared" ref="C139:AC139" si="35">C44-C89</f>
        <v>-6.0039999999999054</v>
      </c>
      <c r="D139" s="14">
        <f t="shared" si="35"/>
        <v>3.6060003447198775E-6</v>
      </c>
      <c r="E139" s="16">
        <f t="shared" si="35"/>
        <v>2.9105509491899814E-6</v>
      </c>
      <c r="F139" s="15">
        <f t="shared" si="35"/>
        <v>-4.9354302679798477E-6</v>
      </c>
      <c r="G139" s="15">
        <f t="shared" si="35"/>
        <v>0</v>
      </c>
      <c r="H139" s="14">
        <f t="shared" si="35"/>
        <v>-1.7350990107389483E-5</v>
      </c>
      <c r="I139" s="16">
        <f t="shared" si="35"/>
        <v>-6.1294562715320106E-4</v>
      </c>
      <c r="J139" s="15">
        <f t="shared" si="35"/>
        <v>3.8848540994941197E-4</v>
      </c>
      <c r="K139" s="15">
        <f t="shared" si="35"/>
        <v>-1.9038822800608026E-4</v>
      </c>
      <c r="L139" s="15">
        <f t="shared" si="35"/>
        <v>2.3588998696500163E-3</v>
      </c>
      <c r="M139" s="15">
        <f t="shared" si="35"/>
        <v>2.2655529105745499E-4</v>
      </c>
      <c r="N139" s="15">
        <f t="shared" si="35"/>
        <v>5.0260238723734028E-4</v>
      </c>
      <c r="O139" s="14">
        <f t="shared" si="35"/>
        <v>2.9853437466000315E-6</v>
      </c>
      <c r="P139" s="16">
        <f t="shared" si="35"/>
        <v>0</v>
      </c>
      <c r="Q139" s="15">
        <f t="shared" si="35"/>
        <v>1.3637616432599564E-6</v>
      </c>
      <c r="R139" s="15">
        <f t="shared" si="35"/>
        <v>0</v>
      </c>
      <c r="S139" s="15">
        <f t="shared" si="35"/>
        <v>0</v>
      </c>
      <c r="T139" s="15">
        <f t="shared" si="35"/>
        <v>0</v>
      </c>
      <c r="U139" s="14">
        <f t="shared" si="35"/>
        <v>-7.4879498168361949E-5</v>
      </c>
      <c r="V139" s="16">
        <f t="shared" si="35"/>
        <v>-7.243885820589005E-4</v>
      </c>
      <c r="W139" s="15">
        <f t="shared" si="35"/>
        <v>-6.4443842012304464E-5</v>
      </c>
      <c r="X139" s="15">
        <f t="shared" si="35"/>
        <v>-7.1377300060303933E-6</v>
      </c>
      <c r="Y139" s="15">
        <f t="shared" si="35"/>
        <v>4.4017333139799285E-3</v>
      </c>
      <c r="Z139" s="14">
        <f t="shared" si="35"/>
        <v>-6.192672000777999E-3</v>
      </c>
      <c r="AA139" s="15">
        <f t="shared" si="35"/>
        <v>0</v>
      </c>
      <c r="AB139" s="16">
        <f t="shared" si="35"/>
        <v>0</v>
      </c>
      <c r="AC139" s="16">
        <f t="shared" si="35"/>
        <v>2.6539080261061554E-3</v>
      </c>
    </row>
    <row r="140" spans="1:29" x14ac:dyDescent="0.3">
      <c r="A140" s="17" t="s">
        <v>46</v>
      </c>
      <c r="B140" s="72">
        <v>2019</v>
      </c>
      <c r="C140" s="73">
        <f t="shared" ref="C140:AC140" si="36">C45-C90</f>
        <v>16.396999999999935</v>
      </c>
      <c r="D140" s="14">
        <f t="shared" si="36"/>
        <v>-3.4479492121509796E-5</v>
      </c>
      <c r="E140" s="16">
        <f t="shared" si="36"/>
        <v>-2.2554252299100165E-5</v>
      </c>
      <c r="F140" s="15">
        <f t="shared" si="36"/>
        <v>-1.2113134647459805E-7</v>
      </c>
      <c r="G140" s="15">
        <f t="shared" si="36"/>
        <v>0</v>
      </c>
      <c r="H140" s="14">
        <f t="shared" si="36"/>
        <v>-1.2114897052410006E-4</v>
      </c>
      <c r="I140" s="16">
        <f t="shared" si="36"/>
        <v>4.9909752284690943E-4</v>
      </c>
      <c r="J140" s="15">
        <f t="shared" si="36"/>
        <v>-1.1316566649305967E-4</v>
      </c>
      <c r="K140" s="15">
        <f t="shared" si="36"/>
        <v>5.4367411713975705E-4</v>
      </c>
      <c r="L140" s="15">
        <f t="shared" si="36"/>
        <v>4.2219530538020189E-3</v>
      </c>
      <c r="M140" s="15">
        <f t="shared" si="36"/>
        <v>9.5717274144323501E-7</v>
      </c>
      <c r="N140" s="15">
        <f t="shared" si="36"/>
        <v>-2.9830765275077036E-4</v>
      </c>
      <c r="O140" s="14">
        <f t="shared" si="36"/>
        <v>-4.3307460962460284E-5</v>
      </c>
      <c r="P140" s="16">
        <f t="shared" si="36"/>
        <v>-4.9209609505330446E-8</v>
      </c>
      <c r="Q140" s="15">
        <f t="shared" si="36"/>
        <v>-7.212614068015941E-5</v>
      </c>
      <c r="R140" s="15">
        <f t="shared" si="36"/>
        <v>0</v>
      </c>
      <c r="S140" s="15">
        <f t="shared" si="36"/>
        <v>-1.2580654553552995E-4</v>
      </c>
      <c r="T140" s="15">
        <f t="shared" si="36"/>
        <v>0</v>
      </c>
      <c r="U140" s="14">
        <f t="shared" si="36"/>
        <v>-1.3921851810814231E-4</v>
      </c>
      <c r="V140" s="16">
        <f t="shared" si="36"/>
        <v>-4.0523848317041214E-4</v>
      </c>
      <c r="W140" s="15">
        <f t="shared" si="36"/>
        <v>-3.7799776193229995E-4</v>
      </c>
      <c r="X140" s="15">
        <f t="shared" si="36"/>
        <v>0</v>
      </c>
      <c r="Y140" s="15">
        <f t="shared" si="36"/>
        <v>9.8038350932328801E-3</v>
      </c>
      <c r="Z140" s="14">
        <f t="shared" si="36"/>
        <v>-1.3244906715267013E-2</v>
      </c>
      <c r="AA140" s="15">
        <f t="shared" si="36"/>
        <v>-7.1088958962309268E-5</v>
      </c>
      <c r="AB140" s="16">
        <f t="shared" si="36"/>
        <v>0</v>
      </c>
      <c r="AC140" s="16">
        <f t="shared" si="36"/>
        <v>4.6895817748437429E-3</v>
      </c>
    </row>
    <row r="141" spans="1:29" x14ac:dyDescent="0.3">
      <c r="A141" s="17" t="s">
        <v>46</v>
      </c>
      <c r="B141" s="72">
        <v>2020</v>
      </c>
      <c r="C141" s="73">
        <f t="shared" ref="C141:AC141" si="37">C46-C91</f>
        <v>-5.2519999999999527</v>
      </c>
      <c r="D141" s="14">
        <f t="shared" si="37"/>
        <v>-3.7263097496000042E-5</v>
      </c>
      <c r="E141" s="16">
        <f t="shared" si="37"/>
        <v>2.1594939166799665E-6</v>
      </c>
      <c r="F141" s="15">
        <f t="shared" si="37"/>
        <v>4.4717849535401335E-7</v>
      </c>
      <c r="G141" s="15">
        <f t="shared" si="37"/>
        <v>0</v>
      </c>
      <c r="H141" s="14">
        <f t="shared" si="37"/>
        <v>-5.8629902012989621E-5</v>
      </c>
      <c r="I141" s="16">
        <f t="shared" si="37"/>
        <v>6.2480051920389798E-4</v>
      </c>
      <c r="J141" s="15">
        <f t="shared" si="37"/>
        <v>2.328540565660793E-4</v>
      </c>
      <c r="K141" s="15">
        <f t="shared" si="37"/>
        <v>1.8939668939499648E-5</v>
      </c>
      <c r="L141" s="15">
        <f t="shared" si="37"/>
        <v>4.8454454555370008E-3</v>
      </c>
      <c r="M141" s="15">
        <f t="shared" si="37"/>
        <v>-1.1755115513307005E-4</v>
      </c>
      <c r="N141" s="15">
        <f t="shared" si="37"/>
        <v>0</v>
      </c>
      <c r="O141" s="14">
        <f t="shared" si="37"/>
        <v>-3.9631518354539888E-5</v>
      </c>
      <c r="P141" s="16">
        <f t="shared" si="37"/>
        <v>2.8224283730499103E-8</v>
      </c>
      <c r="Q141" s="15">
        <f t="shared" si="37"/>
        <v>0</v>
      </c>
      <c r="R141" s="15">
        <f t="shared" si="37"/>
        <v>0</v>
      </c>
      <c r="S141" s="15">
        <f t="shared" si="37"/>
        <v>0</v>
      </c>
      <c r="T141" s="15">
        <f t="shared" si="37"/>
        <v>0</v>
      </c>
      <c r="U141" s="14">
        <f t="shared" si="37"/>
        <v>-1.9526646973958527E-4</v>
      </c>
      <c r="V141" s="16">
        <f t="shared" si="37"/>
        <v>-6.233929614394805E-4</v>
      </c>
      <c r="W141" s="15">
        <f t="shared" si="37"/>
        <v>-6.2034857945000507E-5</v>
      </c>
      <c r="X141" s="15">
        <f t="shared" si="37"/>
        <v>4.1818136227056013E-7</v>
      </c>
      <c r="Y141" s="15">
        <f t="shared" si="37"/>
        <v>1.2463892188391302E-2</v>
      </c>
      <c r="Z141" s="14">
        <f t="shared" si="37"/>
        <v>-1.7055215004575075E-2</v>
      </c>
      <c r="AA141" s="15">
        <f t="shared" si="37"/>
        <v>0</v>
      </c>
      <c r="AB141" s="16">
        <f t="shared" si="37"/>
        <v>0</v>
      </c>
      <c r="AC141" s="16">
        <f t="shared" si="37"/>
        <v>5.5067025275249704E-3</v>
      </c>
    </row>
    <row r="142" spans="1:29" x14ac:dyDescent="0.3">
      <c r="A142" s="17" t="s">
        <v>46</v>
      </c>
      <c r="B142" s="72">
        <v>2021</v>
      </c>
      <c r="C142" s="73">
        <f t="shared" ref="C142:AC142" si="38">C47-C92</f>
        <v>23.838999999999942</v>
      </c>
      <c r="D142" s="14">
        <f t="shared" si="38"/>
        <v>-3.5757869101750179E-5</v>
      </c>
      <c r="E142" s="16">
        <f t="shared" si="38"/>
        <v>-2.6045297766588E-7</v>
      </c>
      <c r="F142" s="15">
        <f t="shared" si="38"/>
        <v>-9.5484905856600515E-6</v>
      </c>
      <c r="G142" s="15">
        <f t="shared" si="38"/>
        <v>0</v>
      </c>
      <c r="H142" s="14">
        <f t="shared" si="38"/>
        <v>-6.0189973448979833E-5</v>
      </c>
      <c r="I142" s="16">
        <f t="shared" si="38"/>
        <v>-1.6809944691730666E-5</v>
      </c>
      <c r="J142" s="15">
        <f t="shared" si="38"/>
        <v>2.8277667482854959E-4</v>
      </c>
      <c r="K142" s="15">
        <f t="shared" si="38"/>
        <v>6.319347276644992E-5</v>
      </c>
      <c r="L142" s="15">
        <f t="shared" si="38"/>
        <v>2.7163083714460134E-3</v>
      </c>
      <c r="M142" s="15">
        <f t="shared" si="38"/>
        <v>1.17695692700905E-4</v>
      </c>
      <c r="N142" s="15">
        <f t="shared" si="38"/>
        <v>0</v>
      </c>
      <c r="O142" s="14">
        <f t="shared" si="38"/>
        <v>-1.1524827112420174E-5</v>
      </c>
      <c r="P142" s="16">
        <f t="shared" si="38"/>
        <v>0</v>
      </c>
      <c r="Q142" s="15">
        <f t="shared" si="38"/>
        <v>0</v>
      </c>
      <c r="R142" s="15">
        <f t="shared" si="38"/>
        <v>0</v>
      </c>
      <c r="S142" s="15">
        <f t="shared" si="38"/>
        <v>0</v>
      </c>
      <c r="T142" s="15">
        <f t="shared" si="38"/>
        <v>0</v>
      </c>
      <c r="U142" s="14">
        <f t="shared" si="38"/>
        <v>-1.2758782132054908E-4</v>
      </c>
      <c r="V142" s="16">
        <f t="shared" si="38"/>
        <v>-2.7175000103504994E-4</v>
      </c>
      <c r="W142" s="15">
        <f t="shared" si="38"/>
        <v>-3.2803809604099732E-4</v>
      </c>
      <c r="X142" s="15">
        <f t="shared" si="38"/>
        <v>-1.1377366741300004E-5</v>
      </c>
      <c r="Y142" s="15">
        <f t="shared" si="38"/>
        <v>1.2462547599250598E-2</v>
      </c>
      <c r="Z142" s="14">
        <f t="shared" si="38"/>
        <v>-1.4769676967936962E-2</v>
      </c>
      <c r="AA142" s="15">
        <f t="shared" si="38"/>
        <v>0</v>
      </c>
      <c r="AB142" s="16">
        <f t="shared" si="38"/>
        <v>0</v>
      </c>
      <c r="AC142" s="16">
        <f t="shared" si="38"/>
        <v>3.0819009759031346E-3</v>
      </c>
    </row>
    <row r="143" spans="1:29" x14ac:dyDescent="0.3">
      <c r="A143" s="17" t="s">
        <v>46</v>
      </c>
      <c r="B143" s="72">
        <v>2022</v>
      </c>
      <c r="C143" s="73">
        <f t="shared" ref="C143:AC143" si="39">C48-C93</f>
        <v>-31.085999999999331</v>
      </c>
      <c r="D143" s="14">
        <f t="shared" si="39"/>
        <v>-5.9808004726300684E-6</v>
      </c>
      <c r="E143" s="16">
        <f t="shared" si="39"/>
        <v>2.7007672243790101E-7</v>
      </c>
      <c r="F143" s="15">
        <f t="shared" si="39"/>
        <v>4.005355175879877E-6</v>
      </c>
      <c r="G143" s="15">
        <f t="shared" si="39"/>
        <v>0</v>
      </c>
      <c r="H143" s="14">
        <f t="shared" si="39"/>
        <v>-4.2103718008992472E-6</v>
      </c>
      <c r="I143" s="16">
        <f t="shared" si="39"/>
        <v>2.5455724491627897E-4</v>
      </c>
      <c r="J143" s="15">
        <f t="shared" si="39"/>
        <v>3.8440789682607068E-4</v>
      </c>
      <c r="K143" s="15">
        <f t="shared" si="39"/>
        <v>4.5991081945951698E-6</v>
      </c>
      <c r="L143" s="15">
        <f t="shared" si="39"/>
        <v>6.3102665818019765E-4</v>
      </c>
      <c r="M143" s="15">
        <f t="shared" si="39"/>
        <v>1.0175526880541801E-4</v>
      </c>
      <c r="N143" s="15">
        <f t="shared" si="39"/>
        <v>1.12486521259473E-4</v>
      </c>
      <c r="O143" s="14">
        <f t="shared" si="39"/>
        <v>3.3362418654089908E-7</v>
      </c>
      <c r="P143" s="16">
        <f t="shared" si="39"/>
        <v>0</v>
      </c>
      <c r="Q143" s="15">
        <f t="shared" si="39"/>
        <v>0</v>
      </c>
      <c r="R143" s="15">
        <f t="shared" si="39"/>
        <v>0</v>
      </c>
      <c r="S143" s="15">
        <f t="shared" si="39"/>
        <v>0</v>
      </c>
      <c r="T143" s="15">
        <f t="shared" si="39"/>
        <v>0</v>
      </c>
      <c r="U143" s="14">
        <f t="shared" si="39"/>
        <v>-3.398048364427423E-5</v>
      </c>
      <c r="V143" s="16">
        <f t="shared" si="39"/>
        <v>-2.9482346703735285E-4</v>
      </c>
      <c r="W143" s="15">
        <f t="shared" si="39"/>
        <v>-1.8456418981599443E-5</v>
      </c>
      <c r="X143" s="15">
        <f t="shared" si="39"/>
        <v>-1.1303048251600032E-5</v>
      </c>
      <c r="Y143" s="15">
        <f t="shared" si="39"/>
        <v>2.8759544120096295E-3</v>
      </c>
      <c r="Z143" s="14">
        <f t="shared" si="39"/>
        <v>-4.0026955209100379E-3</v>
      </c>
      <c r="AA143" s="15">
        <f t="shared" si="39"/>
        <v>2.0539448219019925E-6</v>
      </c>
      <c r="AB143" s="16">
        <f t="shared" si="39"/>
        <v>0</v>
      </c>
      <c r="AC143" s="16">
        <f t="shared" si="39"/>
        <v>1.4889613057435525E-3</v>
      </c>
    </row>
    <row r="144" spans="1:29" x14ac:dyDescent="0.3">
      <c r="A144" s="17" t="s">
        <v>46</v>
      </c>
      <c r="B144" s="72">
        <v>2023</v>
      </c>
      <c r="C144" s="73">
        <f t="shared" ref="C144:AC144" si="40">C49-C94</f>
        <v>42.407999999999902</v>
      </c>
      <c r="D144" s="14">
        <f t="shared" si="40"/>
        <v>-4.0863889911429986E-8</v>
      </c>
      <c r="E144" s="16">
        <f t="shared" si="40"/>
        <v>-2.4611718157909997E-5</v>
      </c>
      <c r="F144" s="15">
        <f t="shared" si="40"/>
        <v>-1.2652947241748036E-4</v>
      </c>
      <c r="G144" s="15">
        <f t="shared" si="40"/>
        <v>0</v>
      </c>
      <c r="H144" s="14">
        <f t="shared" si="40"/>
        <v>-8.8344490615820288E-5</v>
      </c>
      <c r="I144" s="16">
        <f t="shared" si="40"/>
        <v>2.02571494674781E-3</v>
      </c>
      <c r="J144" s="15">
        <f t="shared" si="40"/>
        <v>2.5280818552611399E-4</v>
      </c>
      <c r="K144" s="15">
        <f t="shared" si="40"/>
        <v>1.32285619958459E-3</v>
      </c>
      <c r="L144" s="15">
        <f t="shared" si="40"/>
        <v>4.2771490107720023E-3</v>
      </c>
      <c r="M144" s="15">
        <f t="shared" si="40"/>
        <v>2.23563022676049E-4</v>
      </c>
      <c r="N144" s="15">
        <f t="shared" si="40"/>
        <v>2.7490453079060702E-4</v>
      </c>
      <c r="O144" s="14">
        <f t="shared" si="40"/>
        <v>-5.268645848212003E-5</v>
      </c>
      <c r="P144" s="16">
        <f t="shared" si="40"/>
        <v>0</v>
      </c>
      <c r="Q144" s="15">
        <f t="shared" si="40"/>
        <v>0</v>
      </c>
      <c r="R144" s="15">
        <f t="shared" si="40"/>
        <v>0</v>
      </c>
      <c r="S144" s="15">
        <f t="shared" si="40"/>
        <v>0</v>
      </c>
      <c r="T144" s="15">
        <f t="shared" si="40"/>
        <v>0</v>
      </c>
      <c r="U144" s="14">
        <f t="shared" si="40"/>
        <v>-8.5007537634903835E-5</v>
      </c>
      <c r="V144" s="16">
        <f t="shared" si="40"/>
        <v>-1.8516493346216675E-4</v>
      </c>
      <c r="W144" s="15">
        <f t="shared" si="40"/>
        <v>-2.1692753945280058E-4</v>
      </c>
      <c r="X144" s="15">
        <f t="shared" si="40"/>
        <v>-1.1782421591130065E-5</v>
      </c>
      <c r="Y144" s="15">
        <f t="shared" si="40"/>
        <v>1.1935101058896698E-2</v>
      </c>
      <c r="Z144" s="14">
        <f t="shared" si="40"/>
        <v>-1.9521001519288927E-2</v>
      </c>
      <c r="AA144" s="15">
        <f t="shared" si="40"/>
        <v>0</v>
      </c>
      <c r="AB144" s="16">
        <f t="shared" si="40"/>
        <v>0</v>
      </c>
      <c r="AC144" s="16">
        <f t="shared" si="40"/>
        <v>8.1094354745817609E-3</v>
      </c>
    </row>
    <row r="145" spans="1:29" ht="15" thickBot="1" x14ac:dyDescent="0.35">
      <c r="A145" s="4" t="s">
        <v>46</v>
      </c>
      <c r="B145" s="5">
        <v>2024</v>
      </c>
      <c r="C145" s="74">
        <f t="shared" ref="C145:AC145" si="41">C50-C95</f>
        <v>4.3470000000006621</v>
      </c>
      <c r="D145" s="20">
        <f t="shared" si="41"/>
        <v>0</v>
      </c>
      <c r="E145" s="21">
        <f t="shared" si="41"/>
        <v>-5.0060058968390058E-6</v>
      </c>
      <c r="F145" s="22">
        <f t="shared" si="41"/>
        <v>-7.8155608027240427E-5</v>
      </c>
      <c r="G145" s="22">
        <f t="shared" si="41"/>
        <v>0</v>
      </c>
      <c r="H145" s="20">
        <f t="shared" si="41"/>
        <v>-1.3669069916854952E-4</v>
      </c>
      <c r="I145" s="21">
        <f t="shared" si="41"/>
        <v>9.2029897556800133E-5</v>
      </c>
      <c r="J145" s="22">
        <f t="shared" si="41"/>
        <v>4.7030256919044014E-4</v>
      </c>
      <c r="K145" s="22">
        <f t="shared" si="41"/>
        <v>1.0269744151475001E-4</v>
      </c>
      <c r="L145" s="22">
        <f t="shared" si="41"/>
        <v>1.2609502558602798E-2</v>
      </c>
      <c r="M145" s="22">
        <f t="shared" si="41"/>
        <v>1.6446234247981945E-7</v>
      </c>
      <c r="N145" s="22">
        <f t="shared" si="41"/>
        <v>3.6290515187320125E-5</v>
      </c>
      <c r="O145" s="20">
        <f t="shared" si="41"/>
        <v>-2.425725853578983E-9</v>
      </c>
      <c r="P145" s="21">
        <f t="shared" si="41"/>
        <v>0</v>
      </c>
      <c r="Q145" s="22">
        <f t="shared" si="41"/>
        <v>0</v>
      </c>
      <c r="R145" s="22">
        <f t="shared" si="41"/>
        <v>0</v>
      </c>
      <c r="S145" s="22">
        <f t="shared" si="41"/>
        <v>0</v>
      </c>
      <c r="T145" s="22">
        <f t="shared" si="41"/>
        <v>0</v>
      </c>
      <c r="U145" s="20">
        <f t="shared" si="41"/>
        <v>-2.0813067768534355E-4</v>
      </c>
      <c r="V145" s="21">
        <f t="shared" si="41"/>
        <v>-7.339385514637661E-5</v>
      </c>
      <c r="W145" s="22">
        <f t="shared" si="41"/>
        <v>-1.052940808200899E-4</v>
      </c>
      <c r="X145" s="22">
        <f t="shared" si="41"/>
        <v>-1.6328276950701003E-5</v>
      </c>
      <c r="Y145" s="22">
        <f t="shared" si="41"/>
        <v>8.8932355142212708E-3</v>
      </c>
      <c r="Z145" s="20">
        <f t="shared" si="41"/>
        <v>-2.1559062323523004E-2</v>
      </c>
      <c r="AA145" s="22">
        <f t="shared" si="41"/>
        <v>-2.2159005672449817E-5</v>
      </c>
      <c r="AB145" s="21">
        <f t="shared" si="41"/>
        <v>0</v>
      </c>
      <c r="AC145" s="21">
        <f t="shared" si="41"/>
        <v>1.3096138711472971E-2</v>
      </c>
    </row>
  </sheetData>
  <mergeCells count="33">
    <mergeCell ref="J9:N9"/>
    <mergeCell ref="O9:P9"/>
    <mergeCell ref="Q9:V9"/>
    <mergeCell ref="W9:Y9"/>
    <mergeCell ref="AC8:AC9"/>
    <mergeCell ref="D53:I53"/>
    <mergeCell ref="J53:Y53"/>
    <mergeCell ref="Z53:AB54"/>
    <mergeCell ref="AC53:AC54"/>
    <mergeCell ref="D54:E54"/>
    <mergeCell ref="F54:G54"/>
    <mergeCell ref="H54:I54"/>
    <mergeCell ref="J54:N54"/>
    <mergeCell ref="O54:P54"/>
    <mergeCell ref="D8:I8"/>
    <mergeCell ref="J8:Y8"/>
    <mergeCell ref="Z8:AB9"/>
    <mergeCell ref="D9:E9"/>
    <mergeCell ref="F9:G9"/>
    <mergeCell ref="H9:I9"/>
    <mergeCell ref="D103:I103"/>
    <mergeCell ref="J103:Y103"/>
    <mergeCell ref="Z103:AB104"/>
    <mergeCell ref="AC103:AC104"/>
    <mergeCell ref="D104:E104"/>
    <mergeCell ref="F104:G104"/>
    <mergeCell ref="H104:I104"/>
    <mergeCell ref="J104:N104"/>
    <mergeCell ref="O104:P104"/>
    <mergeCell ref="Q104:V104"/>
    <mergeCell ref="W104:Y104"/>
    <mergeCell ref="Q54:V54"/>
    <mergeCell ref="W54:Y54"/>
  </mergeCells>
  <conditionalFormatting sqref="D106:AC145">
    <cfRule type="colorScale" priority="2">
      <colorScale>
        <cfvo type="min"/>
        <cfvo type="percentile" val="50"/>
        <cfvo type="max"/>
        <color rgb="FFF8696B"/>
        <color rgb="FFFCFCFF"/>
        <color rgb="FF63BE7B"/>
      </colorScale>
    </cfRule>
  </conditionalFormatting>
  <conditionalFormatting sqref="C106:C145">
    <cfRule type="colorScale" priority="1">
      <colorScale>
        <cfvo type="min"/>
        <cfvo type="percentile" val="50"/>
        <cfvo type="max"/>
        <color rgb="FFF8696B"/>
        <color rgb="FFFCFCFF"/>
        <color rgb="FF63BE7B"/>
      </colorScale>
    </cfRule>
  </conditionalFormatting>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2EA1-7360-481C-B08D-A27BBE8F4178}">
  <dimension ref="A1:AH150"/>
  <sheetViews>
    <sheetView zoomScale="70" zoomScaleNormal="70" workbookViewId="0">
      <selection sqref="A1:XFD9"/>
    </sheetView>
  </sheetViews>
  <sheetFormatPr defaultRowHeight="14.4" x14ac:dyDescent="0.3"/>
  <cols>
    <col min="3" max="3" width="10.88671875" customWidth="1"/>
    <col min="11" max="11" width="11.109375" customWidth="1"/>
    <col min="17" max="17" width="11.109375" customWidth="1"/>
    <col min="18" max="18" width="10.21875" customWidth="1"/>
    <col min="19" max="20" width="10.5546875" customWidth="1"/>
    <col min="21" max="21" width="12" customWidth="1"/>
    <col min="26" max="26" width="13" customWidth="1"/>
    <col min="27" max="27" width="10.109375" customWidth="1"/>
    <col min="29" max="29" width="11.6640625" customWidth="1"/>
    <col min="31" max="31" width="11.21875" customWidth="1"/>
    <col min="32" max="32" width="10.5546875" customWidth="1"/>
    <col min="33" max="33" width="10.6640625" customWidth="1"/>
    <col min="34" max="34" width="8.77734375" customWidth="1"/>
  </cols>
  <sheetData>
    <row r="1" spans="1:29" x14ac:dyDescent="0.3">
      <c r="A1" t="s">
        <v>86</v>
      </c>
    </row>
    <row r="2" spans="1:29" x14ac:dyDescent="0.3">
      <c r="A2" t="s">
        <v>30</v>
      </c>
    </row>
    <row r="3" spans="1:29" x14ac:dyDescent="0.3">
      <c r="A3" t="s">
        <v>0</v>
      </c>
    </row>
    <row r="4" spans="1:29" x14ac:dyDescent="0.3">
      <c r="A4" t="s">
        <v>83</v>
      </c>
    </row>
    <row r="5" spans="1:29" x14ac:dyDescent="0.3">
      <c r="A5" t="s">
        <v>1</v>
      </c>
    </row>
    <row r="7" spans="1:29" ht="15" thickBot="1" x14ac:dyDescent="0.35">
      <c r="A7" t="s">
        <v>81</v>
      </c>
    </row>
    <row r="8" spans="1:29" ht="15" thickBot="1" x14ac:dyDescent="0.35">
      <c r="A8" s="1"/>
      <c r="B8" s="2"/>
      <c r="C8" s="3"/>
      <c r="D8" s="88" t="s">
        <v>2</v>
      </c>
      <c r="E8" s="89"/>
      <c r="F8" s="89"/>
      <c r="G8" s="89"/>
      <c r="H8" s="89"/>
      <c r="I8" s="90"/>
      <c r="J8" s="88" t="s">
        <v>3</v>
      </c>
      <c r="K8" s="89"/>
      <c r="L8" s="89"/>
      <c r="M8" s="89"/>
      <c r="N8" s="89"/>
      <c r="O8" s="89"/>
      <c r="P8" s="89"/>
      <c r="Q8" s="89"/>
      <c r="R8" s="89"/>
      <c r="S8" s="89"/>
      <c r="T8" s="89"/>
      <c r="U8" s="89"/>
      <c r="V8" s="89"/>
      <c r="W8" s="89"/>
      <c r="X8" s="89"/>
      <c r="Y8" s="90"/>
      <c r="Z8" s="91" t="s">
        <v>4</v>
      </c>
      <c r="AA8" s="92"/>
      <c r="AB8" s="93"/>
      <c r="AC8" s="97" t="s">
        <v>38</v>
      </c>
    </row>
    <row r="9" spans="1:29" ht="15" customHeight="1" thickBot="1" x14ac:dyDescent="0.35">
      <c r="A9" s="4"/>
      <c r="B9" s="5"/>
      <c r="C9" s="6"/>
      <c r="D9" s="85" t="s">
        <v>5</v>
      </c>
      <c r="E9" s="86"/>
      <c r="F9" s="85" t="s">
        <v>6</v>
      </c>
      <c r="G9" s="86"/>
      <c r="H9" s="85" t="s">
        <v>7</v>
      </c>
      <c r="I9" s="86"/>
      <c r="J9" s="85" t="s">
        <v>8</v>
      </c>
      <c r="K9" s="87"/>
      <c r="L9" s="87"/>
      <c r="M9" s="87"/>
      <c r="N9" s="86"/>
      <c r="O9" s="85" t="s">
        <v>9</v>
      </c>
      <c r="P9" s="86"/>
      <c r="Q9" s="85" t="s">
        <v>10</v>
      </c>
      <c r="R9" s="87"/>
      <c r="S9" s="87"/>
      <c r="T9" s="87"/>
      <c r="U9" s="87"/>
      <c r="V9" s="86"/>
      <c r="W9" s="85" t="s">
        <v>11</v>
      </c>
      <c r="X9" s="87"/>
      <c r="Y9" s="86"/>
      <c r="Z9" s="94"/>
      <c r="AA9" s="95"/>
      <c r="AB9" s="96"/>
      <c r="AC9" s="98"/>
    </row>
    <row r="10" spans="1:29" ht="43.8" thickBot="1" x14ac:dyDescent="0.35">
      <c r="A10" s="7" t="s">
        <v>12</v>
      </c>
      <c r="B10" s="8" t="s">
        <v>27</v>
      </c>
      <c r="C10" s="9" t="s">
        <v>13</v>
      </c>
      <c r="D10" s="7" t="s">
        <v>14</v>
      </c>
      <c r="E10" s="9" t="s">
        <v>15</v>
      </c>
      <c r="F10" s="7" t="s">
        <v>16</v>
      </c>
      <c r="G10" s="9" t="s">
        <v>17</v>
      </c>
      <c r="H10" s="7" t="s">
        <v>18</v>
      </c>
      <c r="I10" s="9" t="s">
        <v>19</v>
      </c>
      <c r="J10" s="7" t="s">
        <v>20</v>
      </c>
      <c r="K10" s="8" t="s">
        <v>21</v>
      </c>
      <c r="L10" s="8" t="s">
        <v>22</v>
      </c>
      <c r="M10" s="8" t="s">
        <v>7</v>
      </c>
      <c r="N10" s="9" t="s">
        <v>6</v>
      </c>
      <c r="O10" s="31" t="s">
        <v>40</v>
      </c>
      <c r="P10" s="31" t="s">
        <v>42</v>
      </c>
      <c r="Q10" s="7" t="s">
        <v>23</v>
      </c>
      <c r="R10" s="8" t="s">
        <v>60</v>
      </c>
      <c r="S10" s="8" t="s">
        <v>24</v>
      </c>
      <c r="T10" s="8" t="s">
        <v>25</v>
      </c>
      <c r="U10" s="7" t="s">
        <v>44</v>
      </c>
      <c r="V10" s="31" t="s">
        <v>62</v>
      </c>
      <c r="W10" s="7" t="s">
        <v>36</v>
      </c>
      <c r="X10" s="8" t="s">
        <v>35</v>
      </c>
      <c r="Y10" s="9" t="s">
        <v>43</v>
      </c>
      <c r="Z10" s="7" t="s">
        <v>4</v>
      </c>
      <c r="AA10" s="8" t="s">
        <v>28</v>
      </c>
      <c r="AB10" s="9" t="s">
        <v>29</v>
      </c>
      <c r="AC10" s="30" t="s">
        <v>37</v>
      </c>
    </row>
    <row r="11" spans="1:29" x14ac:dyDescent="0.3">
      <c r="A11" s="17" t="s">
        <v>47</v>
      </c>
      <c r="B11">
        <v>1989</v>
      </c>
      <c r="C11" s="18">
        <v>1324.864</v>
      </c>
      <c r="D11" s="14">
        <v>0</v>
      </c>
      <c r="E11" s="16">
        <v>0</v>
      </c>
      <c r="F11" s="14">
        <v>3.7294393990628498E-3</v>
      </c>
      <c r="G11" s="16">
        <v>1.1030566156224299E-2</v>
      </c>
      <c r="H11" s="14">
        <v>1.01550045891503E-2</v>
      </c>
      <c r="I11" s="16">
        <v>0</v>
      </c>
      <c r="J11" s="14">
        <v>7.3185625090575301E-2</v>
      </c>
      <c r="K11" s="15">
        <v>0</v>
      </c>
      <c r="L11" s="15">
        <v>5.6238980000966103E-2</v>
      </c>
      <c r="M11" s="15">
        <v>0</v>
      </c>
      <c r="N11" s="16">
        <v>0</v>
      </c>
      <c r="O11" s="14">
        <v>4.2510023670354101E-3</v>
      </c>
      <c r="P11" s="16">
        <v>0</v>
      </c>
      <c r="Q11" s="14">
        <v>9.6828051784938005E-3</v>
      </c>
      <c r="R11" s="15">
        <v>0</v>
      </c>
      <c r="S11" s="15">
        <v>0</v>
      </c>
      <c r="T11" s="15">
        <v>1.45242077677407E-2</v>
      </c>
      <c r="U11" s="14">
        <v>7.9863921116359454E-2</v>
      </c>
      <c r="V11" s="16">
        <v>4.315927220763454E-2</v>
      </c>
      <c r="W11" s="14">
        <v>9.7142046277957604E-3</v>
      </c>
      <c r="X11" s="15">
        <v>9.9866854258248393E-3</v>
      </c>
      <c r="Y11" s="16">
        <v>1.8267535384764E-2</v>
      </c>
      <c r="Z11" s="14">
        <v>0.65331988792811901</v>
      </c>
      <c r="AA11" s="15">
        <v>2.8908627602531301E-3</v>
      </c>
      <c r="AB11" s="16">
        <v>0</v>
      </c>
      <c r="AC11" s="26">
        <f t="shared" ref="AC11:AC46" si="0">SUM(F11:P11)</f>
        <v>0.15859061760301427</v>
      </c>
    </row>
    <row r="12" spans="1:29" x14ac:dyDescent="0.3">
      <c r="A12" s="17" t="s">
        <v>47</v>
      </c>
      <c r="B12">
        <v>1990</v>
      </c>
      <c r="C12" s="18">
        <v>294.755</v>
      </c>
      <c r="D12" s="14">
        <v>1.3061695306271299E-3</v>
      </c>
      <c r="E12" s="16">
        <v>1.03475768010721E-3</v>
      </c>
      <c r="F12" s="14">
        <v>4.0711777577988499E-5</v>
      </c>
      <c r="G12" s="16">
        <v>1.4045563264406E-3</v>
      </c>
      <c r="H12" s="14">
        <v>4.3388576953741202E-2</v>
      </c>
      <c r="I12" s="16">
        <v>0</v>
      </c>
      <c r="J12" s="14">
        <v>2.25611100744686E-2</v>
      </c>
      <c r="K12" s="15">
        <v>6.4460314498481798E-5</v>
      </c>
      <c r="L12" s="15">
        <v>8.5494732913775904E-4</v>
      </c>
      <c r="M12" s="15">
        <v>0</v>
      </c>
      <c r="N12" s="16">
        <v>0</v>
      </c>
      <c r="O12" s="14">
        <v>0</v>
      </c>
      <c r="P12" s="16">
        <v>3.1992671880036001E-3</v>
      </c>
      <c r="Q12" s="14">
        <v>2.375584567530039E-2</v>
      </c>
      <c r="R12" s="15">
        <v>0</v>
      </c>
      <c r="S12" s="15">
        <v>0</v>
      </c>
      <c r="T12" s="15">
        <v>0.10764480910578861</v>
      </c>
      <c r="U12" s="14">
        <v>1.8320683032320643E-2</v>
      </c>
      <c r="V12" s="16">
        <v>0.11569909610628583</v>
      </c>
      <c r="W12" s="14">
        <v>2.2092924632321799E-2</v>
      </c>
      <c r="X12" s="15">
        <v>3.3926481314990402E-6</v>
      </c>
      <c r="Y12" s="16">
        <v>4.9800681922274402E-2</v>
      </c>
      <c r="Z12" s="14">
        <v>0.57016844497972896</v>
      </c>
      <c r="AA12" s="15">
        <v>1.86595647232447E-2</v>
      </c>
      <c r="AB12" s="16">
        <v>0</v>
      </c>
      <c r="AC12" s="26">
        <f t="shared" si="0"/>
        <v>7.1513629963868244E-2</v>
      </c>
    </row>
    <row r="13" spans="1:29" x14ac:dyDescent="0.3">
      <c r="A13" s="17" t="s">
        <v>47</v>
      </c>
      <c r="B13">
        <v>1991</v>
      </c>
      <c r="C13" s="18">
        <v>1385.4090000000001</v>
      </c>
      <c r="D13" s="14">
        <v>2.49601381252756E-3</v>
      </c>
      <c r="E13" s="16">
        <v>4.3423999699727699E-3</v>
      </c>
      <c r="F13" s="14">
        <v>2.9760164687828699E-3</v>
      </c>
      <c r="G13" s="16">
        <v>2.2137866868195601E-3</v>
      </c>
      <c r="H13" s="14">
        <v>4.2632175769032797E-2</v>
      </c>
      <c r="I13" s="16">
        <v>0</v>
      </c>
      <c r="J13" s="14">
        <v>4.41761241626119E-2</v>
      </c>
      <c r="K13" s="15">
        <v>4.2673318853854699E-3</v>
      </c>
      <c r="L13" s="15">
        <v>3.98510475967747E-3</v>
      </c>
      <c r="M13" s="15">
        <v>0</v>
      </c>
      <c r="N13" s="16">
        <v>0</v>
      </c>
      <c r="O13" s="14">
        <v>6.2645760205109098E-3</v>
      </c>
      <c r="P13" s="16">
        <v>6.0639132559410303E-3</v>
      </c>
      <c r="Q13" s="14">
        <v>2.8495210973171408E-2</v>
      </c>
      <c r="R13" s="15">
        <v>0</v>
      </c>
      <c r="S13" s="15">
        <v>0</v>
      </c>
      <c r="T13" s="15">
        <v>4.4325883736044389E-2</v>
      </c>
      <c r="U13" s="14">
        <v>3.9950914180791483E-2</v>
      </c>
      <c r="V13" s="16">
        <v>8.8404683335898515E-2</v>
      </c>
      <c r="W13" s="14">
        <v>9.5560228062615393E-3</v>
      </c>
      <c r="X13" s="15">
        <v>1.36854892670684E-3</v>
      </c>
      <c r="Y13" s="16">
        <v>1.9084616889308501E-2</v>
      </c>
      <c r="Z13" s="14">
        <v>0.64090820833414497</v>
      </c>
      <c r="AA13" s="15">
        <v>8.4884680264095298E-3</v>
      </c>
      <c r="AB13" s="16">
        <v>0</v>
      </c>
      <c r="AC13" s="26">
        <f t="shared" si="0"/>
        <v>0.11257902900876202</v>
      </c>
    </row>
    <row r="14" spans="1:29" x14ac:dyDescent="0.3">
      <c r="A14" s="17" t="s">
        <v>47</v>
      </c>
      <c r="B14">
        <v>1992</v>
      </c>
      <c r="C14" s="18">
        <v>567.58299999999997</v>
      </c>
      <c r="D14" s="14">
        <v>1.76185685617786E-6</v>
      </c>
      <c r="E14" s="16">
        <v>3.5237137123557301E-6</v>
      </c>
      <c r="F14" s="14">
        <v>6.0570876858538798E-2</v>
      </c>
      <c r="G14" s="16">
        <v>0</v>
      </c>
      <c r="H14" s="14">
        <v>6.2575869960869196E-2</v>
      </c>
      <c r="I14" s="16">
        <v>1.6191464508274599E-3</v>
      </c>
      <c r="J14" s="14">
        <v>4.7055672914798397E-2</v>
      </c>
      <c r="K14" s="15">
        <v>2.0500966378485599E-2</v>
      </c>
      <c r="L14" s="15">
        <v>2.05379653724653E-2</v>
      </c>
      <c r="M14" s="15">
        <v>0</v>
      </c>
      <c r="N14" s="16">
        <v>0</v>
      </c>
      <c r="O14" s="14">
        <v>9.7888766929242095E-3</v>
      </c>
      <c r="P14" s="16">
        <v>2.2310393369780301E-2</v>
      </c>
      <c r="Q14" s="14">
        <v>6.5356238104562186E-3</v>
      </c>
      <c r="R14" s="15">
        <v>0</v>
      </c>
      <c r="S14" s="15">
        <v>0</v>
      </c>
      <c r="T14" s="15">
        <v>6.3811796743013474E-2</v>
      </c>
      <c r="U14" s="14">
        <v>6.1402229253671257E-3</v>
      </c>
      <c r="V14" s="16">
        <v>5.5470149478316577E-2</v>
      </c>
      <c r="W14" s="14">
        <v>5.9240674932124503E-2</v>
      </c>
      <c r="X14" s="15">
        <v>0</v>
      </c>
      <c r="Y14" s="16">
        <v>5.7831189447182199E-2</v>
      </c>
      <c r="Z14" s="14">
        <v>0.50200587403075903</v>
      </c>
      <c r="AA14" s="15">
        <v>3.9994150635237497E-3</v>
      </c>
      <c r="AB14" s="16">
        <v>0</v>
      </c>
      <c r="AC14" s="26">
        <f t="shared" si="0"/>
        <v>0.24495976799868927</v>
      </c>
    </row>
    <row r="15" spans="1:29" x14ac:dyDescent="0.3">
      <c r="A15" s="17" t="s">
        <v>47</v>
      </c>
      <c r="B15">
        <v>1993</v>
      </c>
      <c r="C15" s="18">
        <v>1229.769</v>
      </c>
      <c r="D15" s="14">
        <v>0</v>
      </c>
      <c r="E15" s="16">
        <v>0</v>
      </c>
      <c r="F15" s="14">
        <v>3.0867585701054401E-2</v>
      </c>
      <c r="G15" s="16">
        <v>0</v>
      </c>
      <c r="H15" s="14">
        <v>6.1063500543598E-2</v>
      </c>
      <c r="I15" s="16">
        <v>1.1984364543259801E-2</v>
      </c>
      <c r="J15" s="14">
        <v>2.0398952974095101E-2</v>
      </c>
      <c r="K15" s="15">
        <v>1.2770691081007901E-2</v>
      </c>
      <c r="L15" s="15">
        <v>3.38648965781378E-2</v>
      </c>
      <c r="M15" s="15">
        <v>0</v>
      </c>
      <c r="N15" s="16">
        <v>0</v>
      </c>
      <c r="O15" s="14">
        <v>1.47076402153575E-2</v>
      </c>
      <c r="P15" s="16">
        <v>3.4152755517499597E-5</v>
      </c>
      <c r="Q15" s="14">
        <v>2.7037955389611429E-2</v>
      </c>
      <c r="R15" s="15">
        <v>0</v>
      </c>
      <c r="S15" s="15">
        <v>0</v>
      </c>
      <c r="T15" s="15">
        <v>2.5794731074269172E-2</v>
      </c>
      <c r="U15" s="14">
        <v>1.3548966654350299E-2</v>
      </c>
      <c r="V15" s="16">
        <v>8.3768497031919201E-2</v>
      </c>
      <c r="W15" s="14">
        <v>1.7661853567621202E-2</v>
      </c>
      <c r="X15" s="15">
        <v>0</v>
      </c>
      <c r="Y15" s="16">
        <v>2.1183653190151999E-2</v>
      </c>
      <c r="Z15" s="14">
        <v>0.62531255870004898</v>
      </c>
      <c r="AA15" s="15">
        <v>0</v>
      </c>
      <c r="AB15" s="16">
        <v>0</v>
      </c>
      <c r="AC15" s="26">
        <f t="shared" si="0"/>
        <v>0.18569178439202799</v>
      </c>
    </row>
    <row r="16" spans="1:29" x14ac:dyDescent="0.3">
      <c r="A16" s="17" t="s">
        <v>47</v>
      </c>
      <c r="B16">
        <v>1994</v>
      </c>
      <c r="C16" s="18">
        <v>2066.6610000000001</v>
      </c>
      <c r="D16" s="14">
        <v>0</v>
      </c>
      <c r="E16" s="16">
        <v>0</v>
      </c>
      <c r="F16" s="14">
        <v>2.4701680633640402E-3</v>
      </c>
      <c r="G16" s="16">
        <v>7.2822780320526696E-4</v>
      </c>
      <c r="H16" s="14">
        <v>3.6462196751184603E-2</v>
      </c>
      <c r="I16" s="16">
        <v>4.36743133005365E-3</v>
      </c>
      <c r="J16" s="14">
        <v>2.6813783199083001E-2</v>
      </c>
      <c r="K16" s="15">
        <v>2.1774253251984699E-5</v>
      </c>
      <c r="L16" s="15">
        <v>8.3927649479038895E-3</v>
      </c>
      <c r="M16" s="15">
        <v>0</v>
      </c>
      <c r="N16" s="16">
        <v>0</v>
      </c>
      <c r="O16" s="14">
        <v>1.89677939439511E-3</v>
      </c>
      <c r="P16" s="16">
        <v>0</v>
      </c>
      <c r="Q16" s="14">
        <v>4.5882026254288047E-3</v>
      </c>
      <c r="R16" s="15">
        <v>0</v>
      </c>
      <c r="S16" s="15">
        <v>0</v>
      </c>
      <c r="T16" s="15">
        <v>7.5806211359254694E-2</v>
      </c>
      <c r="U16" s="14">
        <v>1.2199800596347041E-3</v>
      </c>
      <c r="V16" s="16">
        <v>1.2228282621085596E-2</v>
      </c>
      <c r="W16" s="14">
        <v>3.0948471955487599E-3</v>
      </c>
      <c r="X16" s="15">
        <v>0</v>
      </c>
      <c r="Y16" s="16">
        <v>7.4903431186827403E-4</v>
      </c>
      <c r="Z16" s="14">
        <v>0.81895869714481495</v>
      </c>
      <c r="AA16" s="15">
        <v>2.2016189399229002E-3</v>
      </c>
      <c r="AB16" s="16">
        <v>0</v>
      </c>
      <c r="AC16" s="26">
        <f t="shared" si="0"/>
        <v>8.1153125742441559E-2</v>
      </c>
    </row>
    <row r="17" spans="1:29" x14ac:dyDescent="0.3">
      <c r="A17" s="17" t="s">
        <v>47</v>
      </c>
      <c r="B17">
        <v>1995</v>
      </c>
      <c r="C17" s="18">
        <v>1871.4490000000001</v>
      </c>
      <c r="D17" s="14">
        <v>0</v>
      </c>
      <c r="E17" s="16">
        <v>0</v>
      </c>
      <c r="F17" s="14">
        <v>1.9535664610683999E-3</v>
      </c>
      <c r="G17" s="16">
        <v>6.3838234437593499E-3</v>
      </c>
      <c r="H17" s="14">
        <v>1.41473264833827E-2</v>
      </c>
      <c r="I17" s="16">
        <v>5.1484170821646802E-3</v>
      </c>
      <c r="J17" s="14">
        <v>1.53362448028239E-2</v>
      </c>
      <c r="K17" s="15">
        <v>1.92684919546298E-3</v>
      </c>
      <c r="L17" s="15">
        <v>1.44540406925329E-2</v>
      </c>
      <c r="M17" s="15">
        <v>0</v>
      </c>
      <c r="N17" s="16">
        <v>0</v>
      </c>
      <c r="O17" s="14">
        <v>1.28648977343224E-2</v>
      </c>
      <c r="P17" s="16">
        <v>0</v>
      </c>
      <c r="Q17" s="14">
        <v>1.7159560573769408E-2</v>
      </c>
      <c r="R17" s="15">
        <v>0</v>
      </c>
      <c r="S17" s="15">
        <v>1.7479445857434882E-3</v>
      </c>
      <c r="T17" s="15">
        <v>1.7725072057392304E-2</v>
      </c>
      <c r="U17" s="14">
        <v>4.6700132177072808E-3</v>
      </c>
      <c r="V17" s="16">
        <v>2.8744736529681018E-2</v>
      </c>
      <c r="W17" s="14">
        <v>1.35189363963432E-3</v>
      </c>
      <c r="X17" s="15">
        <v>0</v>
      </c>
      <c r="Y17" s="16">
        <v>3.5277477505398199E-3</v>
      </c>
      <c r="Z17" s="14">
        <v>0.85285786575001499</v>
      </c>
      <c r="AA17" s="15">
        <v>0</v>
      </c>
      <c r="AB17" s="16">
        <v>0</v>
      </c>
      <c r="AC17" s="26">
        <f t="shared" si="0"/>
        <v>7.2215165895517311E-2</v>
      </c>
    </row>
    <row r="18" spans="1:29" x14ac:dyDescent="0.3">
      <c r="A18" s="17" t="s">
        <v>47</v>
      </c>
      <c r="B18">
        <v>1996</v>
      </c>
      <c r="C18" s="18">
        <v>75.457999999999998</v>
      </c>
      <c r="D18" s="14">
        <v>0</v>
      </c>
      <c r="E18" s="16">
        <v>0</v>
      </c>
      <c r="F18" s="14">
        <v>9.0911500437329401E-3</v>
      </c>
      <c r="G18" s="16">
        <v>0</v>
      </c>
      <c r="H18" s="14">
        <v>4.0154788094039096E-3</v>
      </c>
      <c r="I18" s="16">
        <v>0</v>
      </c>
      <c r="J18" s="14">
        <v>1.72281269050333E-4</v>
      </c>
      <c r="K18" s="15">
        <v>3.9757215934692198E-5</v>
      </c>
      <c r="L18" s="15">
        <v>2.6504810623128097E-4</v>
      </c>
      <c r="M18" s="15">
        <v>1.12645445148294E-3</v>
      </c>
      <c r="N18" s="16">
        <v>0</v>
      </c>
      <c r="O18" s="14">
        <v>8.5478014259588106E-3</v>
      </c>
      <c r="P18" s="16">
        <v>6.8912507620133101E-4</v>
      </c>
      <c r="Q18" s="14">
        <v>0</v>
      </c>
      <c r="R18" s="15">
        <v>0</v>
      </c>
      <c r="S18" s="15">
        <v>0</v>
      </c>
      <c r="T18" s="15">
        <v>0</v>
      </c>
      <c r="U18" s="14">
        <v>1.8574579224222006E-2</v>
      </c>
      <c r="V18" s="16">
        <v>0.150155045202611</v>
      </c>
      <c r="W18" s="14">
        <v>0</v>
      </c>
      <c r="X18" s="15">
        <v>0</v>
      </c>
      <c r="Y18" s="16">
        <v>7.0754591958440499E-2</v>
      </c>
      <c r="Z18" s="14">
        <v>0.73656868721672997</v>
      </c>
      <c r="AA18" s="15">
        <v>0</v>
      </c>
      <c r="AB18" s="16">
        <v>0</v>
      </c>
      <c r="AC18" s="26">
        <f t="shared" si="0"/>
        <v>2.3947096397996238E-2</v>
      </c>
    </row>
    <row r="19" spans="1:29" x14ac:dyDescent="0.3">
      <c r="A19" s="17" t="s">
        <v>47</v>
      </c>
      <c r="B19">
        <v>1997</v>
      </c>
      <c r="C19" s="18">
        <v>215.351</v>
      </c>
      <c r="D19" s="14">
        <v>0</v>
      </c>
      <c r="E19" s="16">
        <v>0</v>
      </c>
      <c r="F19" s="14">
        <v>0</v>
      </c>
      <c r="G19" s="16">
        <v>1.6117872682272199E-2</v>
      </c>
      <c r="H19" s="14">
        <v>0</v>
      </c>
      <c r="I19" s="16">
        <v>0</v>
      </c>
      <c r="J19" s="14">
        <v>5.2365672785359703E-2</v>
      </c>
      <c r="K19" s="15">
        <v>0</v>
      </c>
      <c r="L19" s="15">
        <v>0</v>
      </c>
      <c r="M19" s="15">
        <v>0</v>
      </c>
      <c r="N19" s="16">
        <v>0</v>
      </c>
      <c r="O19" s="14">
        <v>3.6396394723033597E-2</v>
      </c>
      <c r="P19" s="16">
        <v>0</v>
      </c>
      <c r="Q19" s="14">
        <v>0</v>
      </c>
      <c r="R19" s="15">
        <v>0</v>
      </c>
      <c r="S19" s="15">
        <v>0</v>
      </c>
      <c r="T19" s="15">
        <v>6.3737804793105202E-2</v>
      </c>
      <c r="U19" s="14">
        <v>3.2851908549413312E-3</v>
      </c>
      <c r="V19" s="16">
        <v>1.366388298265407E-2</v>
      </c>
      <c r="W19" s="14">
        <v>0</v>
      </c>
      <c r="X19" s="15">
        <v>0</v>
      </c>
      <c r="Y19" s="16">
        <v>6.5841347381716403E-2</v>
      </c>
      <c r="Z19" s="14">
        <v>0.74859183379691796</v>
      </c>
      <c r="AA19" s="15">
        <v>0</v>
      </c>
      <c r="AB19" s="16">
        <v>0</v>
      </c>
      <c r="AC19" s="26">
        <f t="shared" si="0"/>
        <v>0.10487994019066549</v>
      </c>
    </row>
    <row r="20" spans="1:29" x14ac:dyDescent="0.3">
      <c r="A20" s="17" t="s">
        <v>47</v>
      </c>
      <c r="B20">
        <v>1998</v>
      </c>
      <c r="C20" s="18">
        <v>415.30399999999997</v>
      </c>
      <c r="D20" s="14">
        <v>0</v>
      </c>
      <c r="E20" s="16">
        <v>0</v>
      </c>
      <c r="F20" s="14">
        <v>0</v>
      </c>
      <c r="G20" s="16">
        <v>3.5913451351299301E-2</v>
      </c>
      <c r="H20" s="14">
        <v>0</v>
      </c>
      <c r="I20" s="16">
        <v>0</v>
      </c>
      <c r="J20" s="14">
        <v>1.2480014639878301E-2</v>
      </c>
      <c r="K20" s="15">
        <v>0</v>
      </c>
      <c r="L20" s="15">
        <v>1.5458555660431901E-2</v>
      </c>
      <c r="M20" s="15">
        <v>0</v>
      </c>
      <c r="N20" s="16">
        <v>0</v>
      </c>
      <c r="O20" s="14">
        <v>9.2751333962591293E-3</v>
      </c>
      <c r="P20" s="16">
        <v>0</v>
      </c>
      <c r="Q20" s="14">
        <v>2.6512560968462995E-2</v>
      </c>
      <c r="R20" s="15">
        <v>0</v>
      </c>
      <c r="S20" s="15">
        <v>0</v>
      </c>
      <c r="T20" s="15">
        <v>0.14872774492794097</v>
      </c>
      <c r="U20" s="14">
        <v>8.3404164618304053E-3</v>
      </c>
      <c r="V20" s="16">
        <v>9.1925894481478587E-2</v>
      </c>
      <c r="W20" s="14">
        <v>4.7001714406796E-3</v>
      </c>
      <c r="X20" s="15">
        <v>2.4078747134629102E-6</v>
      </c>
      <c r="Y20" s="16">
        <v>4.8157494269258204E-6</v>
      </c>
      <c r="Z20" s="14">
        <v>0.64665883304759897</v>
      </c>
      <c r="AA20" s="15">
        <v>0</v>
      </c>
      <c r="AB20" s="16">
        <v>0</v>
      </c>
      <c r="AC20" s="26">
        <f t="shared" si="0"/>
        <v>7.3127155047868625E-2</v>
      </c>
    </row>
    <row r="21" spans="1:29" x14ac:dyDescent="0.3">
      <c r="A21" s="17" t="s">
        <v>47</v>
      </c>
      <c r="B21">
        <v>1999</v>
      </c>
      <c r="C21" s="18">
        <v>2427.5970000000002</v>
      </c>
      <c r="D21" s="14">
        <v>0</v>
      </c>
      <c r="E21" s="16">
        <v>0</v>
      </c>
      <c r="F21" s="14">
        <v>0</v>
      </c>
      <c r="G21" s="16">
        <v>2.2862114263611298E-3</v>
      </c>
      <c r="H21" s="14">
        <v>0</v>
      </c>
      <c r="I21" s="16">
        <v>0</v>
      </c>
      <c r="J21" s="14">
        <v>5.3938112462653398E-3</v>
      </c>
      <c r="K21" s="15">
        <v>0</v>
      </c>
      <c r="L21" s="15">
        <v>2.00815868531721E-3</v>
      </c>
      <c r="M21" s="15">
        <v>0</v>
      </c>
      <c r="N21" s="16">
        <v>0</v>
      </c>
      <c r="O21" s="14">
        <v>0</v>
      </c>
      <c r="P21" s="16">
        <v>0</v>
      </c>
      <c r="Q21" s="14">
        <v>2.1203657030968409E-2</v>
      </c>
      <c r="R21" s="15">
        <v>0</v>
      </c>
      <c r="S21" s="15">
        <v>8.8073341769339189E-4</v>
      </c>
      <c r="T21" s="15">
        <v>0</v>
      </c>
      <c r="U21" s="14">
        <v>2.3985570451046812E-3</v>
      </c>
      <c r="V21" s="16">
        <v>6.6289532452451921E-2</v>
      </c>
      <c r="W21" s="14">
        <v>6.97768204524886E-3</v>
      </c>
      <c r="X21" s="15">
        <v>4.28407186201004E-4</v>
      </c>
      <c r="Y21" s="16">
        <v>0</v>
      </c>
      <c r="Z21" s="14">
        <v>0.89213324946438799</v>
      </c>
      <c r="AA21" s="15">
        <v>0</v>
      </c>
      <c r="AB21" s="16">
        <v>0</v>
      </c>
      <c r="AC21" s="26">
        <f t="shared" si="0"/>
        <v>9.6881813579436805E-3</v>
      </c>
    </row>
    <row r="22" spans="1:29" x14ac:dyDescent="0.3">
      <c r="A22" s="17" t="s">
        <v>47</v>
      </c>
      <c r="B22">
        <v>2000</v>
      </c>
      <c r="C22" s="18">
        <v>1769.29</v>
      </c>
      <c r="D22" s="14">
        <v>0</v>
      </c>
      <c r="E22" s="16">
        <v>0</v>
      </c>
      <c r="F22" s="14">
        <v>7.9806023885287299E-4</v>
      </c>
      <c r="G22" s="16">
        <v>1.9238790701354799E-2</v>
      </c>
      <c r="H22" s="14">
        <v>2.20427403082592E-4</v>
      </c>
      <c r="I22" s="16">
        <v>0</v>
      </c>
      <c r="J22" s="14">
        <v>3.54899422932363E-2</v>
      </c>
      <c r="K22" s="15">
        <v>2.71295265332421E-5</v>
      </c>
      <c r="L22" s="15">
        <v>7.6787864058464102E-3</v>
      </c>
      <c r="M22" s="15">
        <v>0</v>
      </c>
      <c r="N22" s="16">
        <v>0</v>
      </c>
      <c r="O22" s="14">
        <v>0</v>
      </c>
      <c r="P22" s="16">
        <v>0</v>
      </c>
      <c r="Q22" s="14">
        <v>1.0483069400242446E-2</v>
      </c>
      <c r="R22" s="15">
        <v>0</v>
      </c>
      <c r="S22" s="15">
        <v>0</v>
      </c>
      <c r="T22" s="15">
        <v>4.3140700586588455E-2</v>
      </c>
      <c r="U22" s="14">
        <v>4.0919530123687273E-3</v>
      </c>
      <c r="V22" s="16">
        <v>7.5208783441236979E-2</v>
      </c>
      <c r="W22" s="14">
        <v>1.05183435163258E-3</v>
      </c>
      <c r="X22" s="15">
        <v>0</v>
      </c>
      <c r="Y22" s="16">
        <v>0</v>
      </c>
      <c r="Z22" s="14">
        <v>0.80257052263902495</v>
      </c>
      <c r="AA22" s="15">
        <v>0</v>
      </c>
      <c r="AB22" s="16">
        <v>0</v>
      </c>
      <c r="AC22" s="26">
        <f t="shared" si="0"/>
        <v>6.3453136568906207E-2</v>
      </c>
    </row>
    <row r="23" spans="1:29" x14ac:dyDescent="0.3">
      <c r="A23" s="17" t="s">
        <v>47</v>
      </c>
      <c r="B23">
        <v>2001</v>
      </c>
      <c r="C23" s="18">
        <v>2273.7069999999999</v>
      </c>
      <c r="D23" s="14">
        <v>0</v>
      </c>
      <c r="E23" s="16">
        <v>0</v>
      </c>
      <c r="F23" s="14">
        <v>1.65500655977221E-3</v>
      </c>
      <c r="G23" s="16">
        <v>7.6878859061435805E-4</v>
      </c>
      <c r="H23" s="14">
        <v>1.8925041792983901E-3</v>
      </c>
      <c r="I23" s="16">
        <v>0</v>
      </c>
      <c r="J23" s="14">
        <v>3.4060677123305703E-2</v>
      </c>
      <c r="K23" s="15">
        <v>4.3550026454595896E-3</v>
      </c>
      <c r="L23" s="15">
        <v>3.0003865933473399E-3</v>
      </c>
      <c r="M23" s="15">
        <v>0</v>
      </c>
      <c r="N23" s="16">
        <v>0</v>
      </c>
      <c r="O23" s="14">
        <v>8.2244546021101198E-5</v>
      </c>
      <c r="P23" s="16">
        <v>0</v>
      </c>
      <c r="Q23" s="14">
        <v>1.9197051666283015E-2</v>
      </c>
      <c r="R23" s="15">
        <v>0</v>
      </c>
      <c r="S23" s="15">
        <v>0</v>
      </c>
      <c r="T23" s="15">
        <v>2.4448853456936488E-2</v>
      </c>
      <c r="U23" s="14">
        <v>9.3469412483942922E-3</v>
      </c>
      <c r="V23" s="16">
        <v>5.7917222515890203E-2</v>
      </c>
      <c r="W23" s="14">
        <v>8.4500773406599901E-3</v>
      </c>
      <c r="X23" s="15">
        <v>0</v>
      </c>
      <c r="Y23" s="16">
        <v>1.31063501145926E-4</v>
      </c>
      <c r="Z23" s="14">
        <v>0.83469418003287099</v>
      </c>
      <c r="AA23" s="15">
        <v>0</v>
      </c>
      <c r="AB23" s="16">
        <v>0</v>
      </c>
      <c r="AC23" s="26">
        <f t="shared" si="0"/>
        <v>4.5814610237818687E-2</v>
      </c>
    </row>
    <row r="24" spans="1:29" x14ac:dyDescent="0.3">
      <c r="A24" s="17" t="s">
        <v>47</v>
      </c>
      <c r="B24">
        <v>2002</v>
      </c>
      <c r="C24" s="18">
        <v>2322.5030000000002</v>
      </c>
      <c r="D24" s="14">
        <v>1.20129015979743E-4</v>
      </c>
      <c r="E24" s="16">
        <v>0</v>
      </c>
      <c r="F24" s="14">
        <v>1.4923554458272001E-2</v>
      </c>
      <c r="G24" s="16">
        <v>3.2619979392922199E-3</v>
      </c>
      <c r="H24" s="14">
        <v>6.5334684174789001E-3</v>
      </c>
      <c r="I24" s="16">
        <v>3.4660880954728602E-4</v>
      </c>
      <c r="J24" s="14">
        <v>8.2458451076274208E-3</v>
      </c>
      <c r="K24" s="15">
        <v>9.4725388944599908E-6</v>
      </c>
      <c r="L24" s="15">
        <v>2.8189414610013401E-3</v>
      </c>
      <c r="M24" s="15">
        <v>0</v>
      </c>
      <c r="N24" s="16">
        <v>0</v>
      </c>
      <c r="O24" s="14">
        <v>2.1554331684394E-3</v>
      </c>
      <c r="P24" s="16">
        <v>0</v>
      </c>
      <c r="Q24" s="14">
        <v>0</v>
      </c>
      <c r="R24" s="15">
        <v>0</v>
      </c>
      <c r="S24" s="15">
        <v>2.7388255219457421E-3</v>
      </c>
      <c r="T24" s="15">
        <v>2.2094726899730355E-2</v>
      </c>
      <c r="U24" s="14">
        <v>3.8625187560768987E-3</v>
      </c>
      <c r="V24" s="16">
        <v>3.6120206777539202E-2</v>
      </c>
      <c r="W24" s="14">
        <v>7.9810445885322902E-3</v>
      </c>
      <c r="X24" s="15">
        <v>0</v>
      </c>
      <c r="Y24" s="16">
        <v>2.1748088161780599E-3</v>
      </c>
      <c r="Z24" s="14">
        <v>0.886612417723465</v>
      </c>
      <c r="AA24" s="15">
        <v>0</v>
      </c>
      <c r="AB24" s="16">
        <v>0</v>
      </c>
      <c r="AC24" s="26">
        <f t="shared" si="0"/>
        <v>3.8295321900553028E-2</v>
      </c>
    </row>
    <row r="25" spans="1:29" x14ac:dyDescent="0.3">
      <c r="A25" s="17" t="s">
        <v>47</v>
      </c>
      <c r="B25">
        <v>2003</v>
      </c>
      <c r="C25" s="18">
        <v>1805.0609999999999</v>
      </c>
      <c r="D25" s="14">
        <v>1.1694895629566001E-3</v>
      </c>
      <c r="E25" s="16">
        <v>0</v>
      </c>
      <c r="F25" s="14">
        <v>2.5199702392329101E-2</v>
      </c>
      <c r="G25" s="16">
        <v>0</v>
      </c>
      <c r="H25" s="14">
        <v>9.1005234726139403E-3</v>
      </c>
      <c r="I25" s="16">
        <v>6.1266627554415103E-3</v>
      </c>
      <c r="J25" s="14">
        <v>1.8241488791791501E-2</v>
      </c>
      <c r="K25" s="15">
        <v>0</v>
      </c>
      <c r="L25" s="15">
        <v>1.01974393109153E-2</v>
      </c>
      <c r="M25" s="15">
        <v>0</v>
      </c>
      <c r="N25" s="16">
        <v>0</v>
      </c>
      <c r="O25" s="14">
        <v>0</v>
      </c>
      <c r="P25" s="16">
        <v>0</v>
      </c>
      <c r="Q25" s="14">
        <v>3.2175740239364856E-2</v>
      </c>
      <c r="R25" s="15">
        <v>0</v>
      </c>
      <c r="S25" s="15">
        <v>2.925605683461484E-3</v>
      </c>
      <c r="T25" s="15">
        <v>3.2619911142724355E-2</v>
      </c>
      <c r="U25" s="14">
        <v>6.7547528530045864E-4</v>
      </c>
      <c r="V25" s="16">
        <v>4.6894403602095814E-3</v>
      </c>
      <c r="W25" s="14">
        <v>4.9948450495578799E-3</v>
      </c>
      <c r="X25" s="15">
        <v>0</v>
      </c>
      <c r="Y25" s="16">
        <v>1.1079957962639501E-6</v>
      </c>
      <c r="Z25" s="14">
        <v>0.85188256795753703</v>
      </c>
      <c r="AA25" s="15">
        <v>0</v>
      </c>
      <c r="AB25" s="16">
        <v>0</v>
      </c>
      <c r="AC25" s="26">
        <f t="shared" si="0"/>
        <v>6.8865816723091347E-2</v>
      </c>
    </row>
    <row r="26" spans="1:29" x14ac:dyDescent="0.3">
      <c r="A26" s="17" t="s">
        <v>47</v>
      </c>
      <c r="B26">
        <v>2004</v>
      </c>
      <c r="C26" s="18">
        <v>439.53300000000002</v>
      </c>
      <c r="D26" s="14">
        <v>4.5502840514819102E-6</v>
      </c>
      <c r="E26" s="16">
        <v>0</v>
      </c>
      <c r="F26" s="14">
        <v>2.1868665151422099E-2</v>
      </c>
      <c r="G26" s="16">
        <v>0</v>
      </c>
      <c r="H26" s="14">
        <v>2.0410299112922099E-2</v>
      </c>
      <c r="I26" s="16">
        <v>0</v>
      </c>
      <c r="J26" s="14">
        <v>1.46974174862866E-2</v>
      </c>
      <c r="K26" s="15">
        <v>0</v>
      </c>
      <c r="L26" s="15">
        <v>2.09813597613831E-2</v>
      </c>
      <c r="M26" s="15">
        <v>0</v>
      </c>
      <c r="N26" s="16">
        <v>0</v>
      </c>
      <c r="O26" s="14">
        <v>0</v>
      </c>
      <c r="P26" s="16">
        <v>0</v>
      </c>
      <c r="Q26" s="14">
        <v>0</v>
      </c>
      <c r="R26" s="15">
        <v>0</v>
      </c>
      <c r="S26" s="15">
        <v>0</v>
      </c>
      <c r="T26" s="15">
        <v>0</v>
      </c>
      <c r="U26" s="14">
        <v>1.8146348554753538E-2</v>
      </c>
      <c r="V26" s="16">
        <v>0.21898942964620047</v>
      </c>
      <c r="W26" s="14">
        <v>1.0254065110014501E-2</v>
      </c>
      <c r="X26" s="15">
        <v>0</v>
      </c>
      <c r="Y26" s="16">
        <v>0</v>
      </c>
      <c r="Z26" s="14">
        <v>0.67464786489296602</v>
      </c>
      <c r="AA26" s="15">
        <v>0</v>
      </c>
      <c r="AB26" s="16">
        <v>0</v>
      </c>
      <c r="AC26" s="26">
        <f t="shared" si="0"/>
        <v>7.7957741512013901E-2</v>
      </c>
    </row>
    <row r="27" spans="1:29" x14ac:dyDescent="0.3">
      <c r="A27" s="17" t="s">
        <v>47</v>
      </c>
      <c r="B27">
        <v>2005</v>
      </c>
      <c r="C27" s="18">
        <v>541.16300000000001</v>
      </c>
      <c r="D27" s="14">
        <v>0</v>
      </c>
      <c r="E27" s="16">
        <v>0</v>
      </c>
      <c r="F27" s="14">
        <v>9.7105677956549098E-3</v>
      </c>
      <c r="G27" s="16">
        <v>0</v>
      </c>
      <c r="H27" s="14">
        <v>2.9100289561555401E-2</v>
      </c>
      <c r="I27" s="16">
        <v>0</v>
      </c>
      <c r="J27" s="14">
        <v>0.12096355441890901</v>
      </c>
      <c r="K27" s="15">
        <v>0</v>
      </c>
      <c r="L27" s="15">
        <v>0.16337776233778001</v>
      </c>
      <c r="M27" s="15">
        <v>0</v>
      </c>
      <c r="N27" s="16">
        <v>0</v>
      </c>
      <c r="O27" s="14">
        <v>0</v>
      </c>
      <c r="P27" s="16">
        <v>0</v>
      </c>
      <c r="Q27" s="14">
        <v>2.2757121425357657E-2</v>
      </c>
      <c r="R27" s="15">
        <v>0</v>
      </c>
      <c r="S27" s="15">
        <v>0</v>
      </c>
      <c r="T27" s="15">
        <v>8.8895005567803345E-2</v>
      </c>
      <c r="U27" s="14">
        <v>2.3528706277299717E-3</v>
      </c>
      <c r="V27" s="16">
        <v>0.11037102217351502</v>
      </c>
      <c r="W27" s="14">
        <v>5.3551332962527001E-3</v>
      </c>
      <c r="X27" s="15">
        <v>0</v>
      </c>
      <c r="Y27" s="16">
        <v>4.2501057906767501E-5</v>
      </c>
      <c r="Z27" s="14">
        <v>0.447074171737536</v>
      </c>
      <c r="AA27" s="15">
        <v>0</v>
      </c>
      <c r="AB27" s="16">
        <v>0</v>
      </c>
      <c r="AC27" s="26">
        <f t="shared" si="0"/>
        <v>0.32315217411389929</v>
      </c>
    </row>
    <row r="28" spans="1:29" x14ac:dyDescent="0.3">
      <c r="A28" s="17" t="s">
        <v>47</v>
      </c>
      <c r="B28">
        <v>2006</v>
      </c>
      <c r="C28" s="18">
        <v>434.75200000000001</v>
      </c>
      <c r="D28" s="14">
        <v>0</v>
      </c>
      <c r="E28" s="16">
        <v>0</v>
      </c>
      <c r="F28" s="14">
        <v>1.65979684969822E-2</v>
      </c>
      <c r="G28" s="16">
        <v>0</v>
      </c>
      <c r="H28" s="14">
        <v>1.7550235536581801E-2</v>
      </c>
      <c r="I28" s="16">
        <v>0</v>
      </c>
      <c r="J28" s="14">
        <v>2.7528337994994899E-2</v>
      </c>
      <c r="K28" s="15">
        <v>0</v>
      </c>
      <c r="L28" s="15">
        <v>4.25529957308995E-4</v>
      </c>
      <c r="M28" s="15">
        <v>0</v>
      </c>
      <c r="N28" s="16">
        <v>0</v>
      </c>
      <c r="O28" s="14">
        <v>0</v>
      </c>
      <c r="P28" s="16">
        <v>0</v>
      </c>
      <c r="Q28" s="14">
        <v>7.3769313962718068E-3</v>
      </c>
      <c r="R28" s="15">
        <v>0</v>
      </c>
      <c r="S28" s="15">
        <v>0</v>
      </c>
      <c r="T28" s="15">
        <v>9.0490358460934187E-2</v>
      </c>
      <c r="U28" s="14">
        <v>4.0164131707509741E-3</v>
      </c>
      <c r="V28" s="16">
        <v>0.13362297664229203</v>
      </c>
      <c r="W28" s="14">
        <v>4.2414986015015498E-3</v>
      </c>
      <c r="X28" s="15">
        <v>0</v>
      </c>
      <c r="Y28" s="16">
        <v>6.3070440158987202E-3</v>
      </c>
      <c r="Z28" s="14">
        <v>0.69184270572648299</v>
      </c>
      <c r="AA28" s="15">
        <v>0</v>
      </c>
      <c r="AB28" s="16">
        <v>0</v>
      </c>
      <c r="AC28" s="26">
        <f t="shared" si="0"/>
        <v>6.2102071985867896E-2</v>
      </c>
    </row>
    <row r="29" spans="1:29" x14ac:dyDescent="0.3">
      <c r="A29" s="17" t="s">
        <v>47</v>
      </c>
      <c r="B29">
        <v>2007</v>
      </c>
      <c r="C29" s="18">
        <v>162.441</v>
      </c>
      <c r="D29" s="14">
        <v>0</v>
      </c>
      <c r="E29" s="16">
        <v>0</v>
      </c>
      <c r="F29" s="14">
        <v>5.4296636932794099E-3</v>
      </c>
      <c r="G29" s="16">
        <v>5.1957326044533101E-3</v>
      </c>
      <c r="H29" s="14">
        <v>5.2609870660732201E-2</v>
      </c>
      <c r="I29" s="16">
        <v>0</v>
      </c>
      <c r="J29" s="14">
        <v>1.78526357262021E-4</v>
      </c>
      <c r="K29" s="15">
        <v>0</v>
      </c>
      <c r="L29" s="15">
        <v>3.8598629656306001E-3</v>
      </c>
      <c r="M29" s="15">
        <v>0</v>
      </c>
      <c r="N29" s="16">
        <v>0</v>
      </c>
      <c r="O29" s="14">
        <v>0</v>
      </c>
      <c r="P29" s="16">
        <v>0</v>
      </c>
      <c r="Q29" s="14">
        <v>0</v>
      </c>
      <c r="R29" s="15">
        <v>0</v>
      </c>
      <c r="S29" s="15">
        <v>4.4947119713426499E-2</v>
      </c>
      <c r="T29" s="15">
        <v>0.1658371034814565</v>
      </c>
      <c r="U29" s="14">
        <v>4.00105308964526E-3</v>
      </c>
      <c r="V29" s="16">
        <v>0.30408003481303975</v>
      </c>
      <c r="W29" s="14">
        <v>2.18109959923911E-2</v>
      </c>
      <c r="X29" s="15">
        <v>0</v>
      </c>
      <c r="Y29" s="16">
        <v>7.6951016061216099E-4</v>
      </c>
      <c r="Z29" s="14">
        <v>0.39128052646807099</v>
      </c>
      <c r="AA29" s="15">
        <v>0</v>
      </c>
      <c r="AB29" s="16">
        <v>0</v>
      </c>
      <c r="AC29" s="26">
        <f t="shared" si="0"/>
        <v>6.7273656281357536E-2</v>
      </c>
    </row>
    <row r="30" spans="1:29" x14ac:dyDescent="0.3">
      <c r="A30" s="17" t="s">
        <v>47</v>
      </c>
      <c r="B30">
        <v>2008</v>
      </c>
      <c r="C30" s="18">
        <v>831.803</v>
      </c>
      <c r="D30" s="14">
        <v>0</v>
      </c>
      <c r="E30" s="16">
        <v>0</v>
      </c>
      <c r="F30" s="14">
        <v>8.5488991984880996E-3</v>
      </c>
      <c r="G30" s="16">
        <v>8.3204797289742893E-3</v>
      </c>
      <c r="H30" s="14">
        <v>0</v>
      </c>
      <c r="I30" s="16">
        <v>0</v>
      </c>
      <c r="J30" s="14">
        <v>1.58727487157416E-2</v>
      </c>
      <c r="K30" s="15">
        <v>0</v>
      </c>
      <c r="L30" s="15">
        <v>0.25892068194031498</v>
      </c>
      <c r="M30" s="15">
        <v>0</v>
      </c>
      <c r="N30" s="16">
        <v>0</v>
      </c>
      <c r="O30" s="14">
        <v>0</v>
      </c>
      <c r="P30" s="16">
        <v>0</v>
      </c>
      <c r="Q30" s="14">
        <v>1.3109035277992314E-3</v>
      </c>
      <c r="R30" s="15">
        <v>0</v>
      </c>
      <c r="S30" s="15">
        <v>9.1120647177417181E-3</v>
      </c>
      <c r="T30" s="15">
        <v>1.8545429319747949E-2</v>
      </c>
      <c r="U30" s="14">
        <v>3.0380308671269173E-3</v>
      </c>
      <c r="V30" s="16">
        <v>8.269140266461078E-2</v>
      </c>
      <c r="W30" s="14">
        <v>1.6376473756406301E-2</v>
      </c>
      <c r="X30" s="15">
        <v>3.7869543629922E-3</v>
      </c>
      <c r="Y30" s="16">
        <v>2.5595002662890101E-3</v>
      </c>
      <c r="Z30" s="14">
        <v>0.57091643093376698</v>
      </c>
      <c r="AA30" s="15">
        <v>0</v>
      </c>
      <c r="AB30" s="16">
        <v>0</v>
      </c>
      <c r="AC30" s="26">
        <f t="shared" si="0"/>
        <v>0.29166280958351898</v>
      </c>
    </row>
    <row r="31" spans="1:29" x14ac:dyDescent="0.3">
      <c r="A31" s="17" t="s">
        <v>47</v>
      </c>
      <c r="B31">
        <v>2009</v>
      </c>
      <c r="C31" s="18">
        <v>293.47199999999998</v>
      </c>
      <c r="D31" s="14">
        <v>3.5778541053320301E-3</v>
      </c>
      <c r="E31" s="16">
        <v>0</v>
      </c>
      <c r="F31" s="14">
        <v>1.6502426125831401E-2</v>
      </c>
      <c r="G31" s="16">
        <v>1.2335077963144701E-3</v>
      </c>
      <c r="H31" s="14">
        <v>0</v>
      </c>
      <c r="I31" s="16">
        <v>8.3142514447715604E-4</v>
      </c>
      <c r="J31" s="14">
        <v>7.5850507033038903E-2</v>
      </c>
      <c r="K31" s="15">
        <v>3.0667320902845902E-4</v>
      </c>
      <c r="L31" s="15">
        <v>1.45499400283502E-3</v>
      </c>
      <c r="M31" s="15">
        <v>0</v>
      </c>
      <c r="N31" s="16">
        <v>0</v>
      </c>
      <c r="O31" s="14">
        <v>1.02224403009486E-5</v>
      </c>
      <c r="P31" s="16">
        <v>0</v>
      </c>
      <c r="Q31" s="14">
        <v>0.16391966979246167</v>
      </c>
      <c r="R31" s="15">
        <v>0</v>
      </c>
      <c r="S31" s="15">
        <v>0</v>
      </c>
      <c r="T31" s="15">
        <v>3.2783933958492328E-2</v>
      </c>
      <c r="U31" s="14">
        <v>6.3846936455925086E-3</v>
      </c>
      <c r="V31" s="16">
        <v>0.18196376889938648</v>
      </c>
      <c r="W31" s="14">
        <v>3.8763493621197298E-2</v>
      </c>
      <c r="X31" s="15">
        <v>0</v>
      </c>
      <c r="Y31" s="16">
        <v>2.1075264420455798E-2</v>
      </c>
      <c r="Z31" s="14">
        <v>0.45534156580525598</v>
      </c>
      <c r="AA31" s="15">
        <v>0</v>
      </c>
      <c r="AB31" s="16">
        <v>0</v>
      </c>
      <c r="AC31" s="26">
        <f t="shared" si="0"/>
        <v>9.6189755751826367E-2</v>
      </c>
    </row>
    <row r="32" spans="1:29" x14ac:dyDescent="0.3">
      <c r="A32" s="17" t="s">
        <v>47</v>
      </c>
      <c r="B32">
        <v>2010</v>
      </c>
      <c r="C32" s="18">
        <v>2383.1469999999999</v>
      </c>
      <c r="D32" s="14">
        <v>3.2347983569624502E-3</v>
      </c>
      <c r="E32" s="16">
        <v>0</v>
      </c>
      <c r="F32" s="14">
        <v>1.2624483508570801E-2</v>
      </c>
      <c r="G32" s="16">
        <v>1.26807116808153E-3</v>
      </c>
      <c r="H32" s="14">
        <v>0</v>
      </c>
      <c r="I32" s="16">
        <v>2.1454824230313901E-3</v>
      </c>
      <c r="J32" s="14">
        <v>5.3227937680722197E-3</v>
      </c>
      <c r="K32" s="15">
        <v>1.19795379806617E-2</v>
      </c>
      <c r="L32" s="15">
        <v>2.4891036935615E-2</v>
      </c>
      <c r="M32" s="15">
        <v>0</v>
      </c>
      <c r="N32" s="16">
        <v>0</v>
      </c>
      <c r="O32" s="14">
        <v>1.09099438683388E-5</v>
      </c>
      <c r="P32" s="16">
        <v>2.2365384930094501E-4</v>
      </c>
      <c r="Q32" s="14">
        <v>0</v>
      </c>
      <c r="R32" s="15">
        <v>0</v>
      </c>
      <c r="S32" s="15">
        <v>0</v>
      </c>
      <c r="T32" s="15">
        <v>0</v>
      </c>
      <c r="U32" s="14">
        <v>3.5718004665020878E-3</v>
      </c>
      <c r="V32" s="16">
        <v>4.1661246424856316E-2</v>
      </c>
      <c r="W32" s="14">
        <v>7.0650278812007796E-3</v>
      </c>
      <c r="X32" s="15">
        <v>0</v>
      </c>
      <c r="Y32" s="16">
        <v>5.1402620148903897E-3</v>
      </c>
      <c r="Z32" s="14">
        <v>0.88086047566516001</v>
      </c>
      <c r="AA32" s="15">
        <v>0</v>
      </c>
      <c r="AB32" s="16">
        <v>0</v>
      </c>
      <c r="AC32" s="26">
        <f t="shared" si="0"/>
        <v>5.8465969577201925E-2</v>
      </c>
    </row>
    <row r="33" spans="1:29" x14ac:dyDescent="0.3">
      <c r="A33" s="17" t="s">
        <v>47</v>
      </c>
      <c r="B33">
        <v>2011</v>
      </c>
      <c r="C33" s="18">
        <v>761.96400000000006</v>
      </c>
      <c r="D33" s="14">
        <v>2.62479592211706E-6</v>
      </c>
      <c r="E33" s="16">
        <v>0</v>
      </c>
      <c r="F33" s="14">
        <v>6.9543967956491402E-3</v>
      </c>
      <c r="G33" s="16">
        <v>9.4361413400108102E-4</v>
      </c>
      <c r="H33" s="14">
        <v>0</v>
      </c>
      <c r="I33" s="16">
        <v>1.12656240977264E-2</v>
      </c>
      <c r="J33" s="14">
        <v>2.9910861930484901E-2</v>
      </c>
      <c r="K33" s="15">
        <v>2.2747793859027501E-2</v>
      </c>
      <c r="L33" s="15">
        <v>7.9372516286858694E-2</v>
      </c>
      <c r="M33" s="15">
        <v>0</v>
      </c>
      <c r="N33" s="16">
        <v>0</v>
      </c>
      <c r="O33" s="14">
        <v>0</v>
      </c>
      <c r="P33" s="16">
        <v>1.7717372474290101E-4</v>
      </c>
      <c r="Q33" s="14">
        <v>2.2447254725945099E-2</v>
      </c>
      <c r="R33" s="15">
        <v>0</v>
      </c>
      <c r="S33" s="15">
        <v>0</v>
      </c>
      <c r="T33" s="15">
        <v>0</v>
      </c>
      <c r="U33" s="14">
        <v>3.7354783165608862E-2</v>
      </c>
      <c r="V33" s="16">
        <v>0</v>
      </c>
      <c r="W33" s="14">
        <v>2.7396307437096801E-2</v>
      </c>
      <c r="X33" s="15">
        <v>0</v>
      </c>
      <c r="Y33" s="16">
        <v>1.0748539301069299E-2</v>
      </c>
      <c r="Z33" s="14">
        <v>0.75067850974586703</v>
      </c>
      <c r="AA33" s="15">
        <v>0</v>
      </c>
      <c r="AB33" s="16">
        <v>0</v>
      </c>
      <c r="AC33" s="26">
        <f t="shared" si="0"/>
        <v>0.15137198082849063</v>
      </c>
    </row>
    <row r="34" spans="1:29" x14ac:dyDescent="0.3">
      <c r="A34" s="17" t="s">
        <v>47</v>
      </c>
      <c r="B34">
        <v>2012</v>
      </c>
      <c r="C34" s="18">
        <v>743.827</v>
      </c>
      <c r="D34" s="14">
        <v>0</v>
      </c>
      <c r="E34" s="16">
        <v>0</v>
      </c>
      <c r="F34" s="14">
        <v>6.6211632543588797E-3</v>
      </c>
      <c r="G34" s="16">
        <v>8.2183088271869705E-3</v>
      </c>
      <c r="H34" s="14">
        <v>3.5626563703656898E-4</v>
      </c>
      <c r="I34" s="16">
        <v>0</v>
      </c>
      <c r="J34" s="14">
        <v>1.4586725139044399E-2</v>
      </c>
      <c r="K34" s="15">
        <v>1.8888800756089799E-2</v>
      </c>
      <c r="L34" s="15">
        <v>3.2873235308747903E-2</v>
      </c>
      <c r="M34" s="15">
        <v>0</v>
      </c>
      <c r="N34" s="16">
        <v>5.4448144528230396E-4</v>
      </c>
      <c r="O34" s="14">
        <v>0</v>
      </c>
      <c r="P34" s="16">
        <v>0</v>
      </c>
      <c r="Q34" s="14">
        <v>7.4881899613702336E-3</v>
      </c>
      <c r="R34" s="15">
        <v>0</v>
      </c>
      <c r="S34" s="15">
        <v>0</v>
      </c>
      <c r="T34" s="15">
        <v>1.4372725453685668E-3</v>
      </c>
      <c r="U34" s="14">
        <v>6.4759871374755629E-3</v>
      </c>
      <c r="V34" s="16">
        <v>0.16594717039781132</v>
      </c>
      <c r="W34" s="14">
        <v>8.1285029986811405E-2</v>
      </c>
      <c r="X34" s="15">
        <v>0</v>
      </c>
      <c r="Y34" s="16">
        <v>4.0237851005677401E-3</v>
      </c>
      <c r="Z34" s="14">
        <v>0.65125358450284798</v>
      </c>
      <c r="AA34" s="15">
        <v>0</v>
      </c>
      <c r="AB34" s="16">
        <v>0</v>
      </c>
      <c r="AC34" s="26">
        <f t="shared" si="0"/>
        <v>8.2088980367746825E-2</v>
      </c>
    </row>
    <row r="35" spans="1:29" x14ac:dyDescent="0.3">
      <c r="A35" s="17" t="s">
        <v>47</v>
      </c>
      <c r="B35">
        <v>2013</v>
      </c>
      <c r="C35" s="18">
        <v>1440.604</v>
      </c>
      <c r="D35" s="14">
        <v>0</v>
      </c>
      <c r="E35" s="16">
        <v>0</v>
      </c>
      <c r="F35" s="14">
        <v>1.0599026519432101E-2</v>
      </c>
      <c r="G35" s="16">
        <v>0</v>
      </c>
      <c r="H35" s="14">
        <v>2.6995621281073801E-3</v>
      </c>
      <c r="I35" s="16">
        <v>0</v>
      </c>
      <c r="J35" s="14">
        <v>2.1394498418718801E-2</v>
      </c>
      <c r="K35" s="15">
        <v>9.7181459998722795E-6</v>
      </c>
      <c r="L35" s="15">
        <v>1.39712231813878E-2</v>
      </c>
      <c r="M35" s="15">
        <v>0</v>
      </c>
      <c r="N35" s="16">
        <v>2.11647336811504E-3</v>
      </c>
      <c r="O35" s="14">
        <v>0</v>
      </c>
      <c r="P35" s="16">
        <v>1.3605404399821201E-4</v>
      </c>
      <c r="Q35" s="14">
        <v>0</v>
      </c>
      <c r="R35" s="15">
        <v>0</v>
      </c>
      <c r="S35" s="15">
        <v>0</v>
      </c>
      <c r="T35" s="15">
        <v>0</v>
      </c>
      <c r="U35" s="14">
        <v>3.0947199992865555E-3</v>
      </c>
      <c r="V35" s="16">
        <v>1.8636442762999226E-2</v>
      </c>
      <c r="W35" s="14">
        <v>3.16915682588692E-2</v>
      </c>
      <c r="X35" s="15">
        <v>0</v>
      </c>
      <c r="Y35" s="16">
        <v>1.05705662347182E-2</v>
      </c>
      <c r="Z35" s="14">
        <v>0.88508014693836701</v>
      </c>
      <c r="AA35" s="15">
        <v>0</v>
      </c>
      <c r="AB35" s="16">
        <v>0</v>
      </c>
      <c r="AC35" s="26">
        <f t="shared" si="0"/>
        <v>5.0926555805759201E-2</v>
      </c>
    </row>
    <row r="36" spans="1:29" x14ac:dyDescent="0.3">
      <c r="A36" s="17" t="s">
        <v>47</v>
      </c>
      <c r="B36">
        <v>2014</v>
      </c>
      <c r="C36" s="18">
        <v>443.13499999999999</v>
      </c>
      <c r="D36" s="14">
        <v>0</v>
      </c>
      <c r="E36" s="16">
        <v>0</v>
      </c>
      <c r="F36" s="14">
        <v>1.02451848759407E-3</v>
      </c>
      <c r="G36" s="16">
        <v>1.25695329865617E-3</v>
      </c>
      <c r="H36" s="14">
        <v>1.8269827479210601E-2</v>
      </c>
      <c r="I36" s="16">
        <v>0</v>
      </c>
      <c r="J36" s="14">
        <v>1.3591794825504599E-2</v>
      </c>
      <c r="K36" s="15">
        <v>8.1239351439177699E-5</v>
      </c>
      <c r="L36" s="15">
        <v>2.43718054317533E-4</v>
      </c>
      <c r="M36" s="15">
        <v>0</v>
      </c>
      <c r="N36" s="16">
        <v>0</v>
      </c>
      <c r="O36" s="14">
        <v>0</v>
      </c>
      <c r="P36" s="16">
        <v>1.38783892041929E-3</v>
      </c>
      <c r="Q36" s="14">
        <v>0</v>
      </c>
      <c r="R36" s="15">
        <v>0</v>
      </c>
      <c r="S36" s="15">
        <v>8.6835840093876602E-3</v>
      </c>
      <c r="T36" s="15">
        <v>0</v>
      </c>
      <c r="U36" s="14">
        <v>1.0041689589057838E-2</v>
      </c>
      <c r="V36" s="16">
        <v>9.7492131932600382E-2</v>
      </c>
      <c r="W36" s="14">
        <v>1.8680537533708699E-2</v>
      </c>
      <c r="X36" s="15">
        <v>1.12832432554413E-5</v>
      </c>
      <c r="Y36" s="16">
        <v>3.6851072472271402E-3</v>
      </c>
      <c r="Z36" s="14">
        <v>0.82554977602762103</v>
      </c>
      <c r="AA36" s="15">
        <v>0</v>
      </c>
      <c r="AB36" s="16">
        <v>0</v>
      </c>
      <c r="AC36" s="26">
        <f t="shared" si="0"/>
        <v>3.5855890417141448E-2</v>
      </c>
    </row>
    <row r="37" spans="1:29" x14ac:dyDescent="0.3">
      <c r="A37" s="17" t="s">
        <v>47</v>
      </c>
      <c r="B37">
        <v>2015</v>
      </c>
      <c r="C37" s="18">
        <v>1568.508</v>
      </c>
      <c r="D37" s="14">
        <v>1.6767526847169401E-4</v>
      </c>
      <c r="E37" s="16">
        <v>0</v>
      </c>
      <c r="F37" s="14">
        <v>3.5422197400332002E-3</v>
      </c>
      <c r="G37" s="16">
        <v>3.3872954425479499E-3</v>
      </c>
      <c r="H37" s="14">
        <v>2.8810818943862601E-3</v>
      </c>
      <c r="I37" s="16">
        <v>0</v>
      </c>
      <c r="J37" s="14">
        <v>3.2210865357396999E-2</v>
      </c>
      <c r="K37" s="15">
        <v>5.1800819632415E-3</v>
      </c>
      <c r="L37" s="15">
        <v>9.0646652742606398E-3</v>
      </c>
      <c r="M37" s="15">
        <v>0</v>
      </c>
      <c r="N37" s="16">
        <v>0</v>
      </c>
      <c r="O37" s="14">
        <v>0</v>
      </c>
      <c r="P37" s="16">
        <v>4.1440655705931998E-5</v>
      </c>
      <c r="Q37" s="14">
        <v>0</v>
      </c>
      <c r="R37" s="15">
        <v>0</v>
      </c>
      <c r="S37" s="15">
        <v>0</v>
      </c>
      <c r="T37" s="15">
        <v>0</v>
      </c>
      <c r="U37" s="14">
        <v>8.3587096415257463E-3</v>
      </c>
      <c r="V37" s="16">
        <v>9.89349732724282E-2</v>
      </c>
      <c r="W37" s="14">
        <v>8.5661023086908098E-3</v>
      </c>
      <c r="X37" s="15">
        <v>1.9190211334593099E-3</v>
      </c>
      <c r="Y37" s="16">
        <v>6.1198285249421799E-3</v>
      </c>
      <c r="Z37" s="14">
        <v>0.81962603952291002</v>
      </c>
      <c r="AA37" s="15">
        <v>0</v>
      </c>
      <c r="AB37" s="16">
        <v>0</v>
      </c>
      <c r="AC37" s="26">
        <f t="shared" si="0"/>
        <v>5.6307650327572477E-2</v>
      </c>
    </row>
    <row r="38" spans="1:29" x14ac:dyDescent="0.3">
      <c r="A38" s="17" t="s">
        <v>47</v>
      </c>
      <c r="B38">
        <v>2016</v>
      </c>
      <c r="C38" s="18">
        <v>980.12800000000004</v>
      </c>
      <c r="D38" s="14">
        <v>1.9211776421038901E-3</v>
      </c>
      <c r="E38" s="16">
        <v>0</v>
      </c>
      <c r="F38" s="14">
        <v>1.68212723236149E-2</v>
      </c>
      <c r="G38" s="16">
        <v>4.5198178197133399E-4</v>
      </c>
      <c r="H38" s="14">
        <v>1.0846542492409199E-2</v>
      </c>
      <c r="I38" s="16">
        <v>0</v>
      </c>
      <c r="J38" s="14">
        <v>7.9372286068758402E-2</v>
      </c>
      <c r="K38" s="15">
        <v>1.5620408762937099E-2</v>
      </c>
      <c r="L38" s="15">
        <v>9.0508586633582608E-3</v>
      </c>
      <c r="M38" s="15">
        <v>0</v>
      </c>
      <c r="N38" s="16">
        <v>0</v>
      </c>
      <c r="O38" s="14">
        <v>0</v>
      </c>
      <c r="P38" s="16">
        <v>0</v>
      </c>
      <c r="Q38" s="14">
        <v>0</v>
      </c>
      <c r="R38" s="15">
        <v>0</v>
      </c>
      <c r="S38" s="15">
        <v>0</v>
      </c>
      <c r="T38" s="15">
        <v>0</v>
      </c>
      <c r="U38" s="14">
        <v>7.1844820563542085E-3</v>
      </c>
      <c r="V38" s="16">
        <v>0.10035759408064013</v>
      </c>
      <c r="W38" s="14">
        <v>1.2287170655261401E-2</v>
      </c>
      <c r="X38" s="15">
        <v>0</v>
      </c>
      <c r="Y38" s="16">
        <v>0</v>
      </c>
      <c r="Z38" s="14">
        <v>0.74608622547259096</v>
      </c>
      <c r="AA38" s="15">
        <v>0</v>
      </c>
      <c r="AB38" s="16">
        <v>0</v>
      </c>
      <c r="AC38" s="26">
        <f t="shared" si="0"/>
        <v>0.13216335009304919</v>
      </c>
    </row>
    <row r="39" spans="1:29" x14ac:dyDescent="0.3">
      <c r="A39" s="17" t="s">
        <v>47</v>
      </c>
      <c r="B39">
        <v>2017</v>
      </c>
      <c r="C39" s="18">
        <v>1127.0609999999999</v>
      </c>
      <c r="D39" s="14">
        <v>8.8726342229923698E-7</v>
      </c>
      <c r="E39" s="16">
        <v>0</v>
      </c>
      <c r="F39" s="14">
        <v>7.8842227705510203E-3</v>
      </c>
      <c r="G39" s="16">
        <v>3.5490536891969501E-6</v>
      </c>
      <c r="H39" s="14">
        <v>1.01059303799883E-2</v>
      </c>
      <c r="I39" s="16">
        <v>0</v>
      </c>
      <c r="J39" s="14">
        <v>2.8254016419696899E-2</v>
      </c>
      <c r="K39" s="15">
        <v>3.1941483202772497E-5</v>
      </c>
      <c r="L39" s="15">
        <v>4.45654671752461E-2</v>
      </c>
      <c r="M39" s="15">
        <v>0</v>
      </c>
      <c r="N39" s="16">
        <v>0</v>
      </c>
      <c r="O39" s="14">
        <v>0</v>
      </c>
      <c r="P39" s="16">
        <v>9.0500869074522096E-5</v>
      </c>
      <c r="Q39" s="14">
        <v>0</v>
      </c>
      <c r="R39" s="15">
        <v>0</v>
      </c>
      <c r="S39" s="15">
        <v>0</v>
      </c>
      <c r="T39" s="15">
        <v>0</v>
      </c>
      <c r="U39" s="14">
        <v>1.8596913751030635E-3</v>
      </c>
      <c r="V39" s="16">
        <v>7.3017356096151856E-2</v>
      </c>
      <c r="W39" s="14">
        <v>1.6962702107516801E-2</v>
      </c>
      <c r="X39" s="15">
        <v>0</v>
      </c>
      <c r="Y39" s="16">
        <v>6.9295273281570399E-4</v>
      </c>
      <c r="Z39" s="14">
        <v>0.81653078227354203</v>
      </c>
      <c r="AA39" s="15">
        <v>0</v>
      </c>
      <c r="AB39" s="16">
        <v>0</v>
      </c>
      <c r="AC39" s="26">
        <f t="shared" si="0"/>
        <v>9.0935628151448816E-2</v>
      </c>
    </row>
    <row r="40" spans="1:29" x14ac:dyDescent="0.3">
      <c r="A40" s="17" t="s">
        <v>47</v>
      </c>
      <c r="B40">
        <v>2018</v>
      </c>
      <c r="C40" s="18">
        <v>1367.6030000000001</v>
      </c>
      <c r="D40" s="14">
        <v>0</v>
      </c>
      <c r="E40" s="16">
        <v>0</v>
      </c>
      <c r="F40" s="14">
        <v>2.9248254062034099E-6</v>
      </c>
      <c r="G40" s="16">
        <v>2.71277556425366E-3</v>
      </c>
      <c r="H40" s="14">
        <v>6.3614952584924098E-3</v>
      </c>
      <c r="I40" s="16">
        <v>0</v>
      </c>
      <c r="J40" s="14">
        <v>1.5754572050514701E-2</v>
      </c>
      <c r="K40" s="15">
        <v>7.0627221496296798E-3</v>
      </c>
      <c r="L40" s="15">
        <v>8.0630124385512505E-3</v>
      </c>
      <c r="M40" s="15">
        <v>0</v>
      </c>
      <c r="N40" s="16">
        <v>0</v>
      </c>
      <c r="O40" s="14">
        <v>0</v>
      </c>
      <c r="P40" s="16">
        <v>0</v>
      </c>
      <c r="Q40" s="14">
        <v>0</v>
      </c>
      <c r="R40" s="15">
        <v>0</v>
      </c>
      <c r="S40" s="15">
        <v>0</v>
      </c>
      <c r="T40" s="15">
        <v>0</v>
      </c>
      <c r="U40" s="14">
        <v>3.075032907405286E-3</v>
      </c>
      <c r="V40" s="16">
        <v>0.11962943615269525</v>
      </c>
      <c r="W40" s="14">
        <v>1.04087224143264E-2</v>
      </c>
      <c r="X40" s="15">
        <v>9.3375051093043805E-4</v>
      </c>
      <c r="Y40" s="16">
        <v>4.8142626186108099E-3</v>
      </c>
      <c r="Z40" s="14">
        <v>0.82118129310918497</v>
      </c>
      <c r="AA40" s="15">
        <v>0</v>
      </c>
      <c r="AB40" s="16">
        <v>0</v>
      </c>
      <c r="AC40" s="26">
        <f t="shared" si="0"/>
        <v>3.9957502286847905E-2</v>
      </c>
    </row>
    <row r="41" spans="1:29" x14ac:dyDescent="0.3">
      <c r="A41" s="17" t="s">
        <v>47</v>
      </c>
      <c r="B41">
        <v>2019</v>
      </c>
      <c r="C41" s="18">
        <v>2054.4160000000002</v>
      </c>
      <c r="D41" s="14">
        <v>0</v>
      </c>
      <c r="E41" s="16">
        <v>0</v>
      </c>
      <c r="F41" s="14">
        <v>0</v>
      </c>
      <c r="G41" s="16">
        <v>0</v>
      </c>
      <c r="H41" s="14">
        <v>0</v>
      </c>
      <c r="I41" s="16">
        <v>0</v>
      </c>
      <c r="J41" s="14">
        <v>0</v>
      </c>
      <c r="K41" s="15">
        <v>7.3013450051012098E-6</v>
      </c>
      <c r="L41" s="15">
        <v>6.0630368922360402E-3</v>
      </c>
      <c r="M41" s="15">
        <v>0</v>
      </c>
      <c r="N41" s="16">
        <v>0</v>
      </c>
      <c r="O41" s="14">
        <v>3.5046456024485802E-5</v>
      </c>
      <c r="P41" s="16">
        <v>5.9384272708156498E-5</v>
      </c>
      <c r="Q41" s="14">
        <v>0</v>
      </c>
      <c r="R41" s="15">
        <v>0</v>
      </c>
      <c r="S41" s="15">
        <v>0</v>
      </c>
      <c r="T41" s="15">
        <v>0</v>
      </c>
      <c r="U41" s="14">
        <v>2.1818810549961523E-3</v>
      </c>
      <c r="V41" s="16">
        <v>1.3582209567351048E-2</v>
      </c>
      <c r="W41" s="14">
        <v>6.3745609457870299E-3</v>
      </c>
      <c r="X41" s="15">
        <v>0</v>
      </c>
      <c r="Y41" s="16">
        <v>1.18126027055864E-2</v>
      </c>
      <c r="Z41" s="14">
        <v>0.959883490003972</v>
      </c>
      <c r="AA41" s="15">
        <v>0</v>
      </c>
      <c r="AB41" s="16">
        <v>0</v>
      </c>
      <c r="AC41" s="26">
        <f t="shared" si="0"/>
        <v>6.1647689659737838E-3</v>
      </c>
    </row>
    <row r="42" spans="1:29" x14ac:dyDescent="0.3">
      <c r="A42" s="17" t="s">
        <v>47</v>
      </c>
      <c r="B42">
        <v>2020</v>
      </c>
      <c r="C42" s="18">
        <v>2010.625</v>
      </c>
      <c r="D42" s="14">
        <v>0</v>
      </c>
      <c r="E42" s="16">
        <v>0</v>
      </c>
      <c r="F42" s="14">
        <v>0</v>
      </c>
      <c r="G42" s="16">
        <v>0</v>
      </c>
      <c r="H42" s="14">
        <v>0</v>
      </c>
      <c r="I42" s="16">
        <v>0</v>
      </c>
      <c r="J42" s="14">
        <v>0</v>
      </c>
      <c r="K42" s="15">
        <v>0</v>
      </c>
      <c r="L42" s="15">
        <v>1.0106807584706201E-2</v>
      </c>
      <c r="M42" s="15">
        <v>0</v>
      </c>
      <c r="N42" s="16">
        <v>0</v>
      </c>
      <c r="O42" s="14">
        <v>5.2570718060304601E-4</v>
      </c>
      <c r="P42" s="16">
        <v>1.9894311470313999E-6</v>
      </c>
      <c r="Q42" s="33">
        <v>0</v>
      </c>
      <c r="R42" s="34">
        <v>0</v>
      </c>
      <c r="S42" s="34">
        <v>0</v>
      </c>
      <c r="T42" s="34">
        <v>0</v>
      </c>
      <c r="U42" s="14">
        <v>7.489469878402163E-3</v>
      </c>
      <c r="V42" s="16">
        <v>0.25964649530655298</v>
      </c>
      <c r="W42" s="14">
        <v>1.73279452906435E-3</v>
      </c>
      <c r="X42" s="15">
        <v>0</v>
      </c>
      <c r="Y42" s="16">
        <v>1.03714019272614E-2</v>
      </c>
      <c r="Z42" s="14">
        <v>0.70999813490829999</v>
      </c>
      <c r="AA42" s="15">
        <v>0</v>
      </c>
      <c r="AB42" s="16">
        <v>0</v>
      </c>
      <c r="AC42" s="26">
        <f t="shared" si="0"/>
        <v>1.063450419645628E-2</v>
      </c>
    </row>
    <row r="43" spans="1:29" x14ac:dyDescent="0.3">
      <c r="A43" s="17" t="s">
        <v>47</v>
      </c>
      <c r="B43">
        <v>2021</v>
      </c>
      <c r="C43" s="18">
        <v>3128.3270000000002</v>
      </c>
      <c r="D43" s="14">
        <v>0</v>
      </c>
      <c r="E43" s="16">
        <v>0</v>
      </c>
      <c r="F43" s="14">
        <v>0</v>
      </c>
      <c r="G43" s="16">
        <v>1.50879367789876E-4</v>
      </c>
      <c r="H43" s="14">
        <v>0</v>
      </c>
      <c r="I43" s="16">
        <v>0</v>
      </c>
      <c r="J43" s="14">
        <v>4.4752354852929402E-6</v>
      </c>
      <c r="K43" s="15">
        <v>0</v>
      </c>
      <c r="L43" s="15">
        <v>3.3676147026829302E-3</v>
      </c>
      <c r="M43" s="15">
        <v>0</v>
      </c>
      <c r="N43" s="16">
        <v>0</v>
      </c>
      <c r="O43" s="14">
        <v>0</v>
      </c>
      <c r="P43" s="16">
        <v>0</v>
      </c>
      <c r="Q43" s="14">
        <v>0</v>
      </c>
      <c r="R43" s="15">
        <v>0</v>
      </c>
      <c r="S43" s="15">
        <v>0</v>
      </c>
      <c r="T43" s="15">
        <v>0</v>
      </c>
      <c r="U43" s="14">
        <v>6.7960744454350569E-3</v>
      </c>
      <c r="V43" s="16">
        <v>4.0979941297164715E-2</v>
      </c>
      <c r="W43" s="14">
        <v>9.5322515836739595E-4</v>
      </c>
      <c r="X43" s="15">
        <v>0</v>
      </c>
      <c r="Y43" s="16">
        <v>5.0042722515900697E-3</v>
      </c>
      <c r="Z43" s="14">
        <v>0.942743517541485</v>
      </c>
      <c r="AA43" s="15">
        <v>0</v>
      </c>
      <c r="AB43" s="16">
        <v>0</v>
      </c>
      <c r="AC43" s="26">
        <f t="shared" si="0"/>
        <v>3.5229693059580991E-3</v>
      </c>
    </row>
    <row r="44" spans="1:29" x14ac:dyDescent="0.3">
      <c r="A44" s="17" t="s">
        <v>47</v>
      </c>
      <c r="B44">
        <v>2022</v>
      </c>
      <c r="C44" s="18">
        <v>4012.2719999999999</v>
      </c>
      <c r="D44" s="14">
        <v>6.3555013219442695E-5</v>
      </c>
      <c r="E44" s="16">
        <v>0</v>
      </c>
      <c r="F44" s="14">
        <v>0</v>
      </c>
      <c r="G44" s="16">
        <v>1.66763369980899E-3</v>
      </c>
      <c r="H44" s="14">
        <v>3.1403653590783502E-5</v>
      </c>
      <c r="I44" s="16">
        <v>1.03681903918777E-4</v>
      </c>
      <c r="J44" s="14">
        <v>4.1759382215363298E-3</v>
      </c>
      <c r="K44" s="15">
        <v>0</v>
      </c>
      <c r="L44" s="15">
        <v>1.8495755023587601E-3</v>
      </c>
      <c r="M44" s="15">
        <v>0</v>
      </c>
      <c r="N44" s="16">
        <v>0</v>
      </c>
      <c r="O44" s="14">
        <v>0</v>
      </c>
      <c r="P44" s="16">
        <v>0</v>
      </c>
      <c r="Q44" s="14">
        <v>0</v>
      </c>
      <c r="R44" s="15">
        <v>0</v>
      </c>
      <c r="S44" s="15">
        <v>0</v>
      </c>
      <c r="T44" s="15">
        <v>2.2087236358850999E-3</v>
      </c>
      <c r="U44" s="14">
        <v>3.0743320646585011E-3</v>
      </c>
      <c r="V44" s="16">
        <v>1.223968453242166E-2</v>
      </c>
      <c r="W44" s="14">
        <v>2.5945399514290199E-4</v>
      </c>
      <c r="X44" s="15">
        <v>0</v>
      </c>
      <c r="Y44" s="16">
        <v>5.6553992351465699E-3</v>
      </c>
      <c r="Z44" s="14">
        <v>0.96842138319635396</v>
      </c>
      <c r="AA44" s="15">
        <v>0</v>
      </c>
      <c r="AB44" s="16">
        <v>2.49235345958599E-4</v>
      </c>
      <c r="AC44" s="26">
        <f t="shared" si="0"/>
        <v>7.8282329812136408E-3</v>
      </c>
    </row>
    <row r="45" spans="1:29" x14ac:dyDescent="0.3">
      <c r="A45" s="17" t="s">
        <v>47</v>
      </c>
      <c r="B45">
        <v>2023</v>
      </c>
      <c r="C45" s="18">
        <v>2938.8119999999999</v>
      </c>
      <c r="D45" s="14">
        <v>6.3631154357611205E-4</v>
      </c>
      <c r="E45" s="16">
        <v>0</v>
      </c>
      <c r="F45" s="14">
        <v>0</v>
      </c>
      <c r="G45" s="16">
        <v>2.6224882707706399E-3</v>
      </c>
      <c r="H45" s="14">
        <v>5.3967385460519397E-4</v>
      </c>
      <c r="I45" s="16">
        <v>2.3417625897811799E-3</v>
      </c>
      <c r="J45" s="14">
        <v>8.9189100901997092E-3</v>
      </c>
      <c r="K45" s="15">
        <v>2.1096960268298901E-5</v>
      </c>
      <c r="L45" s="15">
        <v>3.8239941854055302E-3</v>
      </c>
      <c r="M45" s="15">
        <v>0</v>
      </c>
      <c r="N45" s="16">
        <v>0</v>
      </c>
      <c r="O45" s="14">
        <v>0</v>
      </c>
      <c r="P45" s="16">
        <v>0</v>
      </c>
      <c r="Q45" s="14">
        <v>0</v>
      </c>
      <c r="R45" s="15">
        <v>0</v>
      </c>
      <c r="S45" s="15">
        <v>0</v>
      </c>
      <c r="T45" s="15">
        <v>0</v>
      </c>
      <c r="U45" s="14">
        <v>8.6501548357908516E-3</v>
      </c>
      <c r="V45" s="16">
        <v>1.4622174255011807E-2</v>
      </c>
      <c r="W45" s="14">
        <v>3.6290174397001201E-3</v>
      </c>
      <c r="X45" s="15">
        <v>0</v>
      </c>
      <c r="Y45" s="16">
        <v>1.08268239002699E-2</v>
      </c>
      <c r="Z45" s="14">
        <v>0.94336759207462095</v>
      </c>
      <c r="AA45" s="15">
        <v>0</v>
      </c>
      <c r="AB45" s="16">
        <v>0</v>
      </c>
      <c r="AC45" s="26">
        <f t="shared" si="0"/>
        <v>1.826792595103055E-2</v>
      </c>
    </row>
    <row r="46" spans="1:29" ht="15" thickBot="1" x14ac:dyDescent="0.35">
      <c r="A46" s="4" t="s">
        <v>47</v>
      </c>
      <c r="B46" s="5">
        <v>2024</v>
      </c>
      <c r="C46" s="19">
        <v>1595.57</v>
      </c>
      <c r="D46" s="20">
        <v>0</v>
      </c>
      <c r="E46" s="21">
        <v>0</v>
      </c>
      <c r="F46" s="20">
        <v>0</v>
      </c>
      <c r="G46" s="21">
        <v>0</v>
      </c>
      <c r="H46" s="20">
        <v>0</v>
      </c>
      <c r="I46" s="21">
        <v>0</v>
      </c>
      <c r="J46" s="20">
        <v>2.1122756807126698E-2</v>
      </c>
      <c r="K46" s="22">
        <v>8.5878316351982696E-3</v>
      </c>
      <c r="L46" s="22">
        <v>1.02279794873005E-2</v>
      </c>
      <c r="M46" s="22">
        <v>0</v>
      </c>
      <c r="N46" s="21">
        <v>0</v>
      </c>
      <c r="O46" s="20">
        <v>0</v>
      </c>
      <c r="P46" s="21">
        <v>0</v>
      </c>
      <c r="Q46" s="20">
        <v>0</v>
      </c>
      <c r="R46" s="22">
        <v>0</v>
      </c>
      <c r="S46" s="22">
        <v>0</v>
      </c>
      <c r="T46" s="22">
        <v>4.7643579213520904E-3</v>
      </c>
      <c r="U46" s="20">
        <v>2.2775919425606921E-3</v>
      </c>
      <c r="V46" s="21">
        <v>4.6000319291415417E-2</v>
      </c>
      <c r="W46" s="20">
        <v>4.1830950167814204E-3</v>
      </c>
      <c r="X46" s="22">
        <v>0</v>
      </c>
      <c r="Y46" s="21">
        <v>3.90143564273472E-3</v>
      </c>
      <c r="Z46" s="20">
        <v>0.89893463225553005</v>
      </c>
      <c r="AA46" s="22">
        <v>0</v>
      </c>
      <c r="AB46" s="21">
        <v>0</v>
      </c>
      <c r="AC46" s="27">
        <f t="shared" si="0"/>
        <v>3.9938567929625468E-2</v>
      </c>
    </row>
    <row r="48" spans="1:29" ht="15" customHeight="1" thickBot="1" x14ac:dyDescent="0.35">
      <c r="A48" t="s">
        <v>80</v>
      </c>
    </row>
    <row r="49" spans="1:32" ht="15" thickBot="1" x14ac:dyDescent="0.35">
      <c r="A49" s="1"/>
      <c r="B49" s="2"/>
      <c r="C49" s="3"/>
      <c r="D49" s="88" t="s">
        <v>2</v>
      </c>
      <c r="E49" s="89"/>
      <c r="F49" s="89"/>
      <c r="G49" s="89"/>
      <c r="H49" s="89"/>
      <c r="I49" s="90"/>
      <c r="J49" s="88" t="s">
        <v>3</v>
      </c>
      <c r="K49" s="89"/>
      <c r="L49" s="89"/>
      <c r="M49" s="89"/>
      <c r="N49" s="89"/>
      <c r="O49" s="89"/>
      <c r="P49" s="89"/>
      <c r="Q49" s="89"/>
      <c r="R49" s="89"/>
      <c r="S49" s="89"/>
      <c r="T49" s="89"/>
      <c r="U49" s="89"/>
      <c r="V49" s="89"/>
      <c r="W49" s="89"/>
      <c r="X49" s="89"/>
      <c r="Y49" s="90"/>
      <c r="Z49" s="91" t="s">
        <v>4</v>
      </c>
      <c r="AA49" s="92"/>
      <c r="AB49" s="93"/>
      <c r="AC49" s="97" t="s">
        <v>38</v>
      </c>
    </row>
    <row r="50" spans="1:32" ht="15" thickBot="1" x14ac:dyDescent="0.35">
      <c r="A50" s="4"/>
      <c r="B50" s="5"/>
      <c r="C50" s="6"/>
      <c r="D50" s="85" t="s">
        <v>5</v>
      </c>
      <c r="E50" s="86"/>
      <c r="F50" s="85" t="s">
        <v>6</v>
      </c>
      <c r="G50" s="86"/>
      <c r="H50" s="85" t="s">
        <v>7</v>
      </c>
      <c r="I50" s="86"/>
      <c r="J50" s="85" t="s">
        <v>8</v>
      </c>
      <c r="K50" s="87"/>
      <c r="L50" s="87"/>
      <c r="M50" s="87"/>
      <c r="N50" s="86"/>
      <c r="O50" s="85" t="s">
        <v>9</v>
      </c>
      <c r="P50" s="86"/>
      <c r="Q50" s="85" t="s">
        <v>10</v>
      </c>
      <c r="R50" s="87"/>
      <c r="S50" s="87"/>
      <c r="T50" s="87"/>
      <c r="U50" s="87"/>
      <c r="V50" s="86"/>
      <c r="W50" s="85" t="s">
        <v>11</v>
      </c>
      <c r="X50" s="87"/>
      <c r="Y50" s="86"/>
      <c r="Z50" s="94"/>
      <c r="AA50" s="95"/>
      <c r="AB50" s="96"/>
      <c r="AC50" s="98"/>
      <c r="AE50" s="24"/>
      <c r="AF50" s="24"/>
    </row>
    <row r="51" spans="1:32" ht="43.8" thickBot="1" x14ac:dyDescent="0.35">
      <c r="A51" s="7" t="s">
        <v>12</v>
      </c>
      <c r="B51" s="8" t="s">
        <v>27</v>
      </c>
      <c r="C51" s="9" t="s">
        <v>13</v>
      </c>
      <c r="D51" s="7" t="s">
        <v>14</v>
      </c>
      <c r="E51" s="9" t="s">
        <v>15</v>
      </c>
      <c r="F51" s="7" t="s">
        <v>16</v>
      </c>
      <c r="G51" s="9" t="s">
        <v>17</v>
      </c>
      <c r="H51" s="7" t="s">
        <v>18</v>
      </c>
      <c r="I51" s="9" t="s">
        <v>19</v>
      </c>
      <c r="J51" s="7" t="s">
        <v>20</v>
      </c>
      <c r="K51" s="8" t="s">
        <v>21</v>
      </c>
      <c r="L51" s="8" t="s">
        <v>22</v>
      </c>
      <c r="M51" s="8" t="s">
        <v>7</v>
      </c>
      <c r="N51" s="9" t="s">
        <v>6</v>
      </c>
      <c r="O51" s="31" t="s">
        <v>40</v>
      </c>
      <c r="P51" s="31" t="s">
        <v>42</v>
      </c>
      <c r="Q51" s="7" t="s">
        <v>23</v>
      </c>
      <c r="R51" s="8" t="s">
        <v>60</v>
      </c>
      <c r="S51" s="8" t="s">
        <v>24</v>
      </c>
      <c r="T51" s="8" t="s">
        <v>25</v>
      </c>
      <c r="U51" s="7" t="s">
        <v>44</v>
      </c>
      <c r="V51" s="31" t="s">
        <v>62</v>
      </c>
      <c r="W51" s="7" t="s">
        <v>36</v>
      </c>
      <c r="X51" s="8" t="s">
        <v>35</v>
      </c>
      <c r="Y51" s="9" t="s">
        <v>43</v>
      </c>
      <c r="Z51" s="7" t="s">
        <v>4</v>
      </c>
      <c r="AA51" s="8" t="s">
        <v>28</v>
      </c>
      <c r="AB51" s="9" t="s">
        <v>29</v>
      </c>
      <c r="AC51" s="30" t="s">
        <v>37</v>
      </c>
    </row>
    <row r="52" spans="1:32" x14ac:dyDescent="0.3">
      <c r="A52" s="17" t="s">
        <v>47</v>
      </c>
      <c r="B52">
        <v>1989</v>
      </c>
      <c r="C52" s="18">
        <v>1324.864</v>
      </c>
      <c r="D52" s="14">
        <v>0</v>
      </c>
      <c r="E52" s="16">
        <v>0</v>
      </c>
      <c r="F52" s="14">
        <v>3.7294393990628498E-3</v>
      </c>
      <c r="G52" s="16">
        <v>1.1030566156224299E-2</v>
      </c>
      <c r="H52" s="14">
        <v>1.01550045891503E-2</v>
      </c>
      <c r="I52" s="16">
        <v>0</v>
      </c>
      <c r="J52" s="14">
        <v>7.3185625090575301E-2</v>
      </c>
      <c r="K52" s="15">
        <v>0</v>
      </c>
      <c r="L52" s="15">
        <v>5.6238980000966103E-2</v>
      </c>
      <c r="M52" s="15">
        <v>0</v>
      </c>
      <c r="N52" s="16">
        <v>0</v>
      </c>
      <c r="O52" s="14">
        <v>4.2510023670354101E-3</v>
      </c>
      <c r="P52" s="16">
        <v>0</v>
      </c>
      <c r="Q52" s="14">
        <v>9.6828051784938005E-3</v>
      </c>
      <c r="R52" s="15">
        <v>0</v>
      </c>
      <c r="S52" s="15">
        <v>0</v>
      </c>
      <c r="T52" s="15">
        <v>1.45242077677407E-2</v>
      </c>
      <c r="U52" s="14">
        <v>7.9863921116359454E-2</v>
      </c>
      <c r="V52" s="16">
        <v>4.315927220763454E-2</v>
      </c>
      <c r="W52" s="14">
        <v>9.7142046277957604E-3</v>
      </c>
      <c r="X52" s="15">
        <v>9.9866854258248393E-3</v>
      </c>
      <c r="Y52" s="16">
        <v>1.8267535384764E-2</v>
      </c>
      <c r="Z52" s="14">
        <v>0.65331988792811901</v>
      </c>
      <c r="AA52" s="15">
        <v>2.8908627602531301E-3</v>
      </c>
      <c r="AB52" s="16">
        <v>0</v>
      </c>
      <c r="AC52" s="26">
        <f t="shared" ref="AC52:AC87" si="1">SUM(F52:P52)</f>
        <v>0.15859061760301427</v>
      </c>
    </row>
    <row r="53" spans="1:32" x14ac:dyDescent="0.3">
      <c r="A53" s="17" t="s">
        <v>47</v>
      </c>
      <c r="B53">
        <v>1990</v>
      </c>
      <c r="C53" s="18">
        <v>294.755</v>
      </c>
      <c r="D53" s="14">
        <v>1.3061695306271299E-3</v>
      </c>
      <c r="E53" s="16">
        <v>1.03475768010721E-3</v>
      </c>
      <c r="F53" s="14">
        <v>4.0711777577988499E-5</v>
      </c>
      <c r="G53" s="16">
        <v>1.4045563264406E-3</v>
      </c>
      <c r="H53" s="14">
        <v>4.3388576953741202E-2</v>
      </c>
      <c r="I53" s="16">
        <v>0</v>
      </c>
      <c r="J53" s="14">
        <v>2.25611100744686E-2</v>
      </c>
      <c r="K53" s="15">
        <v>6.4460314498481798E-5</v>
      </c>
      <c r="L53" s="15">
        <v>8.5494732913775904E-4</v>
      </c>
      <c r="M53" s="15">
        <v>0</v>
      </c>
      <c r="N53" s="16">
        <v>0</v>
      </c>
      <c r="O53" s="14">
        <v>0</v>
      </c>
      <c r="P53" s="16">
        <v>3.1992671880036001E-3</v>
      </c>
      <c r="Q53" s="14">
        <v>2.375584567530039E-2</v>
      </c>
      <c r="R53" s="15">
        <v>0</v>
      </c>
      <c r="S53" s="15">
        <v>0</v>
      </c>
      <c r="T53" s="15">
        <v>0.10764480910578861</v>
      </c>
      <c r="U53" s="14">
        <v>1.8320683032320643E-2</v>
      </c>
      <c r="V53" s="16">
        <v>0.11569909610628583</v>
      </c>
      <c r="W53" s="14">
        <v>2.2092924632321799E-2</v>
      </c>
      <c r="X53" s="15">
        <v>3.3926481314990402E-6</v>
      </c>
      <c r="Y53" s="16">
        <v>4.9800681922274402E-2</v>
      </c>
      <c r="Z53" s="14">
        <v>0.57016844497972896</v>
      </c>
      <c r="AA53" s="15">
        <v>1.86595647232447E-2</v>
      </c>
      <c r="AB53" s="16">
        <v>0</v>
      </c>
      <c r="AC53" s="26">
        <f t="shared" si="1"/>
        <v>7.1513629963868244E-2</v>
      </c>
    </row>
    <row r="54" spans="1:32" x14ac:dyDescent="0.3">
      <c r="A54" s="17" t="s">
        <v>47</v>
      </c>
      <c r="B54">
        <v>1991</v>
      </c>
      <c r="C54" s="18">
        <v>1385.4090000000001</v>
      </c>
      <c r="D54" s="14">
        <v>2.49601381252756E-3</v>
      </c>
      <c r="E54" s="16">
        <v>4.3423999699727699E-3</v>
      </c>
      <c r="F54" s="14">
        <v>2.9760164687828699E-3</v>
      </c>
      <c r="G54" s="16">
        <v>2.2137866868195601E-3</v>
      </c>
      <c r="H54" s="14">
        <v>4.2632175769032797E-2</v>
      </c>
      <c r="I54" s="16">
        <v>0</v>
      </c>
      <c r="J54" s="14">
        <v>4.41761241626119E-2</v>
      </c>
      <c r="K54" s="15">
        <v>4.2673318853854699E-3</v>
      </c>
      <c r="L54" s="15">
        <v>3.98510475967747E-3</v>
      </c>
      <c r="M54" s="15">
        <v>0</v>
      </c>
      <c r="N54" s="16">
        <v>0</v>
      </c>
      <c r="O54" s="14">
        <v>6.2645760205109098E-3</v>
      </c>
      <c r="P54" s="16">
        <v>6.0639132559410303E-3</v>
      </c>
      <c r="Q54" s="14">
        <v>2.8495210973171408E-2</v>
      </c>
      <c r="R54" s="15">
        <v>0</v>
      </c>
      <c r="S54" s="15">
        <v>0</v>
      </c>
      <c r="T54" s="15">
        <v>4.4325883736044389E-2</v>
      </c>
      <c r="U54" s="14">
        <v>3.9950914180791483E-2</v>
      </c>
      <c r="V54" s="16">
        <v>8.8404683335898515E-2</v>
      </c>
      <c r="W54" s="14">
        <v>9.5560228062615393E-3</v>
      </c>
      <c r="X54" s="15">
        <v>1.36854892670684E-3</v>
      </c>
      <c r="Y54" s="16">
        <v>1.9084616889308501E-2</v>
      </c>
      <c r="Z54" s="14">
        <v>0.64090820833414497</v>
      </c>
      <c r="AA54" s="15">
        <v>8.4884680264095298E-3</v>
      </c>
      <c r="AB54" s="16">
        <v>0</v>
      </c>
      <c r="AC54" s="26">
        <f t="shared" si="1"/>
        <v>0.11257902900876202</v>
      </c>
    </row>
    <row r="55" spans="1:32" x14ac:dyDescent="0.3">
      <c r="A55" s="17" t="s">
        <v>47</v>
      </c>
      <c r="B55">
        <v>1992</v>
      </c>
      <c r="C55" s="18">
        <v>567.58299999999997</v>
      </c>
      <c r="D55" s="14">
        <v>1.76185685617786E-6</v>
      </c>
      <c r="E55" s="16">
        <v>3.5237137123557301E-6</v>
      </c>
      <c r="F55" s="14">
        <v>6.0570876858538798E-2</v>
      </c>
      <c r="G55" s="16">
        <v>0</v>
      </c>
      <c r="H55" s="14">
        <v>6.2575869960869196E-2</v>
      </c>
      <c r="I55" s="16">
        <v>1.6191464508274599E-3</v>
      </c>
      <c r="J55" s="14">
        <v>4.7055672914798397E-2</v>
      </c>
      <c r="K55" s="15">
        <v>2.0500966378485599E-2</v>
      </c>
      <c r="L55" s="15">
        <v>2.05379653724653E-2</v>
      </c>
      <c r="M55" s="15">
        <v>0</v>
      </c>
      <c r="N55" s="16">
        <v>0</v>
      </c>
      <c r="O55" s="14">
        <v>9.7888766929242095E-3</v>
      </c>
      <c r="P55" s="16">
        <v>2.2310393369780301E-2</v>
      </c>
      <c r="Q55" s="14">
        <v>6.5356238104562186E-3</v>
      </c>
      <c r="R55" s="15">
        <v>0</v>
      </c>
      <c r="S55" s="15">
        <v>0</v>
      </c>
      <c r="T55" s="15">
        <v>6.3811796743013474E-2</v>
      </c>
      <c r="U55" s="14">
        <v>6.1402229253671257E-3</v>
      </c>
      <c r="V55" s="16">
        <v>5.5470149478316577E-2</v>
      </c>
      <c r="W55" s="14">
        <v>5.9240674932124503E-2</v>
      </c>
      <c r="X55" s="15">
        <v>0</v>
      </c>
      <c r="Y55" s="16">
        <v>5.7831189447182199E-2</v>
      </c>
      <c r="Z55" s="14">
        <v>0.50200587403075903</v>
      </c>
      <c r="AA55" s="15">
        <v>3.9994150635237497E-3</v>
      </c>
      <c r="AB55" s="16">
        <v>0</v>
      </c>
      <c r="AC55" s="26">
        <f t="shared" si="1"/>
        <v>0.24495976799868927</v>
      </c>
    </row>
    <row r="56" spans="1:32" x14ac:dyDescent="0.3">
      <c r="A56" s="17" t="s">
        <v>47</v>
      </c>
      <c r="B56">
        <v>1993</v>
      </c>
      <c r="C56" s="18">
        <v>1229.769</v>
      </c>
      <c r="D56" s="14">
        <v>0</v>
      </c>
      <c r="E56" s="16">
        <v>0</v>
      </c>
      <c r="F56" s="14">
        <v>3.0867585701054401E-2</v>
      </c>
      <c r="G56" s="16">
        <v>0</v>
      </c>
      <c r="H56" s="14">
        <v>6.1063500543598E-2</v>
      </c>
      <c r="I56" s="16">
        <v>1.1984364543259801E-2</v>
      </c>
      <c r="J56" s="14">
        <v>2.0398952974095101E-2</v>
      </c>
      <c r="K56" s="15">
        <v>1.2770691081007901E-2</v>
      </c>
      <c r="L56" s="15">
        <v>3.38648965781378E-2</v>
      </c>
      <c r="M56" s="15">
        <v>0</v>
      </c>
      <c r="N56" s="16">
        <v>0</v>
      </c>
      <c r="O56" s="14">
        <v>1.47076402153575E-2</v>
      </c>
      <c r="P56" s="16">
        <v>3.4152755517499597E-5</v>
      </c>
      <c r="Q56" s="14">
        <v>2.7037955389611429E-2</v>
      </c>
      <c r="R56" s="15">
        <v>0</v>
      </c>
      <c r="S56" s="15">
        <v>0</v>
      </c>
      <c r="T56" s="15">
        <v>2.5794731074269172E-2</v>
      </c>
      <c r="U56" s="14">
        <v>1.3548966654350299E-2</v>
      </c>
      <c r="V56" s="16">
        <v>8.3768497031919201E-2</v>
      </c>
      <c r="W56" s="14">
        <v>1.7661853567621202E-2</v>
      </c>
      <c r="X56" s="15">
        <v>0</v>
      </c>
      <c r="Y56" s="16">
        <v>2.1183653190151999E-2</v>
      </c>
      <c r="Z56" s="14">
        <v>0.62531255870004898</v>
      </c>
      <c r="AA56" s="15">
        <v>0</v>
      </c>
      <c r="AB56" s="16">
        <v>0</v>
      </c>
      <c r="AC56" s="26">
        <f t="shared" si="1"/>
        <v>0.18569178439202799</v>
      </c>
    </row>
    <row r="57" spans="1:32" x14ac:dyDescent="0.3">
      <c r="A57" s="17" t="s">
        <v>47</v>
      </c>
      <c r="B57">
        <v>1994</v>
      </c>
      <c r="C57" s="18">
        <v>2066.6610000000001</v>
      </c>
      <c r="D57" s="14">
        <v>0</v>
      </c>
      <c r="E57" s="16">
        <v>0</v>
      </c>
      <c r="F57" s="14">
        <v>2.4701680633640402E-3</v>
      </c>
      <c r="G57" s="16">
        <v>7.2822780320526696E-4</v>
      </c>
      <c r="H57" s="14">
        <v>3.6462196751184603E-2</v>
      </c>
      <c r="I57" s="16">
        <v>4.36743133005365E-3</v>
      </c>
      <c r="J57" s="14">
        <v>2.6813783199083001E-2</v>
      </c>
      <c r="K57" s="15">
        <v>2.1774253251984699E-5</v>
      </c>
      <c r="L57" s="15">
        <v>8.3927649479038895E-3</v>
      </c>
      <c r="M57" s="15">
        <v>0</v>
      </c>
      <c r="N57" s="16">
        <v>0</v>
      </c>
      <c r="O57" s="14">
        <v>1.89677939439511E-3</v>
      </c>
      <c r="P57" s="16">
        <v>0</v>
      </c>
      <c r="Q57" s="14">
        <v>4.5882026254288047E-3</v>
      </c>
      <c r="R57" s="15">
        <v>0</v>
      </c>
      <c r="S57" s="15">
        <v>0</v>
      </c>
      <c r="T57" s="15">
        <v>7.5806211359254694E-2</v>
      </c>
      <c r="U57" s="14">
        <v>1.2199800596347041E-3</v>
      </c>
      <c r="V57" s="16">
        <v>1.2228282621085596E-2</v>
      </c>
      <c r="W57" s="14">
        <v>3.0948471955487599E-3</v>
      </c>
      <c r="X57" s="15">
        <v>0</v>
      </c>
      <c r="Y57" s="16">
        <v>7.4903431186827403E-4</v>
      </c>
      <c r="Z57" s="14">
        <v>0.81895869714481495</v>
      </c>
      <c r="AA57" s="15">
        <v>2.2016189399229002E-3</v>
      </c>
      <c r="AB57" s="16">
        <v>0</v>
      </c>
      <c r="AC57" s="26">
        <f t="shared" si="1"/>
        <v>8.1153125742441559E-2</v>
      </c>
    </row>
    <row r="58" spans="1:32" x14ac:dyDescent="0.3">
      <c r="A58" s="17" t="s">
        <v>47</v>
      </c>
      <c r="B58">
        <v>1995</v>
      </c>
      <c r="C58" s="18">
        <v>1871.4490000000001</v>
      </c>
      <c r="D58" s="14">
        <v>0</v>
      </c>
      <c r="E58" s="16">
        <v>0</v>
      </c>
      <c r="F58" s="14">
        <v>1.9535664610683999E-3</v>
      </c>
      <c r="G58" s="16">
        <v>6.3838234437593499E-3</v>
      </c>
      <c r="H58" s="14">
        <v>1.41473264833827E-2</v>
      </c>
      <c r="I58" s="16">
        <v>5.1484170821646802E-3</v>
      </c>
      <c r="J58" s="14">
        <v>1.53362448028239E-2</v>
      </c>
      <c r="K58" s="15">
        <v>1.92684919546298E-3</v>
      </c>
      <c r="L58" s="15">
        <v>1.44540406925329E-2</v>
      </c>
      <c r="M58" s="15">
        <v>0</v>
      </c>
      <c r="N58" s="16">
        <v>0</v>
      </c>
      <c r="O58" s="14">
        <v>1.28648977343224E-2</v>
      </c>
      <c r="P58" s="16">
        <v>0</v>
      </c>
      <c r="Q58" s="14">
        <v>1.7159560573769408E-2</v>
      </c>
      <c r="R58" s="15">
        <v>0</v>
      </c>
      <c r="S58" s="15">
        <v>1.7479445857434882E-3</v>
      </c>
      <c r="T58" s="15">
        <v>1.7725072057392304E-2</v>
      </c>
      <c r="U58" s="14">
        <v>4.6700132177072808E-3</v>
      </c>
      <c r="V58" s="16">
        <v>2.8744736529681018E-2</v>
      </c>
      <c r="W58" s="14">
        <v>1.35189363963432E-3</v>
      </c>
      <c r="X58" s="15">
        <v>0</v>
      </c>
      <c r="Y58" s="16">
        <v>3.5277477505398199E-3</v>
      </c>
      <c r="Z58" s="14">
        <v>0.85285786575001499</v>
      </c>
      <c r="AA58" s="15">
        <v>0</v>
      </c>
      <c r="AB58" s="16">
        <v>0</v>
      </c>
      <c r="AC58" s="26">
        <f t="shared" si="1"/>
        <v>7.2215165895517311E-2</v>
      </c>
    </row>
    <row r="59" spans="1:32" x14ac:dyDescent="0.3">
      <c r="A59" s="17" t="s">
        <v>47</v>
      </c>
      <c r="B59">
        <v>1996</v>
      </c>
      <c r="C59" s="18">
        <v>75.457999999999998</v>
      </c>
      <c r="D59" s="14">
        <v>0</v>
      </c>
      <c r="E59" s="16">
        <v>0</v>
      </c>
      <c r="F59" s="14">
        <v>9.0911500437329401E-3</v>
      </c>
      <c r="G59" s="16">
        <v>0</v>
      </c>
      <c r="H59" s="14">
        <v>4.0154788094039096E-3</v>
      </c>
      <c r="I59" s="16">
        <v>0</v>
      </c>
      <c r="J59" s="14">
        <v>1.72281269050333E-4</v>
      </c>
      <c r="K59" s="15">
        <v>3.9757215934692198E-5</v>
      </c>
      <c r="L59" s="15">
        <v>2.6504810623128097E-4</v>
      </c>
      <c r="M59" s="15">
        <v>1.12645445148294E-3</v>
      </c>
      <c r="N59" s="16">
        <v>0</v>
      </c>
      <c r="O59" s="14">
        <v>8.5478014259588106E-3</v>
      </c>
      <c r="P59" s="16">
        <v>6.8912507620133101E-4</v>
      </c>
      <c r="Q59" s="14">
        <v>0</v>
      </c>
      <c r="R59" s="15">
        <v>0</v>
      </c>
      <c r="S59" s="15">
        <v>0</v>
      </c>
      <c r="T59" s="15">
        <v>0</v>
      </c>
      <c r="U59" s="14">
        <v>1.8574579224222006E-2</v>
      </c>
      <c r="V59" s="16">
        <v>0.150155045202611</v>
      </c>
      <c r="W59" s="14">
        <v>0</v>
      </c>
      <c r="X59" s="15">
        <v>0</v>
      </c>
      <c r="Y59" s="16">
        <v>7.0754591958440499E-2</v>
      </c>
      <c r="Z59" s="14">
        <v>0.73656868721672997</v>
      </c>
      <c r="AA59" s="15">
        <v>0</v>
      </c>
      <c r="AB59" s="16">
        <v>0</v>
      </c>
      <c r="AC59" s="26">
        <f t="shared" si="1"/>
        <v>2.3947096397996238E-2</v>
      </c>
    </row>
    <row r="60" spans="1:32" x14ac:dyDescent="0.3">
      <c r="A60" s="17" t="s">
        <v>47</v>
      </c>
      <c r="B60">
        <v>1997</v>
      </c>
      <c r="C60" s="18">
        <v>215.351</v>
      </c>
      <c r="D60" s="14">
        <v>0</v>
      </c>
      <c r="E60" s="16">
        <v>0</v>
      </c>
      <c r="F60" s="14">
        <v>0</v>
      </c>
      <c r="G60" s="16">
        <v>1.6117872682272199E-2</v>
      </c>
      <c r="H60" s="14">
        <v>0</v>
      </c>
      <c r="I60" s="16">
        <v>0</v>
      </c>
      <c r="J60" s="14">
        <v>5.2365672785359703E-2</v>
      </c>
      <c r="K60" s="15">
        <v>0</v>
      </c>
      <c r="L60" s="15">
        <v>0</v>
      </c>
      <c r="M60" s="15">
        <v>0</v>
      </c>
      <c r="N60" s="16">
        <v>0</v>
      </c>
      <c r="O60" s="14">
        <v>3.6396394723033597E-2</v>
      </c>
      <c r="P60" s="16">
        <v>0</v>
      </c>
      <c r="Q60" s="14">
        <v>0</v>
      </c>
      <c r="R60" s="15">
        <v>0</v>
      </c>
      <c r="S60" s="15">
        <v>0</v>
      </c>
      <c r="T60" s="15">
        <v>6.3737804793105202E-2</v>
      </c>
      <c r="U60" s="14">
        <v>3.2851908549413312E-3</v>
      </c>
      <c r="V60" s="16">
        <v>1.366388298265407E-2</v>
      </c>
      <c r="W60" s="14">
        <v>0</v>
      </c>
      <c r="X60" s="15">
        <v>0</v>
      </c>
      <c r="Y60" s="16">
        <v>6.5841347381716403E-2</v>
      </c>
      <c r="Z60" s="14">
        <v>0.74859183379691796</v>
      </c>
      <c r="AA60" s="15">
        <v>0</v>
      </c>
      <c r="AB60" s="16">
        <v>0</v>
      </c>
      <c r="AC60" s="26">
        <f t="shared" si="1"/>
        <v>0.10487994019066549</v>
      </c>
    </row>
    <row r="61" spans="1:32" x14ac:dyDescent="0.3">
      <c r="A61" s="17" t="s">
        <v>47</v>
      </c>
      <c r="B61">
        <v>1998</v>
      </c>
      <c r="C61" s="18">
        <v>415.30399999999997</v>
      </c>
      <c r="D61" s="14">
        <v>0</v>
      </c>
      <c r="E61" s="16">
        <v>0</v>
      </c>
      <c r="F61" s="14">
        <v>0</v>
      </c>
      <c r="G61" s="16">
        <v>3.5913451351299301E-2</v>
      </c>
      <c r="H61" s="14">
        <v>0</v>
      </c>
      <c r="I61" s="16">
        <v>0</v>
      </c>
      <c r="J61" s="14">
        <v>1.2480014639878301E-2</v>
      </c>
      <c r="K61" s="15">
        <v>0</v>
      </c>
      <c r="L61" s="15">
        <v>1.5458555660431901E-2</v>
      </c>
      <c r="M61" s="15">
        <v>0</v>
      </c>
      <c r="N61" s="16">
        <v>0</v>
      </c>
      <c r="O61" s="14">
        <v>9.2751333962591293E-3</v>
      </c>
      <c r="P61" s="16">
        <v>0</v>
      </c>
      <c r="Q61" s="14">
        <v>2.6512560968462995E-2</v>
      </c>
      <c r="R61" s="15">
        <v>0</v>
      </c>
      <c r="S61" s="15">
        <v>0</v>
      </c>
      <c r="T61" s="15">
        <v>0.14872774492794097</v>
      </c>
      <c r="U61" s="14">
        <v>8.3404164618304053E-3</v>
      </c>
      <c r="V61" s="16">
        <v>9.1925894481478587E-2</v>
      </c>
      <c r="W61" s="14">
        <v>4.7001714406796E-3</v>
      </c>
      <c r="X61" s="15">
        <v>2.4078747134629102E-6</v>
      </c>
      <c r="Y61" s="16">
        <v>4.8157494269258204E-6</v>
      </c>
      <c r="Z61" s="14">
        <v>0.64665883304759897</v>
      </c>
      <c r="AA61" s="15">
        <v>0</v>
      </c>
      <c r="AB61" s="16">
        <v>0</v>
      </c>
      <c r="AC61" s="26">
        <f t="shared" si="1"/>
        <v>7.3127155047868625E-2</v>
      </c>
    </row>
    <row r="62" spans="1:32" x14ac:dyDescent="0.3">
      <c r="A62" s="17" t="s">
        <v>47</v>
      </c>
      <c r="B62">
        <v>1999</v>
      </c>
      <c r="C62" s="18">
        <v>2427.5970000000002</v>
      </c>
      <c r="D62" s="14">
        <v>0</v>
      </c>
      <c r="E62" s="16">
        <v>0</v>
      </c>
      <c r="F62" s="14">
        <v>0</v>
      </c>
      <c r="G62" s="16">
        <v>2.2862114263611298E-3</v>
      </c>
      <c r="H62" s="14">
        <v>0</v>
      </c>
      <c r="I62" s="16">
        <v>0</v>
      </c>
      <c r="J62" s="14">
        <v>5.3938112462653398E-3</v>
      </c>
      <c r="K62" s="15">
        <v>0</v>
      </c>
      <c r="L62" s="15">
        <v>2.00815868531721E-3</v>
      </c>
      <c r="M62" s="15">
        <v>0</v>
      </c>
      <c r="N62" s="16">
        <v>0</v>
      </c>
      <c r="O62" s="14">
        <v>0</v>
      </c>
      <c r="P62" s="16">
        <v>0</v>
      </c>
      <c r="Q62" s="14">
        <v>2.1203657030968409E-2</v>
      </c>
      <c r="R62" s="15">
        <v>0</v>
      </c>
      <c r="S62" s="15">
        <v>8.8073341769339189E-4</v>
      </c>
      <c r="T62" s="15">
        <v>0</v>
      </c>
      <c r="U62" s="14">
        <v>2.3985570451046812E-3</v>
      </c>
      <c r="V62" s="16">
        <v>6.6289532452451921E-2</v>
      </c>
      <c r="W62" s="14">
        <v>6.97768204524886E-3</v>
      </c>
      <c r="X62" s="15">
        <v>4.28407186201004E-4</v>
      </c>
      <c r="Y62" s="16">
        <v>0</v>
      </c>
      <c r="Z62" s="14">
        <v>0.89213324946438799</v>
      </c>
      <c r="AA62" s="15">
        <v>0</v>
      </c>
      <c r="AB62" s="16">
        <v>0</v>
      </c>
      <c r="AC62" s="26">
        <f t="shared" si="1"/>
        <v>9.6881813579436805E-3</v>
      </c>
    </row>
    <row r="63" spans="1:32" x14ac:dyDescent="0.3">
      <c r="A63" s="17" t="s">
        <v>47</v>
      </c>
      <c r="B63">
        <v>2000</v>
      </c>
      <c r="C63" s="18">
        <v>1769.29</v>
      </c>
      <c r="D63" s="14">
        <v>0</v>
      </c>
      <c r="E63" s="16">
        <v>0</v>
      </c>
      <c r="F63" s="14">
        <v>7.9806023885287299E-4</v>
      </c>
      <c r="G63" s="16">
        <v>1.9238790701354799E-2</v>
      </c>
      <c r="H63" s="14">
        <v>2.20427403082592E-4</v>
      </c>
      <c r="I63" s="16">
        <v>0</v>
      </c>
      <c r="J63" s="14">
        <v>3.54899422932363E-2</v>
      </c>
      <c r="K63" s="15">
        <v>2.71295265332421E-5</v>
      </c>
      <c r="L63" s="15">
        <v>7.6787864058464102E-3</v>
      </c>
      <c r="M63" s="15">
        <v>0</v>
      </c>
      <c r="N63" s="16">
        <v>0</v>
      </c>
      <c r="O63" s="14">
        <v>0</v>
      </c>
      <c r="P63" s="16">
        <v>0</v>
      </c>
      <c r="Q63" s="14">
        <v>1.0483069400242446E-2</v>
      </c>
      <c r="R63" s="15">
        <v>0</v>
      </c>
      <c r="S63" s="15">
        <v>0</v>
      </c>
      <c r="T63" s="15">
        <v>4.3140700586588455E-2</v>
      </c>
      <c r="U63" s="14">
        <v>4.0919530123687273E-3</v>
      </c>
      <c r="V63" s="16">
        <v>7.5208783441236979E-2</v>
      </c>
      <c r="W63" s="14">
        <v>1.05183435163258E-3</v>
      </c>
      <c r="X63" s="15">
        <v>0</v>
      </c>
      <c r="Y63" s="16">
        <v>0</v>
      </c>
      <c r="Z63" s="14">
        <v>0.80257052263902495</v>
      </c>
      <c r="AA63" s="15">
        <v>0</v>
      </c>
      <c r="AB63" s="16">
        <v>0</v>
      </c>
      <c r="AC63" s="26">
        <f t="shared" si="1"/>
        <v>6.3453136568906207E-2</v>
      </c>
    </row>
    <row r="64" spans="1:32" x14ac:dyDescent="0.3">
      <c r="A64" s="17" t="s">
        <v>47</v>
      </c>
      <c r="B64">
        <v>2001</v>
      </c>
      <c r="C64" s="18">
        <v>2273.7069999999999</v>
      </c>
      <c r="D64" s="14">
        <v>0</v>
      </c>
      <c r="E64" s="16">
        <v>0</v>
      </c>
      <c r="F64" s="14">
        <v>1.65500655977221E-3</v>
      </c>
      <c r="G64" s="16">
        <v>7.6878859061435805E-4</v>
      </c>
      <c r="H64" s="14">
        <v>1.8925041792983901E-3</v>
      </c>
      <c r="I64" s="16">
        <v>0</v>
      </c>
      <c r="J64" s="14">
        <v>3.4060677123305703E-2</v>
      </c>
      <c r="K64" s="15">
        <v>4.3550026454595896E-3</v>
      </c>
      <c r="L64" s="15">
        <v>3.0003865933473399E-3</v>
      </c>
      <c r="M64" s="15">
        <v>0</v>
      </c>
      <c r="N64" s="16">
        <v>0</v>
      </c>
      <c r="O64" s="14">
        <v>8.2244546021101198E-5</v>
      </c>
      <c r="P64" s="16">
        <v>0</v>
      </c>
      <c r="Q64" s="14">
        <v>1.9197051666283015E-2</v>
      </c>
      <c r="R64" s="15">
        <v>0</v>
      </c>
      <c r="S64" s="15">
        <v>0</v>
      </c>
      <c r="T64" s="15">
        <v>2.4448853456936488E-2</v>
      </c>
      <c r="U64" s="14">
        <v>9.3469412483942922E-3</v>
      </c>
      <c r="V64" s="16">
        <v>5.7917222515890203E-2</v>
      </c>
      <c r="W64" s="14">
        <v>8.4500773406599901E-3</v>
      </c>
      <c r="X64" s="15">
        <v>0</v>
      </c>
      <c r="Y64" s="16">
        <v>1.31063501145926E-4</v>
      </c>
      <c r="Z64" s="14">
        <v>0.83469418003287099</v>
      </c>
      <c r="AA64" s="15">
        <v>0</v>
      </c>
      <c r="AB64" s="16">
        <v>0</v>
      </c>
      <c r="AC64" s="26">
        <f t="shared" si="1"/>
        <v>4.5814610237818687E-2</v>
      </c>
    </row>
    <row r="65" spans="1:29" x14ac:dyDescent="0.3">
      <c r="A65" s="17" t="s">
        <v>47</v>
      </c>
      <c r="B65">
        <v>2002</v>
      </c>
      <c r="C65" s="18">
        <v>2322.5030000000002</v>
      </c>
      <c r="D65" s="14">
        <v>1.20129015979743E-4</v>
      </c>
      <c r="E65" s="16">
        <v>0</v>
      </c>
      <c r="F65" s="14">
        <v>1.4923554458272001E-2</v>
      </c>
      <c r="G65" s="16">
        <v>3.2619979392922199E-3</v>
      </c>
      <c r="H65" s="14">
        <v>6.5334684174789001E-3</v>
      </c>
      <c r="I65" s="16">
        <v>3.4660880954728602E-4</v>
      </c>
      <c r="J65" s="14">
        <v>8.2458451076274208E-3</v>
      </c>
      <c r="K65" s="15">
        <v>9.4725388944599908E-6</v>
      </c>
      <c r="L65" s="15">
        <v>2.8189414610013401E-3</v>
      </c>
      <c r="M65" s="15">
        <v>0</v>
      </c>
      <c r="N65" s="16">
        <v>0</v>
      </c>
      <c r="O65" s="14">
        <v>2.1554331684394E-3</v>
      </c>
      <c r="P65" s="16">
        <v>0</v>
      </c>
      <c r="Q65" s="14">
        <v>0</v>
      </c>
      <c r="R65" s="15">
        <v>0</v>
      </c>
      <c r="S65" s="15">
        <v>2.7388255219457421E-3</v>
      </c>
      <c r="T65" s="15">
        <v>2.2094726899730355E-2</v>
      </c>
      <c r="U65" s="14">
        <v>3.8625187560768987E-3</v>
      </c>
      <c r="V65" s="16">
        <v>3.6120206777539202E-2</v>
      </c>
      <c r="W65" s="14">
        <v>7.9810445885322902E-3</v>
      </c>
      <c r="X65" s="15">
        <v>0</v>
      </c>
      <c r="Y65" s="16">
        <v>2.1748088161780599E-3</v>
      </c>
      <c r="Z65" s="14">
        <v>0.886612417723465</v>
      </c>
      <c r="AA65" s="15">
        <v>0</v>
      </c>
      <c r="AB65" s="16">
        <v>0</v>
      </c>
      <c r="AC65" s="26">
        <f t="shared" si="1"/>
        <v>3.8295321900553028E-2</v>
      </c>
    </row>
    <row r="66" spans="1:29" x14ac:dyDescent="0.3">
      <c r="A66" s="17" t="s">
        <v>47</v>
      </c>
      <c r="B66">
        <v>2003</v>
      </c>
      <c r="C66" s="18">
        <v>1805.0609999999999</v>
      </c>
      <c r="D66" s="14">
        <v>1.1694895629566001E-3</v>
      </c>
      <c r="E66" s="16">
        <v>0</v>
      </c>
      <c r="F66" s="14">
        <v>2.5199702392329101E-2</v>
      </c>
      <c r="G66" s="16">
        <v>0</v>
      </c>
      <c r="H66" s="14">
        <v>9.1005234726139403E-3</v>
      </c>
      <c r="I66" s="16">
        <v>6.1266627554415103E-3</v>
      </c>
      <c r="J66" s="14">
        <v>1.8241488791791501E-2</v>
      </c>
      <c r="K66" s="15">
        <v>0</v>
      </c>
      <c r="L66" s="15">
        <v>1.01974393109153E-2</v>
      </c>
      <c r="M66" s="15">
        <v>0</v>
      </c>
      <c r="N66" s="16">
        <v>0</v>
      </c>
      <c r="O66" s="14">
        <v>0</v>
      </c>
      <c r="P66" s="16">
        <v>0</v>
      </c>
      <c r="Q66" s="14">
        <v>3.2175740239364856E-2</v>
      </c>
      <c r="R66" s="15">
        <v>0</v>
      </c>
      <c r="S66" s="15">
        <v>2.925605683461484E-3</v>
      </c>
      <c r="T66" s="15">
        <v>3.2619911142724355E-2</v>
      </c>
      <c r="U66" s="14">
        <v>6.7547528530045864E-4</v>
      </c>
      <c r="V66" s="16">
        <v>4.6894403602095814E-3</v>
      </c>
      <c r="W66" s="14">
        <v>4.9948450495578799E-3</v>
      </c>
      <c r="X66" s="15">
        <v>0</v>
      </c>
      <c r="Y66" s="16">
        <v>1.1079957962639501E-6</v>
      </c>
      <c r="Z66" s="14">
        <v>0.85188256795753703</v>
      </c>
      <c r="AA66" s="15">
        <v>0</v>
      </c>
      <c r="AB66" s="16">
        <v>0</v>
      </c>
      <c r="AC66" s="26">
        <f t="shared" si="1"/>
        <v>6.8865816723091347E-2</v>
      </c>
    </row>
    <row r="67" spans="1:29" x14ac:dyDescent="0.3">
      <c r="A67" s="17" t="s">
        <v>47</v>
      </c>
      <c r="B67">
        <v>2004</v>
      </c>
      <c r="C67" s="18">
        <v>439.53300000000002</v>
      </c>
      <c r="D67" s="14">
        <v>4.5502840514819102E-6</v>
      </c>
      <c r="E67" s="16">
        <v>0</v>
      </c>
      <c r="F67" s="14">
        <v>2.1868665151422099E-2</v>
      </c>
      <c r="G67" s="16">
        <v>0</v>
      </c>
      <c r="H67" s="14">
        <v>2.0410299112922099E-2</v>
      </c>
      <c r="I67" s="16">
        <v>0</v>
      </c>
      <c r="J67" s="14">
        <v>1.46974174862866E-2</v>
      </c>
      <c r="K67" s="15">
        <v>0</v>
      </c>
      <c r="L67" s="15">
        <v>2.09813597613831E-2</v>
      </c>
      <c r="M67" s="15">
        <v>0</v>
      </c>
      <c r="N67" s="16">
        <v>0</v>
      </c>
      <c r="O67" s="14">
        <v>0</v>
      </c>
      <c r="P67" s="16">
        <v>0</v>
      </c>
      <c r="Q67" s="14">
        <v>0</v>
      </c>
      <c r="R67" s="15">
        <v>0</v>
      </c>
      <c r="S67" s="15">
        <v>0</v>
      </c>
      <c r="T67" s="15">
        <v>0</v>
      </c>
      <c r="U67" s="14">
        <v>1.8146348554753538E-2</v>
      </c>
      <c r="V67" s="16">
        <v>0.21898942964620047</v>
      </c>
      <c r="W67" s="14">
        <v>1.0254065110014501E-2</v>
      </c>
      <c r="X67" s="15">
        <v>0</v>
      </c>
      <c r="Y67" s="16">
        <v>0</v>
      </c>
      <c r="Z67" s="14">
        <v>0.67464786489296602</v>
      </c>
      <c r="AA67" s="15">
        <v>0</v>
      </c>
      <c r="AB67" s="16">
        <v>0</v>
      </c>
      <c r="AC67" s="26">
        <f t="shared" si="1"/>
        <v>7.7957741512013901E-2</v>
      </c>
    </row>
    <row r="68" spans="1:29" x14ac:dyDescent="0.3">
      <c r="A68" s="17" t="s">
        <v>47</v>
      </c>
      <c r="B68">
        <v>2005</v>
      </c>
      <c r="C68" s="18">
        <v>541.16300000000001</v>
      </c>
      <c r="D68" s="14">
        <v>0</v>
      </c>
      <c r="E68" s="16">
        <v>0</v>
      </c>
      <c r="F68" s="14">
        <v>9.7105677956549098E-3</v>
      </c>
      <c r="G68" s="16">
        <v>0</v>
      </c>
      <c r="H68" s="14">
        <v>2.9100289561555401E-2</v>
      </c>
      <c r="I68" s="16">
        <v>0</v>
      </c>
      <c r="J68" s="14">
        <v>0.12096355441890901</v>
      </c>
      <c r="K68" s="15">
        <v>0</v>
      </c>
      <c r="L68" s="15">
        <v>0.16337776233778001</v>
      </c>
      <c r="M68" s="15">
        <v>0</v>
      </c>
      <c r="N68" s="16">
        <v>0</v>
      </c>
      <c r="O68" s="14">
        <v>0</v>
      </c>
      <c r="P68" s="16">
        <v>0</v>
      </c>
      <c r="Q68" s="14">
        <v>2.2757121425357657E-2</v>
      </c>
      <c r="R68" s="15">
        <v>0</v>
      </c>
      <c r="S68" s="15">
        <v>0</v>
      </c>
      <c r="T68" s="15">
        <v>8.8895005567803345E-2</v>
      </c>
      <c r="U68" s="14">
        <v>2.3528706277299717E-3</v>
      </c>
      <c r="V68" s="16">
        <v>0.11037102217351502</v>
      </c>
      <c r="W68" s="14">
        <v>5.3551332962527001E-3</v>
      </c>
      <c r="X68" s="15">
        <v>0</v>
      </c>
      <c r="Y68" s="16">
        <v>4.2501057906767501E-5</v>
      </c>
      <c r="Z68" s="14">
        <v>0.447074171737536</v>
      </c>
      <c r="AA68" s="15">
        <v>0</v>
      </c>
      <c r="AB68" s="16">
        <v>0</v>
      </c>
      <c r="AC68" s="26">
        <f t="shared" si="1"/>
        <v>0.32315217411389929</v>
      </c>
    </row>
    <row r="69" spans="1:29" x14ac:dyDescent="0.3">
      <c r="A69" s="17" t="s">
        <v>47</v>
      </c>
      <c r="B69">
        <v>2006</v>
      </c>
      <c r="C69" s="18">
        <v>434.75200000000001</v>
      </c>
      <c r="D69" s="14">
        <v>0</v>
      </c>
      <c r="E69" s="16">
        <v>0</v>
      </c>
      <c r="F69" s="14">
        <v>1.65979684969822E-2</v>
      </c>
      <c r="G69" s="16">
        <v>0</v>
      </c>
      <c r="H69" s="14">
        <v>1.7550235536581801E-2</v>
      </c>
      <c r="I69" s="16">
        <v>0</v>
      </c>
      <c r="J69" s="14">
        <v>2.7528337994994798E-2</v>
      </c>
      <c r="K69" s="15">
        <v>0</v>
      </c>
      <c r="L69" s="15">
        <v>0</v>
      </c>
      <c r="M69" s="15">
        <v>0</v>
      </c>
      <c r="N69" s="16">
        <v>0</v>
      </c>
      <c r="O69" s="14">
        <v>0</v>
      </c>
      <c r="P69" s="16">
        <v>0</v>
      </c>
      <c r="Q69" s="14">
        <v>7.3769313962717999E-3</v>
      </c>
      <c r="R69" s="15">
        <v>0</v>
      </c>
      <c r="S69" s="15">
        <v>0</v>
      </c>
      <c r="T69" s="15">
        <v>9.0490358460934103E-2</v>
      </c>
      <c r="U69" s="14">
        <v>4.0164131707509741E-3</v>
      </c>
      <c r="V69" s="16">
        <v>0.13362297664229203</v>
      </c>
      <c r="W69" s="14">
        <v>4.2414986015015402E-3</v>
      </c>
      <c r="X69" s="15">
        <v>0</v>
      </c>
      <c r="Y69" s="16">
        <v>6.3070440158987202E-3</v>
      </c>
      <c r="Z69" s="14">
        <v>0.69226823568379203</v>
      </c>
      <c r="AA69" s="15">
        <v>0</v>
      </c>
      <c r="AB69" s="16">
        <v>0</v>
      </c>
      <c r="AC69" s="26">
        <f t="shared" si="1"/>
        <v>6.1676542028558795E-2</v>
      </c>
    </row>
    <row r="70" spans="1:29" x14ac:dyDescent="0.3">
      <c r="A70" s="17" t="s">
        <v>47</v>
      </c>
      <c r="B70">
        <v>2007</v>
      </c>
      <c r="C70" s="18">
        <v>161.47999999999999</v>
      </c>
      <c r="D70" s="14">
        <v>0</v>
      </c>
      <c r="E70" s="16">
        <v>0</v>
      </c>
      <c r="F70" s="14">
        <v>5.46197671538271E-3</v>
      </c>
      <c r="G70" s="16">
        <v>0</v>
      </c>
      <c r="H70" s="14">
        <v>5.2922962595987097E-2</v>
      </c>
      <c r="I70" s="16">
        <v>0</v>
      </c>
      <c r="J70" s="14">
        <v>0</v>
      </c>
      <c r="K70" s="15">
        <v>0</v>
      </c>
      <c r="L70" s="15">
        <v>0</v>
      </c>
      <c r="M70" s="15">
        <v>0</v>
      </c>
      <c r="N70" s="16">
        <v>0</v>
      </c>
      <c r="O70" s="14">
        <v>0</v>
      </c>
      <c r="P70" s="16">
        <v>0</v>
      </c>
      <c r="Q70" s="14">
        <v>0</v>
      </c>
      <c r="R70" s="15">
        <v>0</v>
      </c>
      <c r="S70" s="15">
        <v>4.5214609074614352E-2</v>
      </c>
      <c r="T70" s="15">
        <v>0.16682403348173963</v>
      </c>
      <c r="U70" s="14">
        <v>4.0248641623424931E-3</v>
      </c>
      <c r="V70" s="16">
        <v>0.30588967633802949</v>
      </c>
      <c r="W70" s="14">
        <v>2.1940797621996501E-2</v>
      </c>
      <c r="X70" s="15">
        <v>0</v>
      </c>
      <c r="Y70" s="16">
        <v>0</v>
      </c>
      <c r="Z70" s="14">
        <v>0.39772108000990802</v>
      </c>
      <c r="AA70" s="15">
        <v>0</v>
      </c>
      <c r="AB70" s="16">
        <v>0</v>
      </c>
      <c r="AC70" s="26">
        <f t="shared" si="1"/>
        <v>5.8384939311369809E-2</v>
      </c>
    </row>
    <row r="71" spans="1:29" x14ac:dyDescent="0.3">
      <c r="A71" s="17" t="s">
        <v>47</v>
      </c>
      <c r="B71">
        <v>2008</v>
      </c>
      <c r="C71" s="18">
        <v>832.71699999999998</v>
      </c>
      <c r="D71" s="14">
        <v>0</v>
      </c>
      <c r="E71" s="16">
        <v>0</v>
      </c>
      <c r="F71" s="14">
        <v>8.5491229313199996E-3</v>
      </c>
      <c r="G71" s="16">
        <v>8.3209541777098297E-3</v>
      </c>
      <c r="H71" s="14">
        <v>0</v>
      </c>
      <c r="I71" s="16">
        <v>0</v>
      </c>
      <c r="J71" s="14">
        <v>1.7067022770040699E-2</v>
      </c>
      <c r="K71" s="15">
        <v>0</v>
      </c>
      <c r="L71" s="15">
        <v>0.25892109804411301</v>
      </c>
      <c r="M71" s="15">
        <v>0</v>
      </c>
      <c r="N71" s="16">
        <v>0</v>
      </c>
      <c r="O71" s="14">
        <v>0</v>
      </c>
      <c r="P71" s="16">
        <v>0</v>
      </c>
      <c r="Q71" s="14">
        <v>1.3108775996068293E-3</v>
      </c>
      <c r="R71" s="15">
        <v>0</v>
      </c>
      <c r="S71" s="15">
        <v>9.1118844913847252E-3</v>
      </c>
      <c r="T71" s="15">
        <v>1.8545062512084844E-2</v>
      </c>
      <c r="U71" s="14">
        <v>3.0380156871663484E-3</v>
      </c>
      <c r="V71" s="16">
        <v>8.2690989485059041E-2</v>
      </c>
      <c r="W71" s="14">
        <v>1.6375311180148799E-2</v>
      </c>
      <c r="X71" s="15">
        <v>3.7876013099288198E-3</v>
      </c>
      <c r="Y71" s="16">
        <v>2.5602935931414899E-3</v>
      </c>
      <c r="Z71" s="14">
        <v>0.56972176621829496</v>
      </c>
      <c r="AA71" s="15">
        <v>0</v>
      </c>
      <c r="AB71" s="16">
        <v>0</v>
      </c>
      <c r="AC71" s="26">
        <f t="shared" si="1"/>
        <v>0.29285819792318352</v>
      </c>
    </row>
    <row r="72" spans="1:29" x14ac:dyDescent="0.3">
      <c r="A72" s="17" t="s">
        <v>47</v>
      </c>
      <c r="B72">
        <v>2009</v>
      </c>
      <c r="C72" s="18">
        <v>290.10599999999999</v>
      </c>
      <c r="D72" s="14">
        <v>3.6193667142354899E-3</v>
      </c>
      <c r="E72" s="16">
        <v>0</v>
      </c>
      <c r="F72" s="14">
        <v>1.6697345108339701E-2</v>
      </c>
      <c r="G72" s="16">
        <v>0</v>
      </c>
      <c r="H72" s="14">
        <v>0</v>
      </c>
      <c r="I72" s="16">
        <v>0</v>
      </c>
      <c r="J72" s="14">
        <v>7.6020489062618504E-2</v>
      </c>
      <c r="K72" s="15">
        <v>0</v>
      </c>
      <c r="L72" s="15">
        <v>0</v>
      </c>
      <c r="M72" s="15">
        <v>0</v>
      </c>
      <c r="N72" s="16">
        <v>0</v>
      </c>
      <c r="O72" s="14">
        <v>1.0341047754958501E-5</v>
      </c>
      <c r="P72" s="16">
        <v>0</v>
      </c>
      <c r="Q72" s="14">
        <v>0.16582731829055586</v>
      </c>
      <c r="R72" s="15">
        <v>0</v>
      </c>
      <c r="S72" s="15">
        <v>0</v>
      </c>
      <c r="T72" s="15">
        <v>3.3165463658111169E-2</v>
      </c>
      <c r="U72" s="14">
        <v>6.459474134936305E-3</v>
      </c>
      <c r="V72" s="16">
        <v>0.18409501284568469</v>
      </c>
      <c r="W72" s="14">
        <v>3.9223594134557699E-2</v>
      </c>
      <c r="X72" s="15">
        <v>0</v>
      </c>
      <c r="Y72" s="16">
        <v>1.15233742149421E-2</v>
      </c>
      <c r="Z72" s="14">
        <v>0.463358220788264</v>
      </c>
      <c r="AA72" s="15">
        <v>0</v>
      </c>
      <c r="AB72" s="16">
        <v>0</v>
      </c>
      <c r="AC72" s="26">
        <f t="shared" si="1"/>
        <v>9.2728175218713169E-2</v>
      </c>
    </row>
    <row r="73" spans="1:29" x14ac:dyDescent="0.3">
      <c r="A73" s="17" t="s">
        <v>47</v>
      </c>
      <c r="B73">
        <v>2010</v>
      </c>
      <c r="C73" s="18">
        <v>2386.259</v>
      </c>
      <c r="D73" s="14">
        <v>3.2347704084091499E-3</v>
      </c>
      <c r="E73" s="16">
        <v>0</v>
      </c>
      <c r="F73" s="14">
        <v>1.26256202700545E-2</v>
      </c>
      <c r="G73" s="16">
        <v>1.2680936981274899E-3</v>
      </c>
      <c r="H73" s="14">
        <v>0</v>
      </c>
      <c r="I73" s="16">
        <v>2.1451988237655702E-3</v>
      </c>
      <c r="J73" s="14">
        <v>5.5848925032865298E-3</v>
      </c>
      <c r="K73" s="15">
        <v>1.2017974578618701E-2</v>
      </c>
      <c r="L73" s="15">
        <v>2.4970047258072201E-2</v>
      </c>
      <c r="M73" s="15">
        <v>0</v>
      </c>
      <c r="N73" s="16">
        <v>0</v>
      </c>
      <c r="O73" s="14">
        <v>1.08957158464358E-5</v>
      </c>
      <c r="P73" s="16">
        <v>2.2336217485193399E-4</v>
      </c>
      <c r="Q73" s="14">
        <v>0</v>
      </c>
      <c r="R73" s="15">
        <v>0</v>
      </c>
      <c r="S73" s="15">
        <v>0</v>
      </c>
      <c r="T73" s="15">
        <v>0</v>
      </c>
      <c r="U73" s="14">
        <v>3.5834232796104403E-3</v>
      </c>
      <c r="V73" s="16">
        <v>4.1796814154800466E-2</v>
      </c>
      <c r="W73" s="14">
        <v>7.0646145284313198E-3</v>
      </c>
      <c r="X73" s="15">
        <v>0</v>
      </c>
      <c r="Y73" s="16">
        <v>2.1032922243561999E-3</v>
      </c>
      <c r="Z73" s="14">
        <v>0.88337058131577495</v>
      </c>
      <c r="AA73" s="15">
        <v>0</v>
      </c>
      <c r="AB73" s="16">
        <v>0</v>
      </c>
      <c r="AC73" s="26">
        <f t="shared" si="1"/>
        <v>5.8846085022623361E-2</v>
      </c>
    </row>
    <row r="74" spans="1:29" x14ac:dyDescent="0.3">
      <c r="A74" s="17" t="s">
        <v>47</v>
      </c>
      <c r="B74">
        <v>2011</v>
      </c>
      <c r="C74" s="18">
        <v>761.36900000000003</v>
      </c>
      <c r="D74" s="14">
        <v>2.6268471660916102E-6</v>
      </c>
      <c r="E74" s="16">
        <v>0</v>
      </c>
      <c r="F74" s="14">
        <v>6.9598315665597103E-3</v>
      </c>
      <c r="G74" s="16">
        <v>0</v>
      </c>
      <c r="H74" s="14">
        <v>0</v>
      </c>
      <c r="I74" s="16">
        <v>1.12744280368652E-2</v>
      </c>
      <c r="J74" s="14">
        <v>3.18899245963521E-2</v>
      </c>
      <c r="K74" s="15">
        <v>2.2824675026169999E-2</v>
      </c>
      <c r="L74" s="15">
        <v>7.9636812110816205E-2</v>
      </c>
      <c r="M74" s="15">
        <v>0</v>
      </c>
      <c r="N74" s="16">
        <v>0</v>
      </c>
      <c r="O74" s="14">
        <v>0</v>
      </c>
      <c r="P74" s="16">
        <v>1.7731218371118301E-4</v>
      </c>
      <c r="Q74" s="14">
        <v>2.2522587602069401E-2</v>
      </c>
      <c r="R74" s="15">
        <v>0</v>
      </c>
      <c r="S74" s="15">
        <v>0</v>
      </c>
      <c r="T74" s="15">
        <v>0</v>
      </c>
      <c r="U74" s="14">
        <v>3.7474601671462833E-2</v>
      </c>
      <c r="V74" s="16">
        <v>0</v>
      </c>
      <c r="W74" s="14">
        <v>2.7417717296081098E-2</v>
      </c>
      <c r="X74" s="15">
        <v>0</v>
      </c>
      <c r="Y74" s="16">
        <v>8.3678216475848097E-3</v>
      </c>
      <c r="Z74" s="14">
        <v>0.75145166141516095</v>
      </c>
      <c r="AA74" s="15">
        <v>0</v>
      </c>
      <c r="AB74" s="16">
        <v>0</v>
      </c>
      <c r="AC74" s="26">
        <f t="shared" si="1"/>
        <v>0.15276298352047438</v>
      </c>
    </row>
    <row r="75" spans="1:29" x14ac:dyDescent="0.3">
      <c r="A75" s="17" t="s">
        <v>47</v>
      </c>
      <c r="B75">
        <v>2012</v>
      </c>
      <c r="C75" s="18">
        <v>741.41099999999994</v>
      </c>
      <c r="D75" s="14">
        <v>0</v>
      </c>
      <c r="E75" s="16">
        <v>0</v>
      </c>
      <c r="F75" s="14">
        <v>6.6481344355559897E-3</v>
      </c>
      <c r="G75" s="16">
        <v>8.2545308877262392E-3</v>
      </c>
      <c r="H75" s="14">
        <v>3.5742658255677299E-4</v>
      </c>
      <c r="I75" s="16">
        <v>0</v>
      </c>
      <c r="J75" s="14">
        <v>1.4632909411918599E-2</v>
      </c>
      <c r="K75" s="15">
        <v>1.8973282025759E-2</v>
      </c>
      <c r="L75" s="15">
        <v>3.3019472330461798E-2</v>
      </c>
      <c r="M75" s="15">
        <v>0</v>
      </c>
      <c r="N75" s="16">
        <v>0</v>
      </c>
      <c r="O75" s="14">
        <v>0</v>
      </c>
      <c r="P75" s="16">
        <v>0</v>
      </c>
      <c r="Q75" s="14">
        <v>7.521644040390049E-3</v>
      </c>
      <c r="R75" s="15">
        <v>0</v>
      </c>
      <c r="S75" s="15">
        <v>0</v>
      </c>
      <c r="T75" s="15">
        <v>1.4436936737792802E-3</v>
      </c>
      <c r="U75" s="14">
        <v>6.5074244330580681E-3</v>
      </c>
      <c r="V75" s="16">
        <v>0.16675275109711302</v>
      </c>
      <c r="W75" s="14">
        <v>8.1636231455967101E-2</v>
      </c>
      <c r="X75" s="15">
        <v>0</v>
      </c>
      <c r="Y75" s="16">
        <v>0</v>
      </c>
      <c r="Z75" s="14">
        <v>0.65425249962571397</v>
      </c>
      <c r="AA75" s="15">
        <v>0</v>
      </c>
      <c r="AB75" s="16">
        <v>0</v>
      </c>
      <c r="AC75" s="26">
        <f t="shared" si="1"/>
        <v>8.1885755673978405E-2</v>
      </c>
    </row>
    <row r="76" spans="1:29" x14ac:dyDescent="0.3">
      <c r="A76" s="17" t="s">
        <v>47</v>
      </c>
      <c r="B76">
        <v>2013</v>
      </c>
      <c r="C76" s="18">
        <v>1443.7660000000001</v>
      </c>
      <c r="D76" s="14">
        <v>0</v>
      </c>
      <c r="E76" s="16">
        <v>0</v>
      </c>
      <c r="F76" s="14">
        <v>1.0600055687694499E-2</v>
      </c>
      <c r="G76" s="16">
        <v>0</v>
      </c>
      <c r="H76" s="14">
        <v>2.6991908661098802E-3</v>
      </c>
      <c r="I76" s="16">
        <v>0</v>
      </c>
      <c r="J76" s="14">
        <v>1.99118139643128E-2</v>
      </c>
      <c r="K76" s="15">
        <v>0</v>
      </c>
      <c r="L76" s="15">
        <v>1.35354344125017E-2</v>
      </c>
      <c r="M76" s="15">
        <v>0</v>
      </c>
      <c r="N76" s="16">
        <v>2.1166864990587102E-3</v>
      </c>
      <c r="O76" s="14">
        <v>0</v>
      </c>
      <c r="P76" s="16">
        <v>1.3575607127470801E-4</v>
      </c>
      <c r="Q76" s="14">
        <v>0</v>
      </c>
      <c r="R76" s="15">
        <v>0</v>
      </c>
      <c r="S76" s="15">
        <v>0</v>
      </c>
      <c r="T76" s="15">
        <v>0</v>
      </c>
      <c r="U76" s="14">
        <v>3.1001732724626379E-3</v>
      </c>
      <c r="V76" s="16">
        <v>1.8669282442660223E-2</v>
      </c>
      <c r="W76" s="14">
        <v>3.1692808945493901E-2</v>
      </c>
      <c r="X76" s="15">
        <v>0</v>
      </c>
      <c r="Y76" s="16">
        <v>8.9786017955818306E-3</v>
      </c>
      <c r="Z76" s="14">
        <v>0.88856019604284897</v>
      </c>
      <c r="AA76" s="15">
        <v>0</v>
      </c>
      <c r="AB76" s="16">
        <v>0</v>
      </c>
      <c r="AC76" s="26">
        <f t="shared" si="1"/>
        <v>4.89989375009523E-2</v>
      </c>
    </row>
    <row r="77" spans="1:29" x14ac:dyDescent="0.3">
      <c r="A77" s="17" t="s">
        <v>47</v>
      </c>
      <c r="B77">
        <v>2014</v>
      </c>
      <c r="C77" s="18">
        <v>441.16199999999998</v>
      </c>
      <c r="D77" s="14">
        <v>0</v>
      </c>
      <c r="E77" s="16">
        <v>0</v>
      </c>
      <c r="F77" s="14">
        <v>1.02910042116048E-3</v>
      </c>
      <c r="G77" s="16">
        <v>0</v>
      </c>
      <c r="H77" s="14">
        <v>1.8351535263689999E-2</v>
      </c>
      <c r="I77" s="16">
        <v>0</v>
      </c>
      <c r="J77" s="14">
        <v>1.30382943227205E-2</v>
      </c>
      <c r="K77" s="15">
        <v>0</v>
      </c>
      <c r="L77" s="15">
        <v>0</v>
      </c>
      <c r="M77" s="15">
        <v>0</v>
      </c>
      <c r="N77" s="16">
        <v>0</v>
      </c>
      <c r="O77" s="14">
        <v>0</v>
      </c>
      <c r="P77" s="16">
        <v>1.39404572469977E-3</v>
      </c>
      <c r="Q77" s="14">
        <v>0</v>
      </c>
      <c r="R77" s="15">
        <v>0</v>
      </c>
      <c r="S77" s="15">
        <v>8.7586872849429506E-3</v>
      </c>
      <c r="T77" s="15">
        <v>0</v>
      </c>
      <c r="U77" s="14">
        <v>1.0087233853110819E-2</v>
      </c>
      <c r="V77" s="16">
        <v>9.7934309253503105E-2</v>
      </c>
      <c r="W77" s="14">
        <v>1.87640821285605E-2</v>
      </c>
      <c r="X77" s="15">
        <v>1.1333705078859901E-5</v>
      </c>
      <c r="Y77" s="16">
        <v>0</v>
      </c>
      <c r="Z77" s="14">
        <v>0.83063137804253295</v>
      </c>
      <c r="AA77" s="15">
        <v>0</v>
      </c>
      <c r="AB77" s="16">
        <v>0</v>
      </c>
      <c r="AC77" s="26">
        <f t="shared" si="1"/>
        <v>3.3812975732270746E-2</v>
      </c>
    </row>
    <row r="78" spans="1:29" x14ac:dyDescent="0.3">
      <c r="A78" s="17" t="s">
        <v>47</v>
      </c>
      <c r="B78">
        <v>2015</v>
      </c>
      <c r="C78" s="18">
        <v>1568.434</v>
      </c>
      <c r="D78" s="14">
        <v>1.6768317952811499E-4</v>
      </c>
      <c r="E78" s="16">
        <v>0</v>
      </c>
      <c r="F78" s="14">
        <v>3.5455747580070301E-3</v>
      </c>
      <c r="G78" s="16">
        <v>3.22551028605603E-3</v>
      </c>
      <c r="H78" s="14">
        <v>2.88440571933534E-3</v>
      </c>
      <c r="I78" s="16">
        <v>0</v>
      </c>
      <c r="J78" s="14">
        <v>3.3822908710216697E-2</v>
      </c>
      <c r="K78" s="15">
        <v>3.78721705854375E-3</v>
      </c>
      <c r="L78" s="15">
        <v>8.9369396480820998E-3</v>
      </c>
      <c r="M78" s="15">
        <v>0</v>
      </c>
      <c r="N78" s="16">
        <v>0</v>
      </c>
      <c r="O78" s="14">
        <v>0</v>
      </c>
      <c r="P78" s="16">
        <v>4.1442610909990503E-5</v>
      </c>
      <c r="Q78" s="14">
        <v>0</v>
      </c>
      <c r="R78" s="15">
        <v>0</v>
      </c>
      <c r="S78" s="15">
        <v>0</v>
      </c>
      <c r="T78" s="15">
        <v>0</v>
      </c>
      <c r="U78" s="14">
        <v>8.3799656370053353E-3</v>
      </c>
      <c r="V78" s="16">
        <v>9.9186562505077749E-2</v>
      </c>
      <c r="W78" s="14">
        <v>8.5767077224798809E-3</v>
      </c>
      <c r="X78" s="15">
        <v>1.92421230348233E-3</v>
      </c>
      <c r="Y78" s="16">
        <v>5.1108302931459001E-3</v>
      </c>
      <c r="Z78" s="14">
        <v>0.82041003956812997</v>
      </c>
      <c r="AA78" s="15">
        <v>0</v>
      </c>
      <c r="AB78" s="16">
        <v>0</v>
      </c>
      <c r="AC78" s="26">
        <f t="shared" si="1"/>
        <v>5.6243998791150933E-2</v>
      </c>
    </row>
    <row r="79" spans="1:29" x14ac:dyDescent="0.3">
      <c r="A79" s="17" t="s">
        <v>47</v>
      </c>
      <c r="B79">
        <v>2016</v>
      </c>
      <c r="C79" s="18">
        <v>981.8</v>
      </c>
      <c r="D79" s="14">
        <v>1.9229985740476701E-3</v>
      </c>
      <c r="E79" s="16">
        <v>0</v>
      </c>
      <c r="F79" s="14">
        <v>1.6827256060297401E-2</v>
      </c>
      <c r="G79" s="16">
        <v>0</v>
      </c>
      <c r="H79" s="14">
        <v>1.08494601751884E-2</v>
      </c>
      <c r="I79" s="16">
        <v>0</v>
      </c>
      <c r="J79" s="14">
        <v>7.8547565695661001E-2</v>
      </c>
      <c r="K79" s="15">
        <v>1.57588103483398E-2</v>
      </c>
      <c r="L79" s="15">
        <v>9.0873905072316203E-3</v>
      </c>
      <c r="M79" s="15">
        <v>0</v>
      </c>
      <c r="N79" s="16">
        <v>0</v>
      </c>
      <c r="O79" s="14">
        <v>0</v>
      </c>
      <c r="P79" s="16">
        <v>0</v>
      </c>
      <c r="Q79" s="14">
        <v>0</v>
      </c>
      <c r="R79" s="15">
        <v>0</v>
      </c>
      <c r="S79" s="15">
        <v>0</v>
      </c>
      <c r="T79" s="15">
        <v>0</v>
      </c>
      <c r="U79" s="14">
        <v>7.1874889257807746E-3</v>
      </c>
      <c r="V79" s="16">
        <v>0.10039959602023686</v>
      </c>
      <c r="W79" s="14">
        <v>1.22886534935832E-2</v>
      </c>
      <c r="X79" s="15">
        <v>0</v>
      </c>
      <c r="Y79" s="16">
        <v>0</v>
      </c>
      <c r="Z79" s="14">
        <v>0.74713078019963297</v>
      </c>
      <c r="AA79" s="15">
        <v>0</v>
      </c>
      <c r="AB79" s="16">
        <v>0</v>
      </c>
      <c r="AC79" s="26">
        <f t="shared" si="1"/>
        <v>0.13107048278671823</v>
      </c>
    </row>
    <row r="80" spans="1:29" x14ac:dyDescent="0.3">
      <c r="A80" s="17" t="s">
        <v>47</v>
      </c>
      <c r="B80">
        <v>2017</v>
      </c>
      <c r="C80" s="18">
        <v>1126.799</v>
      </c>
      <c r="D80" s="14">
        <v>8.8746972618896495E-7</v>
      </c>
      <c r="E80" s="16">
        <v>0</v>
      </c>
      <c r="F80" s="14">
        <v>7.8887183960937093E-3</v>
      </c>
      <c r="G80" s="16">
        <v>0</v>
      </c>
      <c r="H80" s="14">
        <v>1.01118300601971E-2</v>
      </c>
      <c r="I80" s="16">
        <v>0</v>
      </c>
      <c r="J80" s="14">
        <v>2.6723488395002101E-2</v>
      </c>
      <c r="K80" s="15">
        <v>0</v>
      </c>
      <c r="L80" s="15">
        <v>4.4459570872888599E-2</v>
      </c>
      <c r="M80" s="15">
        <v>0</v>
      </c>
      <c r="N80" s="16">
        <v>0</v>
      </c>
      <c r="O80" s="14">
        <v>0</v>
      </c>
      <c r="P80" s="16">
        <v>9.05219120712745E-5</v>
      </c>
      <c r="Q80" s="14">
        <v>0</v>
      </c>
      <c r="R80" s="15">
        <v>0</v>
      </c>
      <c r="S80" s="15">
        <v>0</v>
      </c>
      <c r="T80" s="15">
        <v>0</v>
      </c>
      <c r="U80" s="14">
        <v>1.8608732039693662E-3</v>
      </c>
      <c r="V80" s="16">
        <v>7.3063758429534068E-2</v>
      </c>
      <c r="W80" s="14">
        <v>1.6974633452816301E-2</v>
      </c>
      <c r="X80" s="15">
        <v>0</v>
      </c>
      <c r="Y80" s="16">
        <v>0</v>
      </c>
      <c r="Z80" s="14">
        <v>0.81882571780770097</v>
      </c>
      <c r="AA80" s="15">
        <v>0</v>
      </c>
      <c r="AB80" s="16">
        <v>0</v>
      </c>
      <c r="AC80" s="26">
        <f t="shared" si="1"/>
        <v>8.927412963625278E-2</v>
      </c>
    </row>
    <row r="81" spans="1:29" x14ac:dyDescent="0.3">
      <c r="A81" s="17" t="s">
        <v>47</v>
      </c>
      <c r="B81">
        <v>2018</v>
      </c>
      <c r="C81" s="18">
        <v>1367.604</v>
      </c>
      <c r="D81" s="14">
        <v>0</v>
      </c>
      <c r="E81" s="16">
        <v>0</v>
      </c>
      <c r="F81" s="14">
        <v>2.9248232675540601E-6</v>
      </c>
      <c r="G81" s="16">
        <v>2.5424026253213598E-3</v>
      </c>
      <c r="H81" s="14">
        <v>6.36514663601452E-3</v>
      </c>
      <c r="I81" s="16">
        <v>0</v>
      </c>
      <c r="J81" s="14">
        <v>1.45919432818272E-2</v>
      </c>
      <c r="K81" s="15">
        <v>7.4144269832495399E-3</v>
      </c>
      <c r="L81" s="15">
        <v>8.1002980394909597E-3</v>
      </c>
      <c r="M81" s="15">
        <v>0</v>
      </c>
      <c r="N81" s="16">
        <v>0</v>
      </c>
      <c r="O81" s="14">
        <v>0</v>
      </c>
      <c r="P81" s="16">
        <v>0</v>
      </c>
      <c r="Q81" s="14">
        <v>0</v>
      </c>
      <c r="R81" s="15">
        <v>0</v>
      </c>
      <c r="S81" s="15">
        <v>0</v>
      </c>
      <c r="T81" s="15">
        <v>0</v>
      </c>
      <c r="U81" s="14">
        <v>3.0820855409256012E-3</v>
      </c>
      <c r="V81" s="16">
        <v>0.11990380803645465</v>
      </c>
      <c r="W81" s="14">
        <v>1.0413833244126199E-2</v>
      </c>
      <c r="X81" s="15">
        <v>9.3374982816663303E-4</v>
      </c>
      <c r="Y81" s="16">
        <v>2.6147920011933301E-3</v>
      </c>
      <c r="Z81" s="14">
        <v>0.82403458895996196</v>
      </c>
      <c r="AA81" s="15">
        <v>0</v>
      </c>
      <c r="AB81" s="16">
        <v>0</v>
      </c>
      <c r="AC81" s="26">
        <f t="shared" si="1"/>
        <v>3.9017142389171131E-2</v>
      </c>
    </row>
    <row r="82" spans="1:29" x14ac:dyDescent="0.3">
      <c r="A82" s="17" t="s">
        <v>47</v>
      </c>
      <c r="B82">
        <v>2019</v>
      </c>
      <c r="C82" s="18">
        <v>2054.81</v>
      </c>
      <c r="D82" s="14">
        <v>0</v>
      </c>
      <c r="E82" s="16">
        <v>0</v>
      </c>
      <c r="F82" s="14">
        <v>0</v>
      </c>
      <c r="G82" s="16">
        <v>0</v>
      </c>
      <c r="H82" s="14">
        <v>0</v>
      </c>
      <c r="I82" s="16">
        <v>0</v>
      </c>
      <c r="J82" s="14">
        <v>0</v>
      </c>
      <c r="K82" s="15">
        <v>0</v>
      </c>
      <c r="L82" s="15">
        <v>5.83557603866051E-3</v>
      </c>
      <c r="M82" s="15">
        <v>0</v>
      </c>
      <c r="N82" s="16">
        <v>0</v>
      </c>
      <c r="O82" s="14">
        <v>3.5039736033988499E-5</v>
      </c>
      <c r="P82" s="16">
        <v>5.9372886057591698E-5</v>
      </c>
      <c r="Q82" s="14">
        <v>0</v>
      </c>
      <c r="R82" s="15">
        <v>0</v>
      </c>
      <c r="S82" s="15">
        <v>0</v>
      </c>
      <c r="T82" s="15">
        <v>0</v>
      </c>
      <c r="U82" s="14">
        <v>2.1847632415655876E-3</v>
      </c>
      <c r="V82" s="16">
        <v>1.3600151178745782E-2</v>
      </c>
      <c r="W82" s="14">
        <v>6.3747986431835603E-3</v>
      </c>
      <c r="X82" s="15">
        <v>0</v>
      </c>
      <c r="Y82" s="16">
        <v>8.0985589908555995E-3</v>
      </c>
      <c r="Z82" s="14">
        <v>0.96381125262189704</v>
      </c>
      <c r="AA82" s="15">
        <v>0</v>
      </c>
      <c r="AB82" s="16">
        <v>0</v>
      </c>
      <c r="AC82" s="26">
        <f t="shared" si="1"/>
        <v>5.9299886607520908E-3</v>
      </c>
    </row>
    <row r="83" spans="1:29" x14ac:dyDescent="0.3">
      <c r="A83" s="17" t="s">
        <v>47</v>
      </c>
      <c r="B83">
        <v>2020</v>
      </c>
      <c r="C83" s="18">
        <v>2010.864</v>
      </c>
      <c r="D83" s="14">
        <v>0</v>
      </c>
      <c r="E83" s="16">
        <v>0</v>
      </c>
      <c r="F83" s="14">
        <v>0</v>
      </c>
      <c r="G83" s="16">
        <v>0</v>
      </c>
      <c r="H83" s="14">
        <v>0</v>
      </c>
      <c r="I83" s="16">
        <v>0</v>
      </c>
      <c r="J83" s="14">
        <v>0</v>
      </c>
      <c r="K83" s="15">
        <v>0</v>
      </c>
      <c r="L83" s="15">
        <v>9.86391919095473E-3</v>
      </c>
      <c r="M83" s="15">
        <v>0</v>
      </c>
      <c r="N83" s="16">
        <v>0</v>
      </c>
      <c r="O83" s="14">
        <v>5.2862849004209095E-4</v>
      </c>
      <c r="P83" s="16">
        <v>1.9891946944199102E-6</v>
      </c>
      <c r="Q83" s="33">
        <v>0</v>
      </c>
      <c r="R83" s="34">
        <v>0</v>
      </c>
      <c r="S83" s="34">
        <v>0</v>
      </c>
      <c r="T83" s="34">
        <v>0</v>
      </c>
      <c r="U83" s="14">
        <v>7.5344378780576177E-3</v>
      </c>
      <c r="V83" s="16">
        <v>0.26104934700247101</v>
      </c>
      <c r="W83" s="14">
        <v>1.7330858775133501E-3</v>
      </c>
      <c r="X83" s="15">
        <v>0</v>
      </c>
      <c r="Y83" s="16">
        <v>5.0629977959722799E-3</v>
      </c>
      <c r="Z83" s="14">
        <v>0.71394087317690302</v>
      </c>
      <c r="AA83" s="15">
        <v>0</v>
      </c>
      <c r="AB83" s="16">
        <v>0</v>
      </c>
      <c r="AC83" s="26">
        <f t="shared" si="1"/>
        <v>1.0394536875691241E-2</v>
      </c>
    </row>
    <row r="84" spans="1:29" x14ac:dyDescent="0.3">
      <c r="A84" s="17" t="s">
        <v>47</v>
      </c>
      <c r="B84">
        <v>2021</v>
      </c>
      <c r="C84" s="18">
        <v>3127.8589999999999</v>
      </c>
      <c r="D84" s="14">
        <v>0</v>
      </c>
      <c r="E84" s="16">
        <v>0</v>
      </c>
      <c r="F84" s="14">
        <v>0</v>
      </c>
      <c r="G84" s="16">
        <v>0</v>
      </c>
      <c r="H84" s="14">
        <v>0</v>
      </c>
      <c r="I84" s="16">
        <v>0</v>
      </c>
      <c r="J84" s="14">
        <v>0</v>
      </c>
      <c r="K84" s="15">
        <v>0</v>
      </c>
      <c r="L84" s="15">
        <v>3.2271275655328499E-3</v>
      </c>
      <c r="M84" s="15">
        <v>0</v>
      </c>
      <c r="N84" s="16">
        <v>0</v>
      </c>
      <c r="O84" s="14">
        <v>0</v>
      </c>
      <c r="P84" s="16">
        <v>0</v>
      </c>
      <c r="Q84" s="14">
        <v>0</v>
      </c>
      <c r="R84" s="15">
        <v>0</v>
      </c>
      <c r="S84" s="15">
        <v>0</v>
      </c>
      <c r="T84" s="15">
        <v>0</v>
      </c>
      <c r="U84" s="14">
        <v>6.8085972206038828E-3</v>
      </c>
      <c r="V84" s="16">
        <v>4.1055452917206012E-2</v>
      </c>
      <c r="W84" s="14">
        <v>9.5336778288279602E-4</v>
      </c>
      <c r="X84" s="15">
        <v>0</v>
      </c>
      <c r="Y84" s="16">
        <v>3.2961843868281799E-3</v>
      </c>
      <c r="Z84" s="14">
        <v>0.94465927012694595</v>
      </c>
      <c r="AA84" s="15">
        <v>0</v>
      </c>
      <c r="AB84" s="16">
        <v>0</v>
      </c>
      <c r="AC84" s="26">
        <f t="shared" si="1"/>
        <v>3.2271275655328499E-3</v>
      </c>
    </row>
    <row r="85" spans="1:29" x14ac:dyDescent="0.3">
      <c r="A85" s="17" t="s">
        <v>47</v>
      </c>
      <c r="B85">
        <v>2022</v>
      </c>
      <c r="C85" s="18">
        <v>4012.46</v>
      </c>
      <c r="D85" s="14">
        <v>6.3552035409698805E-5</v>
      </c>
      <c r="E85" s="16">
        <v>0</v>
      </c>
      <c r="F85" s="14">
        <v>0</v>
      </c>
      <c r="G85" s="16">
        <v>1.66257109105138E-3</v>
      </c>
      <c r="H85" s="14">
        <v>3.1402182202439397E-5</v>
      </c>
      <c r="I85" s="16">
        <v>0</v>
      </c>
      <c r="J85" s="14">
        <v>3.85922850321249E-3</v>
      </c>
      <c r="K85" s="15">
        <v>0</v>
      </c>
      <c r="L85" s="15">
        <v>1.8133514103567401E-3</v>
      </c>
      <c r="M85" s="15">
        <v>0</v>
      </c>
      <c r="N85" s="16">
        <v>0</v>
      </c>
      <c r="O85" s="14">
        <v>0</v>
      </c>
      <c r="P85" s="16">
        <v>0</v>
      </c>
      <c r="Q85" s="14">
        <v>0</v>
      </c>
      <c r="R85" s="15">
        <v>0</v>
      </c>
      <c r="S85" s="15">
        <v>0</v>
      </c>
      <c r="T85" s="15">
        <v>2.21061393758442E-3</v>
      </c>
      <c r="U85" s="14">
        <v>3.0769397992755653E-3</v>
      </c>
      <c r="V85" s="16">
        <v>1.2250066575865845E-2</v>
      </c>
      <c r="W85" s="14">
        <v>2.5944183867253502E-4</v>
      </c>
      <c r="X85" s="15">
        <v>0</v>
      </c>
      <c r="Y85" s="16">
        <v>4.9077124756383896E-3</v>
      </c>
      <c r="Z85" s="14">
        <v>0.96961589648245705</v>
      </c>
      <c r="AA85" s="15">
        <v>0</v>
      </c>
      <c r="AB85" s="16">
        <v>2.49223668273329E-4</v>
      </c>
      <c r="AC85" s="26">
        <f t="shared" si="1"/>
        <v>7.3665531868230497E-3</v>
      </c>
    </row>
    <row r="86" spans="1:29" x14ac:dyDescent="0.3">
      <c r="A86" s="17" t="s">
        <v>47</v>
      </c>
      <c r="B86">
        <v>2023</v>
      </c>
      <c r="C86" s="18">
        <v>2936.1239999999998</v>
      </c>
      <c r="D86" s="14">
        <v>6.3689408213004597E-4</v>
      </c>
      <c r="E86" s="16">
        <v>0</v>
      </c>
      <c r="F86" s="14">
        <v>0</v>
      </c>
      <c r="G86" s="16">
        <v>2.56835201783031E-3</v>
      </c>
      <c r="H86" s="14">
        <v>5.40167922063237E-4</v>
      </c>
      <c r="I86" s="16">
        <v>2.1398959989428201E-3</v>
      </c>
      <c r="J86" s="14">
        <v>8.4918075667103996E-3</v>
      </c>
      <c r="K86" s="15">
        <v>0</v>
      </c>
      <c r="L86" s="15">
        <v>3.5468529258301101E-3</v>
      </c>
      <c r="M86" s="15">
        <v>0</v>
      </c>
      <c r="N86" s="16">
        <v>0</v>
      </c>
      <c r="O86" s="14">
        <v>0</v>
      </c>
      <c r="P86" s="16">
        <v>0</v>
      </c>
      <c r="Q86" s="14">
        <v>0</v>
      </c>
      <c r="R86" s="15">
        <v>0</v>
      </c>
      <c r="S86" s="15">
        <v>0</v>
      </c>
      <c r="T86" s="15">
        <v>0</v>
      </c>
      <c r="U86" s="14">
        <v>8.6931402458441942E-3</v>
      </c>
      <c r="V86" s="16">
        <v>1.4694836556225478E-2</v>
      </c>
      <c r="W86" s="14">
        <v>3.6326803636358698E-3</v>
      </c>
      <c r="X86" s="15">
        <v>0</v>
      </c>
      <c r="Y86" s="16">
        <v>6.1904742442757902E-3</v>
      </c>
      <c r="Z86" s="14">
        <v>0.94886489807651198</v>
      </c>
      <c r="AA86" s="15">
        <v>0</v>
      </c>
      <c r="AB86" s="16">
        <v>0</v>
      </c>
      <c r="AC86" s="26">
        <f t="shared" si="1"/>
        <v>1.7287076431376877E-2</v>
      </c>
    </row>
    <row r="87" spans="1:29" ht="15" thickBot="1" x14ac:dyDescent="0.35">
      <c r="A87" s="4" t="s">
        <v>47</v>
      </c>
      <c r="B87" s="5">
        <v>2024</v>
      </c>
      <c r="C87" s="19">
        <v>1598.6020000000001</v>
      </c>
      <c r="D87" s="20">
        <v>0</v>
      </c>
      <c r="E87" s="21">
        <v>0</v>
      </c>
      <c r="F87" s="20">
        <v>0</v>
      </c>
      <c r="G87" s="21">
        <v>0</v>
      </c>
      <c r="H87" s="20">
        <v>0</v>
      </c>
      <c r="I87" s="21">
        <v>0</v>
      </c>
      <c r="J87" s="20">
        <v>1.8920638380491399E-2</v>
      </c>
      <c r="K87" s="22">
        <v>7.9426209244308696E-3</v>
      </c>
      <c r="L87" s="22">
        <v>8.6970980870252294E-3</v>
      </c>
      <c r="M87" s="22">
        <v>0</v>
      </c>
      <c r="N87" s="21">
        <v>0</v>
      </c>
      <c r="O87" s="20">
        <v>0</v>
      </c>
      <c r="P87" s="21">
        <v>0</v>
      </c>
      <c r="Q87" s="20">
        <v>0</v>
      </c>
      <c r="R87" s="22">
        <v>0</v>
      </c>
      <c r="S87" s="22">
        <v>0</v>
      </c>
      <c r="T87" s="22">
        <v>4.76607220840858E-3</v>
      </c>
      <c r="U87" s="20">
        <v>2.2822419055723055E-3</v>
      </c>
      <c r="V87" s="21">
        <v>4.6094234175478019E-2</v>
      </c>
      <c r="W87" s="20">
        <v>4.1920949630242996E-3</v>
      </c>
      <c r="X87" s="22">
        <v>0</v>
      </c>
      <c r="Y87" s="21">
        <v>1.56564480325268E-3</v>
      </c>
      <c r="Z87" s="20">
        <v>0.90553935455231604</v>
      </c>
      <c r="AA87" s="22">
        <v>0</v>
      </c>
      <c r="AB87" s="21">
        <v>0</v>
      </c>
      <c r="AC87" s="27">
        <f t="shared" si="1"/>
        <v>3.5560357391947496E-2</v>
      </c>
    </row>
    <row r="89" spans="1:29" x14ac:dyDescent="0.3">
      <c r="A89" s="23" t="s">
        <v>31</v>
      </c>
    </row>
    <row r="90" spans="1:29" x14ac:dyDescent="0.3">
      <c r="A90" t="s">
        <v>32</v>
      </c>
    </row>
    <row r="91" spans="1:29" x14ac:dyDescent="0.3">
      <c r="A91" t="s">
        <v>33</v>
      </c>
    </row>
    <row r="92" spans="1:29" x14ac:dyDescent="0.3">
      <c r="A92" t="s">
        <v>48</v>
      </c>
    </row>
    <row r="94" spans="1:29" ht="15" thickBot="1" x14ac:dyDescent="0.35">
      <c r="A94" t="s">
        <v>84</v>
      </c>
    </row>
    <row r="95" spans="1:29" ht="15" thickBot="1" x14ac:dyDescent="0.35">
      <c r="A95" s="1"/>
      <c r="B95" s="2"/>
      <c r="C95" s="3"/>
      <c r="D95" s="88" t="s">
        <v>2</v>
      </c>
      <c r="E95" s="89"/>
      <c r="F95" s="89"/>
      <c r="G95" s="89"/>
      <c r="H95" s="89"/>
      <c r="I95" s="90"/>
      <c r="J95" s="88" t="s">
        <v>3</v>
      </c>
      <c r="K95" s="89"/>
      <c r="L95" s="89"/>
      <c r="M95" s="89"/>
      <c r="N95" s="89"/>
      <c r="O95" s="89"/>
      <c r="P95" s="89"/>
      <c r="Q95" s="89"/>
      <c r="R95" s="89"/>
      <c r="S95" s="89"/>
      <c r="T95" s="89"/>
      <c r="U95" s="89"/>
      <c r="V95" s="89"/>
      <c r="W95" s="89"/>
      <c r="X95" s="89"/>
      <c r="Y95" s="90"/>
      <c r="Z95" s="91" t="s">
        <v>4</v>
      </c>
      <c r="AA95" s="92"/>
      <c r="AB95" s="93"/>
      <c r="AC95" s="97" t="s">
        <v>38</v>
      </c>
    </row>
    <row r="96" spans="1:29" ht="15" thickBot="1" x14ac:dyDescent="0.35">
      <c r="A96" s="4"/>
      <c r="B96" s="5"/>
      <c r="C96" s="6"/>
      <c r="D96" s="85" t="s">
        <v>5</v>
      </c>
      <c r="E96" s="86"/>
      <c r="F96" s="85" t="s">
        <v>6</v>
      </c>
      <c r="G96" s="86"/>
      <c r="H96" s="85" t="s">
        <v>7</v>
      </c>
      <c r="I96" s="86"/>
      <c r="J96" s="85" t="s">
        <v>8</v>
      </c>
      <c r="K96" s="87"/>
      <c r="L96" s="87"/>
      <c r="M96" s="87"/>
      <c r="N96" s="86"/>
      <c r="O96" s="85" t="s">
        <v>9</v>
      </c>
      <c r="P96" s="86"/>
      <c r="Q96" s="85" t="s">
        <v>10</v>
      </c>
      <c r="R96" s="87"/>
      <c r="S96" s="87"/>
      <c r="T96" s="87"/>
      <c r="U96" s="87"/>
      <c r="V96" s="86"/>
      <c r="W96" s="85" t="s">
        <v>11</v>
      </c>
      <c r="X96" s="87"/>
      <c r="Y96" s="86"/>
      <c r="Z96" s="94"/>
      <c r="AA96" s="95"/>
      <c r="AB96" s="96"/>
      <c r="AC96" s="98"/>
    </row>
    <row r="97" spans="1:29" ht="43.8" thickBot="1" x14ac:dyDescent="0.35">
      <c r="A97" s="7" t="s">
        <v>12</v>
      </c>
      <c r="B97" s="8" t="s">
        <v>27</v>
      </c>
      <c r="C97" s="9" t="s">
        <v>13</v>
      </c>
      <c r="D97" s="7" t="s">
        <v>14</v>
      </c>
      <c r="E97" s="9" t="s">
        <v>15</v>
      </c>
      <c r="F97" s="7" t="s">
        <v>16</v>
      </c>
      <c r="G97" s="9" t="s">
        <v>17</v>
      </c>
      <c r="H97" s="7" t="s">
        <v>18</v>
      </c>
      <c r="I97" s="9" t="s">
        <v>19</v>
      </c>
      <c r="J97" s="7" t="s">
        <v>20</v>
      </c>
      <c r="K97" s="8" t="s">
        <v>21</v>
      </c>
      <c r="L97" s="8" t="s">
        <v>22</v>
      </c>
      <c r="M97" s="8" t="s">
        <v>7</v>
      </c>
      <c r="N97" s="9" t="s">
        <v>6</v>
      </c>
      <c r="O97" s="31" t="s">
        <v>40</v>
      </c>
      <c r="P97" s="31" t="s">
        <v>42</v>
      </c>
      <c r="Q97" s="7" t="s">
        <v>23</v>
      </c>
      <c r="R97" s="8" t="s">
        <v>60</v>
      </c>
      <c r="S97" s="8" t="s">
        <v>24</v>
      </c>
      <c r="T97" s="8" t="s">
        <v>25</v>
      </c>
      <c r="U97" s="7" t="s">
        <v>44</v>
      </c>
      <c r="V97" s="31" t="s">
        <v>62</v>
      </c>
      <c r="W97" s="7" t="s">
        <v>36</v>
      </c>
      <c r="X97" s="8" t="s">
        <v>35</v>
      </c>
      <c r="Y97" s="9" t="s">
        <v>43</v>
      </c>
      <c r="Z97" s="7" t="s">
        <v>4</v>
      </c>
      <c r="AA97" s="8" t="s">
        <v>28</v>
      </c>
      <c r="AB97" s="9" t="s">
        <v>29</v>
      </c>
      <c r="AC97" s="30" t="s">
        <v>37</v>
      </c>
    </row>
    <row r="98" spans="1:29" x14ac:dyDescent="0.3">
      <c r="A98" s="1" t="s">
        <v>47</v>
      </c>
      <c r="B98" s="2">
        <v>1989</v>
      </c>
      <c r="C98" s="71">
        <f>C11-C52</f>
        <v>0</v>
      </c>
      <c r="D98" s="11">
        <f t="shared" ref="D98:AC98" si="2">D11-D52</f>
        <v>0</v>
      </c>
      <c r="E98" s="12">
        <f t="shared" si="2"/>
        <v>0</v>
      </c>
      <c r="F98" s="13">
        <f t="shared" si="2"/>
        <v>0</v>
      </c>
      <c r="G98" s="13">
        <f t="shared" si="2"/>
        <v>0</v>
      </c>
      <c r="H98" s="11">
        <f t="shared" si="2"/>
        <v>0</v>
      </c>
      <c r="I98" s="12">
        <f t="shared" si="2"/>
        <v>0</v>
      </c>
      <c r="J98" s="13">
        <f t="shared" si="2"/>
        <v>0</v>
      </c>
      <c r="K98" s="13">
        <f t="shared" si="2"/>
        <v>0</v>
      </c>
      <c r="L98" s="13">
        <f t="shared" si="2"/>
        <v>0</v>
      </c>
      <c r="M98" s="13">
        <f t="shared" si="2"/>
        <v>0</v>
      </c>
      <c r="N98" s="13">
        <f t="shared" si="2"/>
        <v>0</v>
      </c>
      <c r="O98" s="11">
        <f t="shared" si="2"/>
        <v>0</v>
      </c>
      <c r="P98" s="12">
        <f t="shared" si="2"/>
        <v>0</v>
      </c>
      <c r="Q98" s="13">
        <f t="shared" si="2"/>
        <v>0</v>
      </c>
      <c r="R98" s="13">
        <f t="shared" si="2"/>
        <v>0</v>
      </c>
      <c r="S98" s="13">
        <f t="shared" si="2"/>
        <v>0</v>
      </c>
      <c r="T98" s="13">
        <f t="shared" si="2"/>
        <v>0</v>
      </c>
      <c r="U98" s="11">
        <f t="shared" si="2"/>
        <v>0</v>
      </c>
      <c r="V98" s="12">
        <f t="shared" si="2"/>
        <v>0</v>
      </c>
      <c r="W98" s="13">
        <f t="shared" si="2"/>
        <v>0</v>
      </c>
      <c r="X98" s="13">
        <f t="shared" si="2"/>
        <v>0</v>
      </c>
      <c r="Y98" s="13">
        <f t="shared" si="2"/>
        <v>0</v>
      </c>
      <c r="Z98" s="11">
        <f t="shared" si="2"/>
        <v>0</v>
      </c>
      <c r="AA98" s="13">
        <f t="shared" si="2"/>
        <v>0</v>
      </c>
      <c r="AB98" s="12">
        <f t="shared" si="2"/>
        <v>0</v>
      </c>
      <c r="AC98" s="12">
        <f t="shared" si="2"/>
        <v>0</v>
      </c>
    </row>
    <row r="99" spans="1:29" x14ac:dyDescent="0.3">
      <c r="A99" s="17" t="s">
        <v>47</v>
      </c>
      <c r="B99" s="72">
        <v>1990</v>
      </c>
      <c r="C99" s="73">
        <f t="shared" ref="C99:AC99" si="3">C12-C53</f>
        <v>0</v>
      </c>
      <c r="D99" s="14">
        <f t="shared" si="3"/>
        <v>0</v>
      </c>
      <c r="E99" s="16">
        <f t="shared" si="3"/>
        <v>0</v>
      </c>
      <c r="F99" s="15">
        <f t="shared" si="3"/>
        <v>0</v>
      </c>
      <c r="G99" s="15">
        <f t="shared" si="3"/>
        <v>0</v>
      </c>
      <c r="H99" s="14">
        <f t="shared" si="3"/>
        <v>0</v>
      </c>
      <c r="I99" s="16">
        <f t="shared" si="3"/>
        <v>0</v>
      </c>
      <c r="J99" s="15">
        <f t="shared" si="3"/>
        <v>0</v>
      </c>
      <c r="K99" s="15">
        <f t="shared" si="3"/>
        <v>0</v>
      </c>
      <c r="L99" s="15">
        <f t="shared" si="3"/>
        <v>0</v>
      </c>
      <c r="M99" s="15">
        <f t="shared" si="3"/>
        <v>0</v>
      </c>
      <c r="N99" s="15">
        <f t="shared" si="3"/>
        <v>0</v>
      </c>
      <c r="O99" s="14">
        <f t="shared" si="3"/>
        <v>0</v>
      </c>
      <c r="P99" s="16">
        <f t="shared" si="3"/>
        <v>0</v>
      </c>
      <c r="Q99" s="15">
        <f t="shared" si="3"/>
        <v>0</v>
      </c>
      <c r="R99" s="15">
        <f t="shared" si="3"/>
        <v>0</v>
      </c>
      <c r="S99" s="15">
        <f t="shared" si="3"/>
        <v>0</v>
      </c>
      <c r="T99" s="15">
        <f t="shared" si="3"/>
        <v>0</v>
      </c>
      <c r="U99" s="14">
        <f t="shared" si="3"/>
        <v>0</v>
      </c>
      <c r="V99" s="16">
        <f t="shared" si="3"/>
        <v>0</v>
      </c>
      <c r="W99" s="15">
        <f t="shared" si="3"/>
        <v>0</v>
      </c>
      <c r="X99" s="15">
        <f t="shared" si="3"/>
        <v>0</v>
      </c>
      <c r="Y99" s="15">
        <f t="shared" si="3"/>
        <v>0</v>
      </c>
      <c r="Z99" s="14">
        <f t="shared" si="3"/>
        <v>0</v>
      </c>
      <c r="AA99" s="15">
        <f t="shared" si="3"/>
        <v>0</v>
      </c>
      <c r="AB99" s="16">
        <f t="shared" si="3"/>
        <v>0</v>
      </c>
      <c r="AC99" s="16">
        <f t="shared" si="3"/>
        <v>0</v>
      </c>
    </row>
    <row r="100" spans="1:29" x14ac:dyDescent="0.3">
      <c r="A100" s="17" t="s">
        <v>47</v>
      </c>
      <c r="B100" s="72">
        <v>1991</v>
      </c>
      <c r="C100" s="73">
        <f t="shared" ref="C100:AC100" si="4">C13-C54</f>
        <v>0</v>
      </c>
      <c r="D100" s="14">
        <f t="shared" si="4"/>
        <v>0</v>
      </c>
      <c r="E100" s="16">
        <f t="shared" si="4"/>
        <v>0</v>
      </c>
      <c r="F100" s="15">
        <f t="shared" si="4"/>
        <v>0</v>
      </c>
      <c r="G100" s="15">
        <f t="shared" si="4"/>
        <v>0</v>
      </c>
      <c r="H100" s="14">
        <f t="shared" si="4"/>
        <v>0</v>
      </c>
      <c r="I100" s="16">
        <f t="shared" si="4"/>
        <v>0</v>
      </c>
      <c r="J100" s="15">
        <f t="shared" si="4"/>
        <v>0</v>
      </c>
      <c r="K100" s="15">
        <f t="shared" si="4"/>
        <v>0</v>
      </c>
      <c r="L100" s="15">
        <f t="shared" si="4"/>
        <v>0</v>
      </c>
      <c r="M100" s="15">
        <f t="shared" si="4"/>
        <v>0</v>
      </c>
      <c r="N100" s="15">
        <f t="shared" si="4"/>
        <v>0</v>
      </c>
      <c r="O100" s="14">
        <f t="shared" si="4"/>
        <v>0</v>
      </c>
      <c r="P100" s="16">
        <f t="shared" si="4"/>
        <v>0</v>
      </c>
      <c r="Q100" s="15">
        <f t="shared" si="4"/>
        <v>0</v>
      </c>
      <c r="R100" s="15">
        <f t="shared" si="4"/>
        <v>0</v>
      </c>
      <c r="S100" s="15">
        <f t="shared" si="4"/>
        <v>0</v>
      </c>
      <c r="T100" s="15">
        <f t="shared" si="4"/>
        <v>0</v>
      </c>
      <c r="U100" s="14">
        <f t="shared" si="4"/>
        <v>0</v>
      </c>
      <c r="V100" s="16">
        <f t="shared" si="4"/>
        <v>0</v>
      </c>
      <c r="W100" s="15">
        <f t="shared" si="4"/>
        <v>0</v>
      </c>
      <c r="X100" s="15">
        <f t="shared" si="4"/>
        <v>0</v>
      </c>
      <c r="Y100" s="15">
        <f t="shared" si="4"/>
        <v>0</v>
      </c>
      <c r="Z100" s="14">
        <f t="shared" si="4"/>
        <v>0</v>
      </c>
      <c r="AA100" s="15">
        <f t="shared" si="4"/>
        <v>0</v>
      </c>
      <c r="AB100" s="16">
        <f t="shared" si="4"/>
        <v>0</v>
      </c>
      <c r="AC100" s="16">
        <f t="shared" si="4"/>
        <v>0</v>
      </c>
    </row>
    <row r="101" spans="1:29" x14ac:dyDescent="0.3">
      <c r="A101" s="17" t="s">
        <v>47</v>
      </c>
      <c r="B101" s="72">
        <v>1992</v>
      </c>
      <c r="C101" s="73">
        <f t="shared" ref="C101:AC101" si="5">C14-C55</f>
        <v>0</v>
      </c>
      <c r="D101" s="14">
        <f t="shared" si="5"/>
        <v>0</v>
      </c>
      <c r="E101" s="16">
        <f t="shared" si="5"/>
        <v>0</v>
      </c>
      <c r="F101" s="15">
        <f t="shared" si="5"/>
        <v>0</v>
      </c>
      <c r="G101" s="15">
        <f t="shared" si="5"/>
        <v>0</v>
      </c>
      <c r="H101" s="14">
        <f t="shared" si="5"/>
        <v>0</v>
      </c>
      <c r="I101" s="16">
        <f t="shared" si="5"/>
        <v>0</v>
      </c>
      <c r="J101" s="15">
        <f t="shared" si="5"/>
        <v>0</v>
      </c>
      <c r="K101" s="15">
        <f t="shared" si="5"/>
        <v>0</v>
      </c>
      <c r="L101" s="15">
        <f t="shared" si="5"/>
        <v>0</v>
      </c>
      <c r="M101" s="15">
        <f t="shared" si="5"/>
        <v>0</v>
      </c>
      <c r="N101" s="15">
        <f t="shared" si="5"/>
        <v>0</v>
      </c>
      <c r="O101" s="14">
        <f t="shared" si="5"/>
        <v>0</v>
      </c>
      <c r="P101" s="16">
        <f t="shared" si="5"/>
        <v>0</v>
      </c>
      <c r="Q101" s="15">
        <f t="shared" si="5"/>
        <v>0</v>
      </c>
      <c r="R101" s="15">
        <f t="shared" si="5"/>
        <v>0</v>
      </c>
      <c r="S101" s="15">
        <f t="shared" si="5"/>
        <v>0</v>
      </c>
      <c r="T101" s="15">
        <f t="shared" si="5"/>
        <v>0</v>
      </c>
      <c r="U101" s="14">
        <f t="shared" si="5"/>
        <v>0</v>
      </c>
      <c r="V101" s="16">
        <f t="shared" si="5"/>
        <v>0</v>
      </c>
      <c r="W101" s="15">
        <f t="shared" si="5"/>
        <v>0</v>
      </c>
      <c r="X101" s="15">
        <f t="shared" si="5"/>
        <v>0</v>
      </c>
      <c r="Y101" s="15">
        <f t="shared" si="5"/>
        <v>0</v>
      </c>
      <c r="Z101" s="14">
        <f t="shared" si="5"/>
        <v>0</v>
      </c>
      <c r="AA101" s="15">
        <f t="shared" si="5"/>
        <v>0</v>
      </c>
      <c r="AB101" s="16">
        <f t="shared" si="5"/>
        <v>0</v>
      </c>
      <c r="AC101" s="16">
        <f t="shared" si="5"/>
        <v>0</v>
      </c>
    </row>
    <row r="102" spans="1:29" x14ac:dyDescent="0.3">
      <c r="A102" s="17" t="s">
        <v>47</v>
      </c>
      <c r="B102" s="72">
        <v>1993</v>
      </c>
      <c r="C102" s="73">
        <f t="shared" ref="C102:AC102" si="6">C15-C56</f>
        <v>0</v>
      </c>
      <c r="D102" s="14">
        <f t="shared" si="6"/>
        <v>0</v>
      </c>
      <c r="E102" s="16">
        <f t="shared" si="6"/>
        <v>0</v>
      </c>
      <c r="F102" s="15">
        <f t="shared" si="6"/>
        <v>0</v>
      </c>
      <c r="G102" s="15">
        <f t="shared" si="6"/>
        <v>0</v>
      </c>
      <c r="H102" s="14">
        <f t="shared" si="6"/>
        <v>0</v>
      </c>
      <c r="I102" s="16">
        <f t="shared" si="6"/>
        <v>0</v>
      </c>
      <c r="J102" s="15">
        <f t="shared" si="6"/>
        <v>0</v>
      </c>
      <c r="K102" s="15">
        <f t="shared" si="6"/>
        <v>0</v>
      </c>
      <c r="L102" s="15">
        <f t="shared" si="6"/>
        <v>0</v>
      </c>
      <c r="M102" s="15">
        <f t="shared" si="6"/>
        <v>0</v>
      </c>
      <c r="N102" s="15">
        <f t="shared" si="6"/>
        <v>0</v>
      </c>
      <c r="O102" s="14">
        <f t="shared" si="6"/>
        <v>0</v>
      </c>
      <c r="P102" s="16">
        <f t="shared" si="6"/>
        <v>0</v>
      </c>
      <c r="Q102" s="15">
        <f t="shared" si="6"/>
        <v>0</v>
      </c>
      <c r="R102" s="15">
        <f t="shared" si="6"/>
        <v>0</v>
      </c>
      <c r="S102" s="15">
        <f t="shared" si="6"/>
        <v>0</v>
      </c>
      <c r="T102" s="15">
        <f t="shared" si="6"/>
        <v>0</v>
      </c>
      <c r="U102" s="14">
        <f t="shared" si="6"/>
        <v>0</v>
      </c>
      <c r="V102" s="16">
        <f t="shared" si="6"/>
        <v>0</v>
      </c>
      <c r="W102" s="15">
        <f t="shared" si="6"/>
        <v>0</v>
      </c>
      <c r="X102" s="15">
        <f t="shared" si="6"/>
        <v>0</v>
      </c>
      <c r="Y102" s="15">
        <f t="shared" si="6"/>
        <v>0</v>
      </c>
      <c r="Z102" s="14">
        <f t="shared" si="6"/>
        <v>0</v>
      </c>
      <c r="AA102" s="15">
        <f t="shared" si="6"/>
        <v>0</v>
      </c>
      <c r="AB102" s="16">
        <f t="shared" si="6"/>
        <v>0</v>
      </c>
      <c r="AC102" s="16">
        <f t="shared" si="6"/>
        <v>0</v>
      </c>
    </row>
    <row r="103" spans="1:29" x14ac:dyDescent="0.3">
      <c r="A103" s="17" t="s">
        <v>47</v>
      </c>
      <c r="B103" s="72">
        <v>1994</v>
      </c>
      <c r="C103" s="73">
        <f t="shared" ref="C103:AC103" si="7">C16-C57</f>
        <v>0</v>
      </c>
      <c r="D103" s="14">
        <f t="shared" si="7"/>
        <v>0</v>
      </c>
      <c r="E103" s="16">
        <f t="shared" si="7"/>
        <v>0</v>
      </c>
      <c r="F103" s="15">
        <f t="shared" si="7"/>
        <v>0</v>
      </c>
      <c r="G103" s="15">
        <f t="shared" si="7"/>
        <v>0</v>
      </c>
      <c r="H103" s="14">
        <f t="shared" si="7"/>
        <v>0</v>
      </c>
      <c r="I103" s="16">
        <f t="shared" si="7"/>
        <v>0</v>
      </c>
      <c r="J103" s="15">
        <f t="shared" si="7"/>
        <v>0</v>
      </c>
      <c r="K103" s="15">
        <f t="shared" si="7"/>
        <v>0</v>
      </c>
      <c r="L103" s="15">
        <f t="shared" si="7"/>
        <v>0</v>
      </c>
      <c r="M103" s="15">
        <f t="shared" si="7"/>
        <v>0</v>
      </c>
      <c r="N103" s="15">
        <f t="shared" si="7"/>
        <v>0</v>
      </c>
      <c r="O103" s="14">
        <f t="shared" si="7"/>
        <v>0</v>
      </c>
      <c r="P103" s="16">
        <f t="shared" si="7"/>
        <v>0</v>
      </c>
      <c r="Q103" s="15">
        <f t="shared" si="7"/>
        <v>0</v>
      </c>
      <c r="R103" s="15">
        <f t="shared" si="7"/>
        <v>0</v>
      </c>
      <c r="S103" s="15">
        <f t="shared" si="7"/>
        <v>0</v>
      </c>
      <c r="T103" s="15">
        <f t="shared" si="7"/>
        <v>0</v>
      </c>
      <c r="U103" s="14">
        <f t="shared" si="7"/>
        <v>0</v>
      </c>
      <c r="V103" s="16">
        <f t="shared" si="7"/>
        <v>0</v>
      </c>
      <c r="W103" s="15">
        <f t="shared" si="7"/>
        <v>0</v>
      </c>
      <c r="X103" s="15">
        <f t="shared" si="7"/>
        <v>0</v>
      </c>
      <c r="Y103" s="15">
        <f t="shared" si="7"/>
        <v>0</v>
      </c>
      <c r="Z103" s="14">
        <f t="shared" si="7"/>
        <v>0</v>
      </c>
      <c r="AA103" s="15">
        <f t="shared" si="7"/>
        <v>0</v>
      </c>
      <c r="AB103" s="16">
        <f t="shared" si="7"/>
        <v>0</v>
      </c>
      <c r="AC103" s="16">
        <f t="shared" si="7"/>
        <v>0</v>
      </c>
    </row>
    <row r="104" spans="1:29" x14ac:dyDescent="0.3">
      <c r="A104" s="17" t="s">
        <v>47</v>
      </c>
      <c r="B104" s="72">
        <v>1995</v>
      </c>
      <c r="C104" s="73">
        <f t="shared" ref="C104:AC104" si="8">C17-C58</f>
        <v>0</v>
      </c>
      <c r="D104" s="14">
        <f t="shared" si="8"/>
        <v>0</v>
      </c>
      <c r="E104" s="16">
        <f t="shared" si="8"/>
        <v>0</v>
      </c>
      <c r="F104" s="15">
        <f t="shared" si="8"/>
        <v>0</v>
      </c>
      <c r="G104" s="15">
        <f t="shared" si="8"/>
        <v>0</v>
      </c>
      <c r="H104" s="14">
        <f t="shared" si="8"/>
        <v>0</v>
      </c>
      <c r="I104" s="16">
        <f t="shared" si="8"/>
        <v>0</v>
      </c>
      <c r="J104" s="15">
        <f t="shared" si="8"/>
        <v>0</v>
      </c>
      <c r="K104" s="15">
        <f t="shared" si="8"/>
        <v>0</v>
      </c>
      <c r="L104" s="15">
        <f t="shared" si="8"/>
        <v>0</v>
      </c>
      <c r="M104" s="15">
        <f t="shared" si="8"/>
        <v>0</v>
      </c>
      <c r="N104" s="15">
        <f t="shared" si="8"/>
        <v>0</v>
      </c>
      <c r="O104" s="14">
        <f t="shared" si="8"/>
        <v>0</v>
      </c>
      <c r="P104" s="16">
        <f t="shared" si="8"/>
        <v>0</v>
      </c>
      <c r="Q104" s="15">
        <f t="shared" si="8"/>
        <v>0</v>
      </c>
      <c r="R104" s="15">
        <f t="shared" si="8"/>
        <v>0</v>
      </c>
      <c r="S104" s="15">
        <f t="shared" si="8"/>
        <v>0</v>
      </c>
      <c r="T104" s="15">
        <f t="shared" si="8"/>
        <v>0</v>
      </c>
      <c r="U104" s="14">
        <f t="shared" si="8"/>
        <v>0</v>
      </c>
      <c r="V104" s="16">
        <f t="shared" si="8"/>
        <v>0</v>
      </c>
      <c r="W104" s="15">
        <f t="shared" si="8"/>
        <v>0</v>
      </c>
      <c r="X104" s="15">
        <f t="shared" si="8"/>
        <v>0</v>
      </c>
      <c r="Y104" s="15">
        <f t="shared" si="8"/>
        <v>0</v>
      </c>
      <c r="Z104" s="14">
        <f t="shared" si="8"/>
        <v>0</v>
      </c>
      <c r="AA104" s="15">
        <f t="shared" si="8"/>
        <v>0</v>
      </c>
      <c r="AB104" s="16">
        <f t="shared" si="8"/>
        <v>0</v>
      </c>
      <c r="AC104" s="16">
        <f t="shared" si="8"/>
        <v>0</v>
      </c>
    </row>
    <row r="105" spans="1:29" x14ac:dyDescent="0.3">
      <c r="A105" s="17" t="s">
        <v>47</v>
      </c>
      <c r="B105" s="72">
        <v>1996</v>
      </c>
      <c r="C105" s="73">
        <f t="shared" ref="C105:AC105" si="9">C18-C59</f>
        <v>0</v>
      </c>
      <c r="D105" s="14">
        <f t="shared" si="9"/>
        <v>0</v>
      </c>
      <c r="E105" s="16">
        <f t="shared" si="9"/>
        <v>0</v>
      </c>
      <c r="F105" s="15">
        <f t="shared" si="9"/>
        <v>0</v>
      </c>
      <c r="G105" s="15">
        <f t="shared" si="9"/>
        <v>0</v>
      </c>
      <c r="H105" s="14">
        <f t="shared" si="9"/>
        <v>0</v>
      </c>
      <c r="I105" s="16">
        <f t="shared" si="9"/>
        <v>0</v>
      </c>
      <c r="J105" s="15">
        <f t="shared" si="9"/>
        <v>0</v>
      </c>
      <c r="K105" s="15">
        <f t="shared" si="9"/>
        <v>0</v>
      </c>
      <c r="L105" s="15">
        <f t="shared" si="9"/>
        <v>0</v>
      </c>
      <c r="M105" s="15">
        <f t="shared" si="9"/>
        <v>0</v>
      </c>
      <c r="N105" s="15">
        <f t="shared" si="9"/>
        <v>0</v>
      </c>
      <c r="O105" s="14">
        <f t="shared" si="9"/>
        <v>0</v>
      </c>
      <c r="P105" s="16">
        <f t="shared" si="9"/>
        <v>0</v>
      </c>
      <c r="Q105" s="15">
        <f t="shared" si="9"/>
        <v>0</v>
      </c>
      <c r="R105" s="15">
        <f t="shared" si="9"/>
        <v>0</v>
      </c>
      <c r="S105" s="15">
        <f t="shared" si="9"/>
        <v>0</v>
      </c>
      <c r="T105" s="15">
        <f t="shared" si="9"/>
        <v>0</v>
      </c>
      <c r="U105" s="14">
        <f t="shared" si="9"/>
        <v>0</v>
      </c>
      <c r="V105" s="16">
        <f t="shared" si="9"/>
        <v>0</v>
      </c>
      <c r="W105" s="15">
        <f t="shared" si="9"/>
        <v>0</v>
      </c>
      <c r="X105" s="15">
        <f t="shared" si="9"/>
        <v>0</v>
      </c>
      <c r="Y105" s="15">
        <f t="shared" si="9"/>
        <v>0</v>
      </c>
      <c r="Z105" s="14">
        <f t="shared" si="9"/>
        <v>0</v>
      </c>
      <c r="AA105" s="15">
        <f t="shared" si="9"/>
        <v>0</v>
      </c>
      <c r="AB105" s="16">
        <f t="shared" si="9"/>
        <v>0</v>
      </c>
      <c r="AC105" s="16">
        <f t="shared" si="9"/>
        <v>0</v>
      </c>
    </row>
    <row r="106" spans="1:29" x14ac:dyDescent="0.3">
      <c r="A106" s="17" t="s">
        <v>47</v>
      </c>
      <c r="B106" s="72">
        <v>1997</v>
      </c>
      <c r="C106" s="73">
        <f t="shared" ref="C106:AC106" si="10">C19-C60</f>
        <v>0</v>
      </c>
      <c r="D106" s="14">
        <f t="shared" si="10"/>
        <v>0</v>
      </c>
      <c r="E106" s="16">
        <f t="shared" si="10"/>
        <v>0</v>
      </c>
      <c r="F106" s="15">
        <f t="shared" si="10"/>
        <v>0</v>
      </c>
      <c r="G106" s="15">
        <f t="shared" si="10"/>
        <v>0</v>
      </c>
      <c r="H106" s="14">
        <f t="shared" si="10"/>
        <v>0</v>
      </c>
      <c r="I106" s="16">
        <f t="shared" si="10"/>
        <v>0</v>
      </c>
      <c r="J106" s="15">
        <f t="shared" si="10"/>
        <v>0</v>
      </c>
      <c r="K106" s="15">
        <f t="shared" si="10"/>
        <v>0</v>
      </c>
      <c r="L106" s="15">
        <f t="shared" si="10"/>
        <v>0</v>
      </c>
      <c r="M106" s="15">
        <f t="shared" si="10"/>
        <v>0</v>
      </c>
      <c r="N106" s="15">
        <f t="shared" si="10"/>
        <v>0</v>
      </c>
      <c r="O106" s="14">
        <f t="shared" si="10"/>
        <v>0</v>
      </c>
      <c r="P106" s="16">
        <f t="shared" si="10"/>
        <v>0</v>
      </c>
      <c r="Q106" s="15">
        <f t="shared" si="10"/>
        <v>0</v>
      </c>
      <c r="R106" s="15">
        <f t="shared" si="10"/>
        <v>0</v>
      </c>
      <c r="S106" s="15">
        <f t="shared" si="10"/>
        <v>0</v>
      </c>
      <c r="T106" s="15">
        <f t="shared" si="10"/>
        <v>0</v>
      </c>
      <c r="U106" s="14">
        <f t="shared" si="10"/>
        <v>0</v>
      </c>
      <c r="V106" s="16">
        <f t="shared" si="10"/>
        <v>0</v>
      </c>
      <c r="W106" s="15">
        <f t="shared" si="10"/>
        <v>0</v>
      </c>
      <c r="X106" s="15">
        <f t="shared" si="10"/>
        <v>0</v>
      </c>
      <c r="Y106" s="15">
        <f t="shared" si="10"/>
        <v>0</v>
      </c>
      <c r="Z106" s="14">
        <f t="shared" si="10"/>
        <v>0</v>
      </c>
      <c r="AA106" s="15">
        <f t="shared" si="10"/>
        <v>0</v>
      </c>
      <c r="AB106" s="16">
        <f t="shared" si="10"/>
        <v>0</v>
      </c>
      <c r="AC106" s="16">
        <f t="shared" si="10"/>
        <v>0</v>
      </c>
    </row>
    <row r="107" spans="1:29" x14ac:dyDescent="0.3">
      <c r="A107" s="17" t="s">
        <v>47</v>
      </c>
      <c r="B107" s="72">
        <v>1998</v>
      </c>
      <c r="C107" s="73">
        <f t="shared" ref="C107:AC107" si="11">C20-C61</f>
        <v>0</v>
      </c>
      <c r="D107" s="14">
        <f t="shared" si="11"/>
        <v>0</v>
      </c>
      <c r="E107" s="16">
        <f t="shared" si="11"/>
        <v>0</v>
      </c>
      <c r="F107" s="15">
        <f t="shared" si="11"/>
        <v>0</v>
      </c>
      <c r="G107" s="15">
        <f t="shared" si="11"/>
        <v>0</v>
      </c>
      <c r="H107" s="14">
        <f t="shared" si="11"/>
        <v>0</v>
      </c>
      <c r="I107" s="16">
        <f t="shared" si="11"/>
        <v>0</v>
      </c>
      <c r="J107" s="15">
        <f t="shared" si="11"/>
        <v>0</v>
      </c>
      <c r="K107" s="15">
        <f t="shared" si="11"/>
        <v>0</v>
      </c>
      <c r="L107" s="15">
        <f t="shared" si="11"/>
        <v>0</v>
      </c>
      <c r="M107" s="15">
        <f t="shared" si="11"/>
        <v>0</v>
      </c>
      <c r="N107" s="15">
        <f t="shared" si="11"/>
        <v>0</v>
      </c>
      <c r="O107" s="14">
        <f t="shared" si="11"/>
        <v>0</v>
      </c>
      <c r="P107" s="16">
        <f t="shared" si="11"/>
        <v>0</v>
      </c>
      <c r="Q107" s="15">
        <f t="shared" si="11"/>
        <v>0</v>
      </c>
      <c r="R107" s="15">
        <f t="shared" si="11"/>
        <v>0</v>
      </c>
      <c r="S107" s="15">
        <f t="shared" si="11"/>
        <v>0</v>
      </c>
      <c r="T107" s="15">
        <f t="shared" si="11"/>
        <v>0</v>
      </c>
      <c r="U107" s="14">
        <f t="shared" si="11"/>
        <v>0</v>
      </c>
      <c r="V107" s="16">
        <f t="shared" si="11"/>
        <v>0</v>
      </c>
      <c r="W107" s="15">
        <f t="shared" si="11"/>
        <v>0</v>
      </c>
      <c r="X107" s="15">
        <f t="shared" si="11"/>
        <v>0</v>
      </c>
      <c r="Y107" s="15">
        <f t="shared" si="11"/>
        <v>0</v>
      </c>
      <c r="Z107" s="14">
        <f t="shared" si="11"/>
        <v>0</v>
      </c>
      <c r="AA107" s="15">
        <f t="shared" si="11"/>
        <v>0</v>
      </c>
      <c r="AB107" s="16">
        <f t="shared" si="11"/>
        <v>0</v>
      </c>
      <c r="AC107" s="16">
        <f t="shared" si="11"/>
        <v>0</v>
      </c>
    </row>
    <row r="108" spans="1:29" x14ac:dyDescent="0.3">
      <c r="A108" s="17" t="s">
        <v>47</v>
      </c>
      <c r="B108" s="72">
        <v>1999</v>
      </c>
      <c r="C108" s="73">
        <f t="shared" ref="C108:AC108" si="12">C21-C62</f>
        <v>0</v>
      </c>
      <c r="D108" s="14">
        <f t="shared" si="12"/>
        <v>0</v>
      </c>
      <c r="E108" s="16">
        <f t="shared" si="12"/>
        <v>0</v>
      </c>
      <c r="F108" s="15">
        <f t="shared" si="12"/>
        <v>0</v>
      </c>
      <c r="G108" s="15">
        <f t="shared" si="12"/>
        <v>0</v>
      </c>
      <c r="H108" s="14">
        <f t="shared" si="12"/>
        <v>0</v>
      </c>
      <c r="I108" s="16">
        <f t="shared" si="12"/>
        <v>0</v>
      </c>
      <c r="J108" s="15">
        <f t="shared" si="12"/>
        <v>0</v>
      </c>
      <c r="K108" s="15">
        <f t="shared" si="12"/>
        <v>0</v>
      </c>
      <c r="L108" s="15">
        <f t="shared" si="12"/>
        <v>0</v>
      </c>
      <c r="M108" s="15">
        <f t="shared" si="12"/>
        <v>0</v>
      </c>
      <c r="N108" s="15">
        <f t="shared" si="12"/>
        <v>0</v>
      </c>
      <c r="O108" s="14">
        <f t="shared" si="12"/>
        <v>0</v>
      </c>
      <c r="P108" s="16">
        <f t="shared" si="12"/>
        <v>0</v>
      </c>
      <c r="Q108" s="15">
        <f t="shared" si="12"/>
        <v>0</v>
      </c>
      <c r="R108" s="15">
        <f t="shared" si="12"/>
        <v>0</v>
      </c>
      <c r="S108" s="15">
        <f t="shared" si="12"/>
        <v>0</v>
      </c>
      <c r="T108" s="15">
        <f t="shared" si="12"/>
        <v>0</v>
      </c>
      <c r="U108" s="14">
        <f t="shared" si="12"/>
        <v>0</v>
      </c>
      <c r="V108" s="16">
        <f t="shared" si="12"/>
        <v>0</v>
      </c>
      <c r="W108" s="15">
        <f t="shared" si="12"/>
        <v>0</v>
      </c>
      <c r="X108" s="15">
        <f t="shared" si="12"/>
        <v>0</v>
      </c>
      <c r="Y108" s="15">
        <f t="shared" si="12"/>
        <v>0</v>
      </c>
      <c r="Z108" s="14">
        <f t="shared" si="12"/>
        <v>0</v>
      </c>
      <c r="AA108" s="15">
        <f t="shared" si="12"/>
        <v>0</v>
      </c>
      <c r="AB108" s="16">
        <f t="shared" si="12"/>
        <v>0</v>
      </c>
      <c r="AC108" s="16">
        <f t="shared" si="12"/>
        <v>0</v>
      </c>
    </row>
    <row r="109" spans="1:29" x14ac:dyDescent="0.3">
      <c r="A109" s="17" t="s">
        <v>47</v>
      </c>
      <c r="B109" s="72">
        <v>2000</v>
      </c>
      <c r="C109" s="73">
        <f t="shared" ref="C109:AC109" si="13">C22-C63</f>
        <v>0</v>
      </c>
      <c r="D109" s="14">
        <f t="shared" si="13"/>
        <v>0</v>
      </c>
      <c r="E109" s="16">
        <f t="shared" si="13"/>
        <v>0</v>
      </c>
      <c r="F109" s="15">
        <f t="shared" si="13"/>
        <v>0</v>
      </c>
      <c r="G109" s="15">
        <f t="shared" si="13"/>
        <v>0</v>
      </c>
      <c r="H109" s="14">
        <f t="shared" si="13"/>
        <v>0</v>
      </c>
      <c r="I109" s="16">
        <f t="shared" si="13"/>
        <v>0</v>
      </c>
      <c r="J109" s="15">
        <f t="shared" si="13"/>
        <v>0</v>
      </c>
      <c r="K109" s="15">
        <f t="shared" si="13"/>
        <v>0</v>
      </c>
      <c r="L109" s="15">
        <f t="shared" si="13"/>
        <v>0</v>
      </c>
      <c r="M109" s="15">
        <f t="shared" si="13"/>
        <v>0</v>
      </c>
      <c r="N109" s="15">
        <f t="shared" si="13"/>
        <v>0</v>
      </c>
      <c r="O109" s="14">
        <f t="shared" si="13"/>
        <v>0</v>
      </c>
      <c r="P109" s="16">
        <f t="shared" si="13"/>
        <v>0</v>
      </c>
      <c r="Q109" s="15">
        <f t="shared" si="13"/>
        <v>0</v>
      </c>
      <c r="R109" s="15">
        <f t="shared" si="13"/>
        <v>0</v>
      </c>
      <c r="S109" s="15">
        <f t="shared" si="13"/>
        <v>0</v>
      </c>
      <c r="T109" s="15">
        <f t="shared" si="13"/>
        <v>0</v>
      </c>
      <c r="U109" s="14">
        <f t="shared" si="13"/>
        <v>0</v>
      </c>
      <c r="V109" s="16">
        <f t="shared" si="13"/>
        <v>0</v>
      </c>
      <c r="W109" s="15">
        <f t="shared" si="13"/>
        <v>0</v>
      </c>
      <c r="X109" s="15">
        <f t="shared" si="13"/>
        <v>0</v>
      </c>
      <c r="Y109" s="15">
        <f t="shared" si="13"/>
        <v>0</v>
      </c>
      <c r="Z109" s="14">
        <f t="shared" si="13"/>
        <v>0</v>
      </c>
      <c r="AA109" s="15">
        <f t="shared" si="13"/>
        <v>0</v>
      </c>
      <c r="AB109" s="16">
        <f t="shared" si="13"/>
        <v>0</v>
      </c>
      <c r="AC109" s="16">
        <f t="shared" si="13"/>
        <v>0</v>
      </c>
    </row>
    <row r="110" spans="1:29" x14ac:dyDescent="0.3">
      <c r="A110" s="17" t="s">
        <v>47</v>
      </c>
      <c r="B110" s="72">
        <v>2001</v>
      </c>
      <c r="C110" s="73">
        <f t="shared" ref="C110:AC110" si="14">C23-C64</f>
        <v>0</v>
      </c>
      <c r="D110" s="14">
        <f t="shared" si="14"/>
        <v>0</v>
      </c>
      <c r="E110" s="16">
        <f t="shared" si="14"/>
        <v>0</v>
      </c>
      <c r="F110" s="15">
        <f t="shared" si="14"/>
        <v>0</v>
      </c>
      <c r="G110" s="15">
        <f t="shared" si="14"/>
        <v>0</v>
      </c>
      <c r="H110" s="14">
        <f t="shared" si="14"/>
        <v>0</v>
      </c>
      <c r="I110" s="16">
        <f t="shared" si="14"/>
        <v>0</v>
      </c>
      <c r="J110" s="15">
        <f t="shared" si="14"/>
        <v>0</v>
      </c>
      <c r="K110" s="15">
        <f t="shared" si="14"/>
        <v>0</v>
      </c>
      <c r="L110" s="15">
        <f t="shared" si="14"/>
        <v>0</v>
      </c>
      <c r="M110" s="15">
        <f t="shared" si="14"/>
        <v>0</v>
      </c>
      <c r="N110" s="15">
        <f t="shared" si="14"/>
        <v>0</v>
      </c>
      <c r="O110" s="14">
        <f t="shared" si="14"/>
        <v>0</v>
      </c>
      <c r="P110" s="16">
        <f t="shared" si="14"/>
        <v>0</v>
      </c>
      <c r="Q110" s="15">
        <f t="shared" si="14"/>
        <v>0</v>
      </c>
      <c r="R110" s="15">
        <f t="shared" si="14"/>
        <v>0</v>
      </c>
      <c r="S110" s="15">
        <f t="shared" si="14"/>
        <v>0</v>
      </c>
      <c r="T110" s="15">
        <f t="shared" si="14"/>
        <v>0</v>
      </c>
      <c r="U110" s="14">
        <f t="shared" si="14"/>
        <v>0</v>
      </c>
      <c r="V110" s="16">
        <f t="shared" si="14"/>
        <v>0</v>
      </c>
      <c r="W110" s="15">
        <f t="shared" si="14"/>
        <v>0</v>
      </c>
      <c r="X110" s="15">
        <f t="shared" si="14"/>
        <v>0</v>
      </c>
      <c r="Y110" s="15">
        <f t="shared" si="14"/>
        <v>0</v>
      </c>
      <c r="Z110" s="14">
        <f t="shared" si="14"/>
        <v>0</v>
      </c>
      <c r="AA110" s="15">
        <f t="shared" si="14"/>
        <v>0</v>
      </c>
      <c r="AB110" s="16">
        <f t="shared" si="14"/>
        <v>0</v>
      </c>
      <c r="AC110" s="16">
        <f t="shared" si="14"/>
        <v>0</v>
      </c>
    </row>
    <row r="111" spans="1:29" x14ac:dyDescent="0.3">
      <c r="A111" s="17" t="s">
        <v>47</v>
      </c>
      <c r="B111" s="72">
        <v>2002</v>
      </c>
      <c r="C111" s="73">
        <f t="shared" ref="C111:AC111" si="15">C24-C65</f>
        <v>0</v>
      </c>
      <c r="D111" s="14">
        <f t="shared" si="15"/>
        <v>0</v>
      </c>
      <c r="E111" s="16">
        <f t="shared" si="15"/>
        <v>0</v>
      </c>
      <c r="F111" s="15">
        <f t="shared" si="15"/>
        <v>0</v>
      </c>
      <c r="G111" s="15">
        <f t="shared" si="15"/>
        <v>0</v>
      </c>
      <c r="H111" s="14">
        <f t="shared" si="15"/>
        <v>0</v>
      </c>
      <c r="I111" s="16">
        <f t="shared" si="15"/>
        <v>0</v>
      </c>
      <c r="J111" s="15">
        <f t="shared" si="15"/>
        <v>0</v>
      </c>
      <c r="K111" s="15">
        <f t="shared" si="15"/>
        <v>0</v>
      </c>
      <c r="L111" s="15">
        <f t="shared" si="15"/>
        <v>0</v>
      </c>
      <c r="M111" s="15">
        <f t="shared" si="15"/>
        <v>0</v>
      </c>
      <c r="N111" s="15">
        <f t="shared" si="15"/>
        <v>0</v>
      </c>
      <c r="O111" s="14">
        <f t="shared" si="15"/>
        <v>0</v>
      </c>
      <c r="P111" s="16">
        <f t="shared" si="15"/>
        <v>0</v>
      </c>
      <c r="Q111" s="15">
        <f t="shared" si="15"/>
        <v>0</v>
      </c>
      <c r="R111" s="15">
        <f t="shared" si="15"/>
        <v>0</v>
      </c>
      <c r="S111" s="15">
        <f t="shared" si="15"/>
        <v>0</v>
      </c>
      <c r="T111" s="15">
        <f t="shared" si="15"/>
        <v>0</v>
      </c>
      <c r="U111" s="14">
        <f t="shared" si="15"/>
        <v>0</v>
      </c>
      <c r="V111" s="16">
        <f t="shared" si="15"/>
        <v>0</v>
      </c>
      <c r="W111" s="15">
        <f t="shared" si="15"/>
        <v>0</v>
      </c>
      <c r="X111" s="15">
        <f t="shared" si="15"/>
        <v>0</v>
      </c>
      <c r="Y111" s="15">
        <f t="shared" si="15"/>
        <v>0</v>
      </c>
      <c r="Z111" s="14">
        <f t="shared" si="15"/>
        <v>0</v>
      </c>
      <c r="AA111" s="15">
        <f t="shared" si="15"/>
        <v>0</v>
      </c>
      <c r="AB111" s="16">
        <f t="shared" si="15"/>
        <v>0</v>
      </c>
      <c r="AC111" s="16">
        <f t="shared" si="15"/>
        <v>0</v>
      </c>
    </row>
    <row r="112" spans="1:29" x14ac:dyDescent="0.3">
      <c r="A112" s="17" t="s">
        <v>47</v>
      </c>
      <c r="B112" s="72">
        <v>2003</v>
      </c>
      <c r="C112" s="73">
        <f t="shared" ref="C112:AC112" si="16">C25-C66</f>
        <v>0</v>
      </c>
      <c r="D112" s="14">
        <f t="shared" si="16"/>
        <v>0</v>
      </c>
      <c r="E112" s="16">
        <f t="shared" si="16"/>
        <v>0</v>
      </c>
      <c r="F112" s="15">
        <f t="shared" si="16"/>
        <v>0</v>
      </c>
      <c r="G112" s="15">
        <f t="shared" si="16"/>
        <v>0</v>
      </c>
      <c r="H112" s="14">
        <f t="shared" si="16"/>
        <v>0</v>
      </c>
      <c r="I112" s="16">
        <f t="shared" si="16"/>
        <v>0</v>
      </c>
      <c r="J112" s="15">
        <f t="shared" si="16"/>
        <v>0</v>
      </c>
      <c r="K112" s="15">
        <f t="shared" si="16"/>
        <v>0</v>
      </c>
      <c r="L112" s="15">
        <f t="shared" si="16"/>
        <v>0</v>
      </c>
      <c r="M112" s="15">
        <f t="shared" si="16"/>
        <v>0</v>
      </c>
      <c r="N112" s="15">
        <f t="shared" si="16"/>
        <v>0</v>
      </c>
      <c r="O112" s="14">
        <f t="shared" si="16"/>
        <v>0</v>
      </c>
      <c r="P112" s="16">
        <f t="shared" si="16"/>
        <v>0</v>
      </c>
      <c r="Q112" s="15">
        <f t="shared" si="16"/>
        <v>0</v>
      </c>
      <c r="R112" s="15">
        <f t="shared" si="16"/>
        <v>0</v>
      </c>
      <c r="S112" s="15">
        <f t="shared" si="16"/>
        <v>0</v>
      </c>
      <c r="T112" s="15">
        <f t="shared" si="16"/>
        <v>0</v>
      </c>
      <c r="U112" s="14">
        <f t="shared" si="16"/>
        <v>0</v>
      </c>
      <c r="V112" s="16">
        <f t="shared" si="16"/>
        <v>0</v>
      </c>
      <c r="W112" s="15">
        <f t="shared" si="16"/>
        <v>0</v>
      </c>
      <c r="X112" s="15">
        <f t="shared" si="16"/>
        <v>0</v>
      </c>
      <c r="Y112" s="15">
        <f t="shared" si="16"/>
        <v>0</v>
      </c>
      <c r="Z112" s="14">
        <f t="shared" si="16"/>
        <v>0</v>
      </c>
      <c r="AA112" s="15">
        <f t="shared" si="16"/>
        <v>0</v>
      </c>
      <c r="AB112" s="16">
        <f t="shared" si="16"/>
        <v>0</v>
      </c>
      <c r="AC112" s="16">
        <f t="shared" si="16"/>
        <v>0</v>
      </c>
    </row>
    <row r="113" spans="1:29" x14ac:dyDescent="0.3">
      <c r="A113" s="17" t="s">
        <v>47</v>
      </c>
      <c r="B113" s="72">
        <v>2004</v>
      </c>
      <c r="C113" s="73">
        <f t="shared" ref="C113:AC113" si="17">C26-C67</f>
        <v>0</v>
      </c>
      <c r="D113" s="14">
        <f t="shared" si="17"/>
        <v>0</v>
      </c>
      <c r="E113" s="16">
        <f t="shared" si="17"/>
        <v>0</v>
      </c>
      <c r="F113" s="15">
        <f t="shared" si="17"/>
        <v>0</v>
      </c>
      <c r="G113" s="15">
        <f t="shared" si="17"/>
        <v>0</v>
      </c>
      <c r="H113" s="14">
        <f t="shared" si="17"/>
        <v>0</v>
      </c>
      <c r="I113" s="16">
        <f t="shared" si="17"/>
        <v>0</v>
      </c>
      <c r="J113" s="15">
        <f t="shared" si="17"/>
        <v>0</v>
      </c>
      <c r="K113" s="15">
        <f t="shared" si="17"/>
        <v>0</v>
      </c>
      <c r="L113" s="15">
        <f t="shared" si="17"/>
        <v>0</v>
      </c>
      <c r="M113" s="15">
        <f t="shared" si="17"/>
        <v>0</v>
      </c>
      <c r="N113" s="15">
        <f t="shared" si="17"/>
        <v>0</v>
      </c>
      <c r="O113" s="14">
        <f t="shared" si="17"/>
        <v>0</v>
      </c>
      <c r="P113" s="16">
        <f t="shared" si="17"/>
        <v>0</v>
      </c>
      <c r="Q113" s="15">
        <f t="shared" si="17"/>
        <v>0</v>
      </c>
      <c r="R113" s="15">
        <f t="shared" si="17"/>
        <v>0</v>
      </c>
      <c r="S113" s="15">
        <f t="shared" si="17"/>
        <v>0</v>
      </c>
      <c r="T113" s="15">
        <f t="shared" si="17"/>
        <v>0</v>
      </c>
      <c r="U113" s="14">
        <f t="shared" si="17"/>
        <v>0</v>
      </c>
      <c r="V113" s="16">
        <f t="shared" si="17"/>
        <v>0</v>
      </c>
      <c r="W113" s="15">
        <f t="shared" si="17"/>
        <v>0</v>
      </c>
      <c r="X113" s="15">
        <f t="shared" si="17"/>
        <v>0</v>
      </c>
      <c r="Y113" s="15">
        <f t="shared" si="17"/>
        <v>0</v>
      </c>
      <c r="Z113" s="14">
        <f t="shared" si="17"/>
        <v>0</v>
      </c>
      <c r="AA113" s="15">
        <f t="shared" si="17"/>
        <v>0</v>
      </c>
      <c r="AB113" s="16">
        <f t="shared" si="17"/>
        <v>0</v>
      </c>
      <c r="AC113" s="16">
        <f t="shared" si="17"/>
        <v>0</v>
      </c>
    </row>
    <row r="114" spans="1:29" x14ac:dyDescent="0.3">
      <c r="A114" s="17" t="s">
        <v>47</v>
      </c>
      <c r="B114" s="72">
        <v>2005</v>
      </c>
      <c r="C114" s="73">
        <f t="shared" ref="C114:AC114" si="18">C27-C68</f>
        <v>0</v>
      </c>
      <c r="D114" s="14">
        <f t="shared" si="18"/>
        <v>0</v>
      </c>
      <c r="E114" s="16">
        <f t="shared" si="18"/>
        <v>0</v>
      </c>
      <c r="F114" s="15">
        <f t="shared" si="18"/>
        <v>0</v>
      </c>
      <c r="G114" s="15">
        <f t="shared" si="18"/>
        <v>0</v>
      </c>
      <c r="H114" s="14">
        <f t="shared" si="18"/>
        <v>0</v>
      </c>
      <c r="I114" s="16">
        <f t="shared" si="18"/>
        <v>0</v>
      </c>
      <c r="J114" s="15">
        <f t="shared" si="18"/>
        <v>0</v>
      </c>
      <c r="K114" s="15">
        <f t="shared" si="18"/>
        <v>0</v>
      </c>
      <c r="L114" s="15">
        <f t="shared" si="18"/>
        <v>0</v>
      </c>
      <c r="M114" s="15">
        <f t="shared" si="18"/>
        <v>0</v>
      </c>
      <c r="N114" s="15">
        <f t="shared" si="18"/>
        <v>0</v>
      </c>
      <c r="O114" s="14">
        <f t="shared" si="18"/>
        <v>0</v>
      </c>
      <c r="P114" s="16">
        <f t="shared" si="18"/>
        <v>0</v>
      </c>
      <c r="Q114" s="15">
        <f t="shared" si="18"/>
        <v>0</v>
      </c>
      <c r="R114" s="15">
        <f t="shared" si="18"/>
        <v>0</v>
      </c>
      <c r="S114" s="15">
        <f t="shared" si="18"/>
        <v>0</v>
      </c>
      <c r="T114" s="15">
        <f t="shared" si="18"/>
        <v>0</v>
      </c>
      <c r="U114" s="14">
        <f t="shared" si="18"/>
        <v>0</v>
      </c>
      <c r="V114" s="16">
        <f t="shared" si="18"/>
        <v>0</v>
      </c>
      <c r="W114" s="15">
        <f t="shared" si="18"/>
        <v>0</v>
      </c>
      <c r="X114" s="15">
        <f t="shared" si="18"/>
        <v>0</v>
      </c>
      <c r="Y114" s="15">
        <f t="shared" si="18"/>
        <v>0</v>
      </c>
      <c r="Z114" s="14">
        <f t="shared" si="18"/>
        <v>0</v>
      </c>
      <c r="AA114" s="15">
        <f t="shared" si="18"/>
        <v>0</v>
      </c>
      <c r="AB114" s="16">
        <f t="shared" si="18"/>
        <v>0</v>
      </c>
      <c r="AC114" s="16">
        <f t="shared" si="18"/>
        <v>0</v>
      </c>
    </row>
    <row r="115" spans="1:29" x14ac:dyDescent="0.3">
      <c r="A115" s="17" t="s">
        <v>47</v>
      </c>
      <c r="B115" s="72">
        <v>2006</v>
      </c>
      <c r="C115" s="73">
        <f t="shared" ref="C115:AC115" si="19">C28-C69</f>
        <v>0</v>
      </c>
      <c r="D115" s="14">
        <f t="shared" si="19"/>
        <v>0</v>
      </c>
      <c r="E115" s="16">
        <f t="shared" si="19"/>
        <v>0</v>
      </c>
      <c r="F115" s="15">
        <f t="shared" si="19"/>
        <v>0</v>
      </c>
      <c r="G115" s="15">
        <f t="shared" si="19"/>
        <v>0</v>
      </c>
      <c r="H115" s="14">
        <f t="shared" si="19"/>
        <v>0</v>
      </c>
      <c r="I115" s="16">
        <f t="shared" si="19"/>
        <v>0</v>
      </c>
      <c r="J115" s="15">
        <f t="shared" si="19"/>
        <v>1.0061396160665481E-16</v>
      </c>
      <c r="K115" s="15">
        <f t="shared" si="19"/>
        <v>0</v>
      </c>
      <c r="L115" s="15">
        <f t="shared" si="19"/>
        <v>4.25529957308995E-4</v>
      </c>
      <c r="M115" s="15">
        <f t="shared" si="19"/>
        <v>0</v>
      </c>
      <c r="N115" s="15">
        <f t="shared" si="19"/>
        <v>0</v>
      </c>
      <c r="O115" s="14">
        <f t="shared" si="19"/>
        <v>0</v>
      </c>
      <c r="P115" s="16">
        <f t="shared" si="19"/>
        <v>0</v>
      </c>
      <c r="Q115" s="15">
        <f t="shared" si="19"/>
        <v>6.9388939039072284E-18</v>
      </c>
      <c r="R115" s="15">
        <f t="shared" si="19"/>
        <v>0</v>
      </c>
      <c r="S115" s="15">
        <f t="shared" si="19"/>
        <v>0</v>
      </c>
      <c r="T115" s="15">
        <f t="shared" si="19"/>
        <v>0</v>
      </c>
      <c r="U115" s="14">
        <f t="shared" si="19"/>
        <v>0</v>
      </c>
      <c r="V115" s="16">
        <f t="shared" si="19"/>
        <v>0</v>
      </c>
      <c r="W115" s="15">
        <f t="shared" si="19"/>
        <v>9.540979117872439E-18</v>
      </c>
      <c r="X115" s="15">
        <f t="shared" si="19"/>
        <v>0</v>
      </c>
      <c r="Y115" s="15">
        <f t="shared" si="19"/>
        <v>0</v>
      </c>
      <c r="Z115" s="14">
        <f t="shared" si="19"/>
        <v>-4.2552995730904541E-4</v>
      </c>
      <c r="AA115" s="15">
        <f t="shared" si="19"/>
        <v>0</v>
      </c>
      <c r="AB115" s="16">
        <f t="shared" si="19"/>
        <v>0</v>
      </c>
      <c r="AC115" s="16">
        <f t="shared" si="19"/>
        <v>4.2552995730910093E-4</v>
      </c>
    </row>
    <row r="116" spans="1:29" x14ac:dyDescent="0.3">
      <c r="A116" s="17" t="s">
        <v>47</v>
      </c>
      <c r="B116" s="72">
        <v>2007</v>
      </c>
      <c r="C116" s="73">
        <f t="shared" ref="C116:AC116" si="20">C29-C70</f>
        <v>0.96100000000001273</v>
      </c>
      <c r="D116" s="14">
        <f t="shared" si="20"/>
        <v>0</v>
      </c>
      <c r="E116" s="16">
        <f t="shared" si="20"/>
        <v>0</v>
      </c>
      <c r="F116" s="15">
        <f t="shared" si="20"/>
        <v>-3.2313022103300053E-5</v>
      </c>
      <c r="G116" s="15">
        <f t="shared" si="20"/>
        <v>5.1957326044533101E-3</v>
      </c>
      <c r="H116" s="14">
        <f t="shared" si="20"/>
        <v>-3.1309193525489581E-4</v>
      </c>
      <c r="I116" s="16">
        <f t="shared" si="20"/>
        <v>0</v>
      </c>
      <c r="J116" s="15">
        <f t="shared" si="20"/>
        <v>1.78526357262021E-4</v>
      </c>
      <c r="K116" s="15">
        <f t="shared" si="20"/>
        <v>0</v>
      </c>
      <c r="L116" s="15">
        <f t="shared" si="20"/>
        <v>3.8598629656306001E-3</v>
      </c>
      <c r="M116" s="15">
        <f t="shared" si="20"/>
        <v>0</v>
      </c>
      <c r="N116" s="15">
        <f t="shared" si="20"/>
        <v>0</v>
      </c>
      <c r="O116" s="14">
        <f t="shared" si="20"/>
        <v>0</v>
      </c>
      <c r="P116" s="16">
        <f t="shared" si="20"/>
        <v>0</v>
      </c>
      <c r="Q116" s="15">
        <f t="shared" si="20"/>
        <v>0</v>
      </c>
      <c r="R116" s="15">
        <f t="shared" si="20"/>
        <v>0</v>
      </c>
      <c r="S116" s="15">
        <f t="shared" si="20"/>
        <v>-2.6748936118785316E-4</v>
      </c>
      <c r="T116" s="15">
        <f t="shared" si="20"/>
        <v>-9.869300002831316E-4</v>
      </c>
      <c r="U116" s="14">
        <f t="shared" si="20"/>
        <v>-2.38110726972331E-5</v>
      </c>
      <c r="V116" s="16">
        <f t="shared" si="20"/>
        <v>-1.8096415249897468E-3</v>
      </c>
      <c r="W116" s="15">
        <f t="shared" si="20"/>
        <v>-1.2980162960540137E-4</v>
      </c>
      <c r="X116" s="15">
        <f t="shared" si="20"/>
        <v>0</v>
      </c>
      <c r="Y116" s="15">
        <f t="shared" si="20"/>
        <v>7.6951016061216099E-4</v>
      </c>
      <c r="Z116" s="14">
        <f t="shared" si="20"/>
        <v>-6.4405535418370352E-3</v>
      </c>
      <c r="AA116" s="15">
        <f t="shared" si="20"/>
        <v>0</v>
      </c>
      <c r="AB116" s="16">
        <f t="shared" si="20"/>
        <v>0</v>
      </c>
      <c r="AC116" s="16">
        <f t="shared" si="20"/>
        <v>8.8887169699877269E-3</v>
      </c>
    </row>
    <row r="117" spans="1:29" x14ac:dyDescent="0.3">
      <c r="A117" s="17" t="s">
        <v>47</v>
      </c>
      <c r="B117" s="72">
        <v>2008</v>
      </c>
      <c r="C117" s="73">
        <f t="shared" ref="C117:AC117" si="21">C30-C71</f>
        <v>-0.91399999999998727</v>
      </c>
      <c r="D117" s="14">
        <f t="shared" si="21"/>
        <v>0</v>
      </c>
      <c r="E117" s="16">
        <f t="shared" si="21"/>
        <v>0</v>
      </c>
      <c r="F117" s="15">
        <f t="shared" si="21"/>
        <v>-2.2373283189991433E-7</v>
      </c>
      <c r="G117" s="15">
        <f t="shared" si="21"/>
        <v>-4.7444873554035316E-7</v>
      </c>
      <c r="H117" s="14">
        <f t="shared" si="21"/>
        <v>0</v>
      </c>
      <c r="I117" s="16">
        <f t="shared" si="21"/>
        <v>0</v>
      </c>
      <c r="J117" s="15">
        <f t="shared" si="21"/>
        <v>-1.1942740542990986E-3</v>
      </c>
      <c r="K117" s="15">
        <f t="shared" si="21"/>
        <v>0</v>
      </c>
      <c r="L117" s="15">
        <f t="shared" si="21"/>
        <v>-4.161037980288107E-7</v>
      </c>
      <c r="M117" s="15">
        <f t="shared" si="21"/>
        <v>0</v>
      </c>
      <c r="N117" s="15">
        <f t="shared" si="21"/>
        <v>0</v>
      </c>
      <c r="O117" s="14">
        <f t="shared" si="21"/>
        <v>0</v>
      </c>
      <c r="P117" s="16">
        <f t="shared" si="21"/>
        <v>0</v>
      </c>
      <c r="Q117" s="15">
        <f t="shared" si="21"/>
        <v>2.5928192402130401E-8</v>
      </c>
      <c r="R117" s="15">
        <f t="shared" si="21"/>
        <v>0</v>
      </c>
      <c r="S117" s="15">
        <f t="shared" si="21"/>
        <v>1.8022635699284362E-7</v>
      </c>
      <c r="T117" s="15">
        <f t="shared" si="21"/>
        <v>3.668076631047068E-7</v>
      </c>
      <c r="U117" s="14">
        <f t="shared" si="21"/>
        <v>1.5179960568927064E-8</v>
      </c>
      <c r="V117" s="16">
        <f t="shared" si="21"/>
        <v>4.1317955173925114E-7</v>
      </c>
      <c r="W117" s="15">
        <f t="shared" si="21"/>
        <v>1.1625762575025178E-6</v>
      </c>
      <c r="X117" s="15">
        <f t="shared" si="21"/>
        <v>-6.4694693661980843E-7</v>
      </c>
      <c r="Y117" s="15">
        <f t="shared" si="21"/>
        <v>-7.9332685247977819E-7</v>
      </c>
      <c r="Z117" s="14">
        <f t="shared" si="21"/>
        <v>1.1946647154720269E-3</v>
      </c>
      <c r="AA117" s="15">
        <f t="shared" si="21"/>
        <v>0</v>
      </c>
      <c r="AB117" s="16">
        <f t="shared" si="21"/>
        <v>0</v>
      </c>
      <c r="AC117" s="16">
        <f t="shared" si="21"/>
        <v>-1.1953883396645382E-3</v>
      </c>
    </row>
    <row r="118" spans="1:29" x14ac:dyDescent="0.3">
      <c r="A118" s="17" t="s">
        <v>47</v>
      </c>
      <c r="B118" s="72">
        <v>2009</v>
      </c>
      <c r="C118" s="73">
        <f t="shared" ref="C118:AC118" si="22">C31-C72</f>
        <v>3.3659999999999854</v>
      </c>
      <c r="D118" s="14">
        <f t="shared" si="22"/>
        <v>-4.1512608903459831E-5</v>
      </c>
      <c r="E118" s="16">
        <f t="shared" si="22"/>
        <v>0</v>
      </c>
      <c r="F118" s="15">
        <f t="shared" si="22"/>
        <v>-1.949189825082992E-4</v>
      </c>
      <c r="G118" s="15">
        <f t="shared" si="22"/>
        <v>1.2335077963144701E-3</v>
      </c>
      <c r="H118" s="14">
        <f t="shared" si="22"/>
        <v>0</v>
      </c>
      <c r="I118" s="16">
        <f t="shared" si="22"/>
        <v>8.3142514447715604E-4</v>
      </c>
      <c r="J118" s="15">
        <f t="shared" si="22"/>
        <v>-1.6998202957960173E-4</v>
      </c>
      <c r="K118" s="15">
        <f t="shared" si="22"/>
        <v>3.0667320902845902E-4</v>
      </c>
      <c r="L118" s="15">
        <f t="shared" si="22"/>
        <v>1.45499400283502E-3</v>
      </c>
      <c r="M118" s="15">
        <f t="shared" si="22"/>
        <v>0</v>
      </c>
      <c r="N118" s="15">
        <f t="shared" si="22"/>
        <v>0</v>
      </c>
      <c r="O118" s="14">
        <f t="shared" si="22"/>
        <v>-1.1860745400990028E-7</v>
      </c>
      <c r="P118" s="16">
        <f t="shared" si="22"/>
        <v>0</v>
      </c>
      <c r="Q118" s="15">
        <f t="shared" si="22"/>
        <v>-1.9076484980941888E-3</v>
      </c>
      <c r="R118" s="15">
        <f t="shared" si="22"/>
        <v>0</v>
      </c>
      <c r="S118" s="15">
        <f t="shared" si="22"/>
        <v>0</v>
      </c>
      <c r="T118" s="15">
        <f t="shared" si="22"/>
        <v>-3.8152969961884053E-4</v>
      </c>
      <c r="U118" s="14">
        <f t="shared" si="22"/>
        <v>-7.4780489343796372E-5</v>
      </c>
      <c r="V118" s="16">
        <f t="shared" si="22"/>
        <v>-2.1312439462982113E-3</v>
      </c>
      <c r="W118" s="15">
        <f t="shared" si="22"/>
        <v>-4.6010051336040081E-4</v>
      </c>
      <c r="X118" s="15">
        <f t="shared" si="22"/>
        <v>0</v>
      </c>
      <c r="Y118" s="15">
        <f t="shared" si="22"/>
        <v>9.5518902055136985E-3</v>
      </c>
      <c r="Z118" s="14">
        <f t="shared" si="22"/>
        <v>-8.0166549830080203E-3</v>
      </c>
      <c r="AA118" s="15">
        <f t="shared" si="22"/>
        <v>0</v>
      </c>
      <c r="AB118" s="16">
        <f t="shared" si="22"/>
        <v>0</v>
      </c>
      <c r="AC118" s="16">
        <f t="shared" si="22"/>
        <v>3.4615805331131982E-3</v>
      </c>
    </row>
    <row r="119" spans="1:29" x14ac:dyDescent="0.3">
      <c r="A119" s="17" t="s">
        <v>47</v>
      </c>
      <c r="B119" s="72">
        <v>2010</v>
      </c>
      <c r="C119" s="73">
        <f t="shared" ref="C119:AC119" si="23">C32-C73</f>
        <v>-3.11200000000008</v>
      </c>
      <c r="D119" s="14">
        <f t="shared" si="23"/>
        <v>2.794855330024229E-8</v>
      </c>
      <c r="E119" s="16">
        <f t="shared" si="23"/>
        <v>0</v>
      </c>
      <c r="F119" s="15">
        <f t="shared" si="23"/>
        <v>-1.1367614836995527E-6</v>
      </c>
      <c r="G119" s="15">
        <f t="shared" si="23"/>
        <v>-2.2530045959943956E-8</v>
      </c>
      <c r="H119" s="14">
        <f t="shared" si="23"/>
        <v>0</v>
      </c>
      <c r="I119" s="16">
        <f t="shared" si="23"/>
        <v>2.8359926581992059E-7</v>
      </c>
      <c r="J119" s="15">
        <f t="shared" si="23"/>
        <v>-2.6209873521431011E-4</v>
      </c>
      <c r="K119" s="15">
        <f t="shared" si="23"/>
        <v>-3.8436597957000954E-5</v>
      </c>
      <c r="L119" s="15">
        <f t="shared" si="23"/>
        <v>-7.9010322457200716E-5</v>
      </c>
      <c r="M119" s="15">
        <f t="shared" si="23"/>
        <v>0</v>
      </c>
      <c r="N119" s="15">
        <f t="shared" si="23"/>
        <v>0</v>
      </c>
      <c r="O119" s="14">
        <f t="shared" si="23"/>
        <v>1.4228021903000342E-8</v>
      </c>
      <c r="P119" s="16">
        <f t="shared" si="23"/>
        <v>2.9167444901101827E-7</v>
      </c>
      <c r="Q119" s="15">
        <f t="shared" si="23"/>
        <v>0</v>
      </c>
      <c r="R119" s="15">
        <f t="shared" si="23"/>
        <v>0</v>
      </c>
      <c r="S119" s="15">
        <f t="shared" si="23"/>
        <v>0</v>
      </c>
      <c r="T119" s="15">
        <f t="shared" si="23"/>
        <v>0</v>
      </c>
      <c r="U119" s="14">
        <f t="shared" si="23"/>
        <v>-1.1622813108352545E-5</v>
      </c>
      <c r="V119" s="16">
        <f t="shared" si="23"/>
        <v>-1.355677299441499E-4</v>
      </c>
      <c r="W119" s="15">
        <f t="shared" si="23"/>
        <v>4.1335276945980021E-7</v>
      </c>
      <c r="X119" s="15">
        <f t="shared" si="23"/>
        <v>0</v>
      </c>
      <c r="Y119" s="15">
        <f t="shared" si="23"/>
        <v>3.0369697905341898E-3</v>
      </c>
      <c r="Z119" s="14">
        <f t="shared" si="23"/>
        <v>-2.5101056506149355E-3</v>
      </c>
      <c r="AA119" s="15">
        <f t="shared" si="23"/>
        <v>0</v>
      </c>
      <c r="AB119" s="16">
        <f t="shared" si="23"/>
        <v>0</v>
      </c>
      <c r="AC119" s="16">
        <f t="shared" si="23"/>
        <v>-3.8011544542143616E-4</v>
      </c>
    </row>
    <row r="120" spans="1:29" x14ac:dyDescent="0.3">
      <c r="A120" s="17" t="s">
        <v>47</v>
      </c>
      <c r="B120" s="72">
        <v>2011</v>
      </c>
      <c r="C120" s="73">
        <f t="shared" ref="C120:AC120" si="24">C33-C74</f>
        <v>0.59500000000002728</v>
      </c>
      <c r="D120" s="14">
        <f t="shared" si="24"/>
        <v>-2.0512439745501619E-9</v>
      </c>
      <c r="E120" s="16">
        <f t="shared" si="24"/>
        <v>0</v>
      </c>
      <c r="F120" s="15">
        <f t="shared" si="24"/>
        <v>-5.434770910570097E-6</v>
      </c>
      <c r="G120" s="15">
        <f t="shared" si="24"/>
        <v>9.4361413400108102E-4</v>
      </c>
      <c r="H120" s="14">
        <f t="shared" si="24"/>
        <v>0</v>
      </c>
      <c r="I120" s="16">
        <f t="shared" si="24"/>
        <v>-8.8039391387996491E-6</v>
      </c>
      <c r="J120" s="15">
        <f t="shared" si="24"/>
        <v>-1.9790626658671984E-3</v>
      </c>
      <c r="K120" s="15">
        <f t="shared" si="24"/>
        <v>-7.6881167142498624E-5</v>
      </c>
      <c r="L120" s="15">
        <f t="shared" si="24"/>
        <v>-2.6429582395751106E-4</v>
      </c>
      <c r="M120" s="15">
        <f t="shared" si="24"/>
        <v>0</v>
      </c>
      <c r="N120" s="15">
        <f t="shared" si="24"/>
        <v>0</v>
      </c>
      <c r="O120" s="14">
        <f t="shared" si="24"/>
        <v>0</v>
      </c>
      <c r="P120" s="16">
        <f t="shared" si="24"/>
        <v>-1.3845896828200421E-7</v>
      </c>
      <c r="Q120" s="15">
        <f t="shared" si="24"/>
        <v>-7.533287612430245E-5</v>
      </c>
      <c r="R120" s="15">
        <f t="shared" si="24"/>
        <v>0</v>
      </c>
      <c r="S120" s="15">
        <f t="shared" si="24"/>
        <v>0</v>
      </c>
      <c r="T120" s="15">
        <f t="shared" si="24"/>
        <v>0</v>
      </c>
      <c r="U120" s="14">
        <f t="shared" si="24"/>
        <v>-1.1981850585397052E-4</v>
      </c>
      <c r="V120" s="16">
        <f t="shared" si="24"/>
        <v>0</v>
      </c>
      <c r="W120" s="15">
        <f t="shared" si="24"/>
        <v>-2.1409858984296898E-5</v>
      </c>
      <c r="X120" s="15">
        <f t="shared" si="24"/>
        <v>0</v>
      </c>
      <c r="Y120" s="15">
        <f t="shared" si="24"/>
        <v>2.3807176534844897E-3</v>
      </c>
      <c r="Z120" s="14">
        <f t="shared" si="24"/>
        <v>-7.7315166929392554E-4</v>
      </c>
      <c r="AA120" s="15">
        <f t="shared" si="24"/>
        <v>0</v>
      </c>
      <c r="AB120" s="16">
        <f t="shared" si="24"/>
        <v>0</v>
      </c>
      <c r="AC120" s="16">
        <f t="shared" si="24"/>
        <v>-1.3910026919837504E-3</v>
      </c>
    </row>
    <row r="121" spans="1:29" x14ac:dyDescent="0.3">
      <c r="A121" s="17" t="s">
        <v>47</v>
      </c>
      <c r="B121" s="72">
        <v>2012</v>
      </c>
      <c r="C121" s="73">
        <f t="shared" ref="C121:AC121" si="25">C34-C75</f>
        <v>2.4160000000000537</v>
      </c>
      <c r="D121" s="14">
        <f t="shared" si="25"/>
        <v>0</v>
      </c>
      <c r="E121" s="16">
        <f t="shared" si="25"/>
        <v>0</v>
      </c>
      <c r="F121" s="15">
        <f t="shared" si="25"/>
        <v>-2.6971181197110033E-5</v>
      </c>
      <c r="G121" s="15">
        <f t="shared" si="25"/>
        <v>-3.6222060539268727E-5</v>
      </c>
      <c r="H121" s="14">
        <f t="shared" si="25"/>
        <v>-1.1609455202040114E-6</v>
      </c>
      <c r="I121" s="16">
        <f t="shared" si="25"/>
        <v>0</v>
      </c>
      <c r="J121" s="15">
        <f t="shared" si="25"/>
        <v>-4.6184272874200127E-5</v>
      </c>
      <c r="K121" s="15">
        <f t="shared" si="25"/>
        <v>-8.4481269669200998E-5</v>
      </c>
      <c r="L121" s="15">
        <f t="shared" si="25"/>
        <v>-1.4623702171389502E-4</v>
      </c>
      <c r="M121" s="15">
        <f t="shared" si="25"/>
        <v>0</v>
      </c>
      <c r="N121" s="15">
        <f t="shared" si="25"/>
        <v>5.4448144528230396E-4</v>
      </c>
      <c r="O121" s="14">
        <f t="shared" si="25"/>
        <v>0</v>
      </c>
      <c r="P121" s="16">
        <f t="shared" si="25"/>
        <v>0</v>
      </c>
      <c r="Q121" s="15">
        <f t="shared" si="25"/>
        <v>-3.3454079019815466E-5</v>
      </c>
      <c r="R121" s="15">
        <f t="shared" si="25"/>
        <v>0</v>
      </c>
      <c r="S121" s="15">
        <f t="shared" si="25"/>
        <v>0</v>
      </c>
      <c r="T121" s="15">
        <f t="shared" si="25"/>
        <v>-6.4211284107134302E-6</v>
      </c>
      <c r="U121" s="14">
        <f t="shared" si="25"/>
        <v>-3.1437295582505131E-5</v>
      </c>
      <c r="V121" s="16">
        <f t="shared" si="25"/>
        <v>-8.0558069930170007E-4</v>
      </c>
      <c r="W121" s="15">
        <f t="shared" si="25"/>
        <v>-3.5120146915569583E-4</v>
      </c>
      <c r="X121" s="15">
        <f t="shared" si="25"/>
        <v>0</v>
      </c>
      <c r="Y121" s="15">
        <f t="shared" si="25"/>
        <v>4.0237851005677401E-3</v>
      </c>
      <c r="Z121" s="14">
        <f t="shared" si="25"/>
        <v>-2.998915122865986E-3</v>
      </c>
      <c r="AA121" s="15">
        <f t="shared" si="25"/>
        <v>0</v>
      </c>
      <c r="AB121" s="16">
        <f t="shared" si="25"/>
        <v>0</v>
      </c>
      <c r="AC121" s="16">
        <f t="shared" si="25"/>
        <v>2.0322469376841956E-4</v>
      </c>
    </row>
    <row r="122" spans="1:29" x14ac:dyDescent="0.3">
      <c r="A122" s="17" t="s">
        <v>47</v>
      </c>
      <c r="B122" s="72">
        <v>2013</v>
      </c>
      <c r="C122" s="73">
        <f t="shared" ref="C122:AC122" si="26">C35-C76</f>
        <v>-3.1620000000000346</v>
      </c>
      <c r="D122" s="14">
        <f t="shared" si="26"/>
        <v>0</v>
      </c>
      <c r="E122" s="16">
        <f t="shared" si="26"/>
        <v>0</v>
      </c>
      <c r="F122" s="15">
        <f t="shared" si="26"/>
        <v>-1.0291682623984194E-6</v>
      </c>
      <c r="G122" s="15">
        <f t="shared" si="26"/>
        <v>0</v>
      </c>
      <c r="H122" s="14">
        <f t="shared" si="26"/>
        <v>3.712619974999623E-7</v>
      </c>
      <c r="I122" s="16">
        <f t="shared" si="26"/>
        <v>0</v>
      </c>
      <c r="J122" s="15">
        <f t="shared" si="26"/>
        <v>1.4826844544060004E-3</v>
      </c>
      <c r="K122" s="15">
        <f t="shared" si="26"/>
        <v>9.7181459998722795E-6</v>
      </c>
      <c r="L122" s="15">
        <f t="shared" si="26"/>
        <v>4.3578876888610008E-4</v>
      </c>
      <c r="M122" s="15">
        <f t="shared" si="26"/>
        <v>0</v>
      </c>
      <c r="N122" s="15">
        <f t="shared" si="26"/>
        <v>-2.1313094367017907E-7</v>
      </c>
      <c r="O122" s="14">
        <f t="shared" si="26"/>
        <v>0</v>
      </c>
      <c r="P122" s="16">
        <f t="shared" si="26"/>
        <v>2.9797272350399963E-7</v>
      </c>
      <c r="Q122" s="15">
        <f t="shared" si="26"/>
        <v>0</v>
      </c>
      <c r="R122" s="15">
        <f t="shared" si="26"/>
        <v>0</v>
      </c>
      <c r="S122" s="15">
        <f t="shared" si="26"/>
        <v>0</v>
      </c>
      <c r="T122" s="15">
        <f t="shared" si="26"/>
        <v>0</v>
      </c>
      <c r="U122" s="14">
        <f t="shared" si="26"/>
        <v>-5.4532731760823308E-6</v>
      </c>
      <c r="V122" s="16">
        <f t="shared" si="26"/>
        <v>-3.2839679660997406E-5</v>
      </c>
      <c r="W122" s="15">
        <f t="shared" si="26"/>
        <v>-1.240686624701115E-6</v>
      </c>
      <c r="X122" s="15">
        <f t="shared" si="26"/>
        <v>0</v>
      </c>
      <c r="Y122" s="15">
        <f t="shared" si="26"/>
        <v>1.5919644391363692E-3</v>
      </c>
      <c r="Z122" s="14">
        <f t="shared" si="26"/>
        <v>-3.4800491044819637E-3</v>
      </c>
      <c r="AA122" s="15">
        <f t="shared" si="26"/>
        <v>0</v>
      </c>
      <c r="AB122" s="16">
        <f t="shared" si="26"/>
        <v>0</v>
      </c>
      <c r="AC122" s="16">
        <f t="shared" si="26"/>
        <v>1.9276183048069009E-3</v>
      </c>
    </row>
    <row r="123" spans="1:29" x14ac:dyDescent="0.3">
      <c r="A123" s="17" t="s">
        <v>47</v>
      </c>
      <c r="B123" s="72">
        <v>2014</v>
      </c>
      <c r="C123" s="73">
        <f t="shared" ref="C123:AC123" si="27">C36-C77</f>
        <v>1.9730000000000132</v>
      </c>
      <c r="D123" s="14">
        <f t="shared" si="27"/>
        <v>0</v>
      </c>
      <c r="E123" s="16">
        <f t="shared" si="27"/>
        <v>0</v>
      </c>
      <c r="F123" s="15">
        <f t="shared" si="27"/>
        <v>-4.5819335664099708E-6</v>
      </c>
      <c r="G123" s="15">
        <f t="shared" si="27"/>
        <v>1.25695329865617E-3</v>
      </c>
      <c r="H123" s="14">
        <f t="shared" si="27"/>
        <v>-8.1707784479398415E-5</v>
      </c>
      <c r="I123" s="16">
        <f t="shared" si="27"/>
        <v>0</v>
      </c>
      <c r="J123" s="15">
        <f t="shared" si="27"/>
        <v>5.5350050278409925E-4</v>
      </c>
      <c r="K123" s="15">
        <f t="shared" si="27"/>
        <v>8.1239351439177699E-5</v>
      </c>
      <c r="L123" s="15">
        <f t="shared" si="27"/>
        <v>2.43718054317533E-4</v>
      </c>
      <c r="M123" s="15">
        <f t="shared" si="27"/>
        <v>0</v>
      </c>
      <c r="N123" s="15">
        <f t="shared" si="27"/>
        <v>0</v>
      </c>
      <c r="O123" s="14">
        <f t="shared" si="27"/>
        <v>0</v>
      </c>
      <c r="P123" s="16">
        <f t="shared" si="27"/>
        <v>-6.2068042804800262E-6</v>
      </c>
      <c r="Q123" s="15">
        <f t="shared" si="27"/>
        <v>0</v>
      </c>
      <c r="R123" s="15">
        <f t="shared" si="27"/>
        <v>0</v>
      </c>
      <c r="S123" s="15">
        <f t="shared" si="27"/>
        <v>-7.5103275555290366E-5</v>
      </c>
      <c r="T123" s="15">
        <f t="shared" si="27"/>
        <v>0</v>
      </c>
      <c r="U123" s="14">
        <f t="shared" si="27"/>
        <v>-4.5544264052980662E-5</v>
      </c>
      <c r="V123" s="16">
        <f t="shared" si="27"/>
        <v>-4.4217732090272299E-4</v>
      </c>
      <c r="W123" s="15">
        <f t="shared" si="27"/>
        <v>-8.3544594851801129E-5</v>
      </c>
      <c r="X123" s="15">
        <f t="shared" si="27"/>
        <v>-5.0461823418601021E-8</v>
      </c>
      <c r="Y123" s="15">
        <f t="shared" si="27"/>
        <v>3.6851072472271402E-3</v>
      </c>
      <c r="Z123" s="14">
        <f t="shared" si="27"/>
        <v>-5.0816020149119234E-3</v>
      </c>
      <c r="AA123" s="15">
        <f t="shared" si="27"/>
        <v>0</v>
      </c>
      <c r="AB123" s="16">
        <f t="shared" si="27"/>
        <v>0</v>
      </c>
      <c r="AC123" s="16">
        <f t="shared" si="27"/>
        <v>2.0429146848707017E-3</v>
      </c>
    </row>
    <row r="124" spans="1:29" x14ac:dyDescent="0.3">
      <c r="A124" s="17" t="s">
        <v>47</v>
      </c>
      <c r="B124" s="72">
        <v>2015</v>
      </c>
      <c r="C124" s="73">
        <f t="shared" ref="C124:AC124" si="28">C37-C78</f>
        <v>7.4000000000069122E-2</v>
      </c>
      <c r="D124" s="14">
        <f t="shared" si="28"/>
        <v>-7.9110564209802867E-9</v>
      </c>
      <c r="E124" s="16">
        <f t="shared" si="28"/>
        <v>0</v>
      </c>
      <c r="F124" s="15">
        <f t="shared" si="28"/>
        <v>-3.3550179738299143E-6</v>
      </c>
      <c r="G124" s="15">
        <f t="shared" si="28"/>
        <v>1.6178515649191991E-4</v>
      </c>
      <c r="H124" s="14">
        <f t="shared" si="28"/>
        <v>-3.3238249490799218E-6</v>
      </c>
      <c r="I124" s="16">
        <f t="shared" si="28"/>
        <v>0</v>
      </c>
      <c r="J124" s="15">
        <f t="shared" si="28"/>
        <v>-1.6120433528196976E-3</v>
      </c>
      <c r="K124" s="15">
        <f t="shared" si="28"/>
        <v>1.39286490469775E-3</v>
      </c>
      <c r="L124" s="15">
        <f t="shared" si="28"/>
        <v>1.2772562617853998E-4</v>
      </c>
      <c r="M124" s="15">
        <f t="shared" si="28"/>
        <v>0</v>
      </c>
      <c r="N124" s="15">
        <f t="shared" si="28"/>
        <v>0</v>
      </c>
      <c r="O124" s="14">
        <f t="shared" si="28"/>
        <v>0</v>
      </c>
      <c r="P124" s="16">
        <f t="shared" si="28"/>
        <v>-1.9552040585052726E-9</v>
      </c>
      <c r="Q124" s="15">
        <f t="shared" si="28"/>
        <v>0</v>
      </c>
      <c r="R124" s="15">
        <f t="shared" si="28"/>
        <v>0</v>
      </c>
      <c r="S124" s="15">
        <f t="shared" si="28"/>
        <v>0</v>
      </c>
      <c r="T124" s="15">
        <f t="shared" si="28"/>
        <v>0</v>
      </c>
      <c r="U124" s="14">
        <f t="shared" si="28"/>
        <v>-2.1255995479588924E-5</v>
      </c>
      <c r="V124" s="16">
        <f t="shared" si="28"/>
        <v>-2.5158923264954891E-4</v>
      </c>
      <c r="W124" s="15">
        <f t="shared" si="28"/>
        <v>-1.0605413789071053E-5</v>
      </c>
      <c r="X124" s="15">
        <f t="shared" si="28"/>
        <v>-5.1911700230200617E-6</v>
      </c>
      <c r="Y124" s="15">
        <f t="shared" si="28"/>
        <v>1.0089982317962798E-3</v>
      </c>
      <c r="Z124" s="14">
        <f t="shared" si="28"/>
        <v>-7.8400004521994582E-4</v>
      </c>
      <c r="AA124" s="15">
        <f t="shared" si="28"/>
        <v>0</v>
      </c>
      <c r="AB124" s="16">
        <f t="shared" si="28"/>
        <v>0</v>
      </c>
      <c r="AC124" s="16">
        <f t="shared" si="28"/>
        <v>6.3651536421543975E-5</v>
      </c>
    </row>
    <row r="125" spans="1:29" x14ac:dyDescent="0.3">
      <c r="A125" s="17" t="s">
        <v>47</v>
      </c>
      <c r="B125" s="72">
        <v>2016</v>
      </c>
      <c r="C125" s="73">
        <f t="shared" ref="C125:AC125" si="29">C38-C79</f>
        <v>-1.6719999999999118</v>
      </c>
      <c r="D125" s="14">
        <f t="shared" si="29"/>
        <v>-1.820931943779993E-6</v>
      </c>
      <c r="E125" s="16">
        <f t="shared" si="29"/>
        <v>0</v>
      </c>
      <c r="F125" s="15">
        <f t="shared" si="29"/>
        <v>-5.9837366825007954E-6</v>
      </c>
      <c r="G125" s="15">
        <f t="shared" si="29"/>
        <v>4.5198178197133399E-4</v>
      </c>
      <c r="H125" s="14">
        <f t="shared" si="29"/>
        <v>-2.9176827792010834E-6</v>
      </c>
      <c r="I125" s="16">
        <f t="shared" si="29"/>
        <v>0</v>
      </c>
      <c r="J125" s="15">
        <f t="shared" si="29"/>
        <v>8.247203730974012E-4</v>
      </c>
      <c r="K125" s="15">
        <f t="shared" si="29"/>
        <v>-1.3840158540270008E-4</v>
      </c>
      <c r="L125" s="15">
        <f t="shared" si="29"/>
        <v>-3.6531843873359449E-5</v>
      </c>
      <c r="M125" s="15">
        <f t="shared" si="29"/>
        <v>0</v>
      </c>
      <c r="N125" s="15">
        <f t="shared" si="29"/>
        <v>0</v>
      </c>
      <c r="O125" s="14">
        <f t="shared" si="29"/>
        <v>0</v>
      </c>
      <c r="P125" s="16">
        <f t="shared" si="29"/>
        <v>0</v>
      </c>
      <c r="Q125" s="15">
        <f t="shared" si="29"/>
        <v>0</v>
      </c>
      <c r="R125" s="15">
        <f t="shared" si="29"/>
        <v>0</v>
      </c>
      <c r="S125" s="15">
        <f t="shared" si="29"/>
        <v>0</v>
      </c>
      <c r="T125" s="15">
        <f t="shared" si="29"/>
        <v>0</v>
      </c>
      <c r="U125" s="14">
        <f t="shared" si="29"/>
        <v>-3.0068694265661736E-6</v>
      </c>
      <c r="V125" s="16">
        <f t="shared" si="29"/>
        <v>-4.2001939596733595E-5</v>
      </c>
      <c r="W125" s="15">
        <f t="shared" si="29"/>
        <v>-1.4828383217996982E-6</v>
      </c>
      <c r="X125" s="15">
        <f t="shared" si="29"/>
        <v>0</v>
      </c>
      <c r="Y125" s="15">
        <f t="shared" si="29"/>
        <v>0</v>
      </c>
      <c r="Z125" s="14">
        <f t="shared" si="29"/>
        <v>-1.044554727042013E-3</v>
      </c>
      <c r="AA125" s="15">
        <f t="shared" si="29"/>
        <v>0</v>
      </c>
      <c r="AB125" s="16">
        <f t="shared" si="29"/>
        <v>0</v>
      </c>
      <c r="AC125" s="16">
        <f t="shared" si="29"/>
        <v>1.092867306330958E-3</v>
      </c>
    </row>
    <row r="126" spans="1:29" x14ac:dyDescent="0.3">
      <c r="A126" s="17" t="s">
        <v>47</v>
      </c>
      <c r="B126" s="72">
        <v>2017</v>
      </c>
      <c r="C126" s="73">
        <f t="shared" ref="C126:AC126" si="30">C39-C80</f>
        <v>0.26199999999994361</v>
      </c>
      <c r="D126" s="14">
        <f t="shared" si="30"/>
        <v>-2.0630388972796983E-10</v>
      </c>
      <c r="E126" s="16">
        <f t="shared" si="30"/>
        <v>0</v>
      </c>
      <c r="F126" s="15">
        <f t="shared" si="30"/>
        <v>-4.4956255426890218E-6</v>
      </c>
      <c r="G126" s="15">
        <f t="shared" si="30"/>
        <v>3.5490536891969501E-6</v>
      </c>
      <c r="H126" s="14">
        <f t="shared" si="30"/>
        <v>-5.8996802087991906E-6</v>
      </c>
      <c r="I126" s="16">
        <f t="shared" si="30"/>
        <v>0</v>
      </c>
      <c r="J126" s="15">
        <f t="shared" si="30"/>
        <v>1.530528024694798E-3</v>
      </c>
      <c r="K126" s="15">
        <f t="shared" si="30"/>
        <v>3.1941483202772497E-5</v>
      </c>
      <c r="L126" s="15">
        <f t="shared" si="30"/>
        <v>1.058963023575013E-4</v>
      </c>
      <c r="M126" s="15">
        <f t="shared" si="30"/>
        <v>0</v>
      </c>
      <c r="N126" s="15">
        <f t="shared" si="30"/>
        <v>0</v>
      </c>
      <c r="O126" s="14">
        <f t="shared" si="30"/>
        <v>0</v>
      </c>
      <c r="P126" s="16">
        <f t="shared" si="30"/>
        <v>-2.1042996752404118E-8</v>
      </c>
      <c r="Q126" s="15">
        <f t="shared" si="30"/>
        <v>0</v>
      </c>
      <c r="R126" s="15">
        <f t="shared" si="30"/>
        <v>0</v>
      </c>
      <c r="S126" s="15">
        <f t="shared" si="30"/>
        <v>0</v>
      </c>
      <c r="T126" s="15">
        <f t="shared" si="30"/>
        <v>0</v>
      </c>
      <c r="U126" s="14">
        <f t="shared" si="30"/>
        <v>-1.1818288663026887E-6</v>
      </c>
      <c r="V126" s="16">
        <f t="shared" si="30"/>
        <v>-4.6402333382211669E-5</v>
      </c>
      <c r="W126" s="15">
        <f t="shared" si="30"/>
        <v>-1.1931345299500545E-5</v>
      </c>
      <c r="X126" s="15">
        <f t="shared" si="30"/>
        <v>0</v>
      </c>
      <c r="Y126" s="15">
        <f t="shared" si="30"/>
        <v>6.9295273281570399E-4</v>
      </c>
      <c r="Z126" s="14">
        <f t="shared" si="30"/>
        <v>-2.2949355341589373E-3</v>
      </c>
      <c r="AA126" s="15">
        <f t="shared" si="30"/>
        <v>0</v>
      </c>
      <c r="AB126" s="16">
        <f t="shared" si="30"/>
        <v>0</v>
      </c>
      <c r="AC126" s="16">
        <f t="shared" si="30"/>
        <v>1.661498515196036E-3</v>
      </c>
    </row>
    <row r="127" spans="1:29" x14ac:dyDescent="0.3">
      <c r="A127" s="17" t="s">
        <v>47</v>
      </c>
      <c r="B127" s="72">
        <v>2018</v>
      </c>
      <c r="C127" s="73">
        <f t="shared" ref="C127:AC127" si="31">C40-C81</f>
        <v>-9.9999999997635314E-4</v>
      </c>
      <c r="D127" s="14">
        <f t="shared" si="31"/>
        <v>0</v>
      </c>
      <c r="E127" s="16">
        <f t="shared" si="31"/>
        <v>0</v>
      </c>
      <c r="F127" s="15">
        <f t="shared" si="31"/>
        <v>2.1386493497774521E-12</v>
      </c>
      <c r="G127" s="15">
        <f t="shared" si="31"/>
        <v>1.703729389323002E-4</v>
      </c>
      <c r="H127" s="14">
        <f t="shared" si="31"/>
        <v>-3.6513775221102759E-6</v>
      </c>
      <c r="I127" s="16">
        <f t="shared" si="31"/>
        <v>0</v>
      </c>
      <c r="J127" s="15">
        <f t="shared" si="31"/>
        <v>1.1626287686875014E-3</v>
      </c>
      <c r="K127" s="15">
        <f t="shared" si="31"/>
        <v>-3.517048336198602E-4</v>
      </c>
      <c r="L127" s="15">
        <f t="shared" si="31"/>
        <v>-3.7285600939709201E-5</v>
      </c>
      <c r="M127" s="15">
        <f t="shared" si="31"/>
        <v>0</v>
      </c>
      <c r="N127" s="15">
        <f t="shared" si="31"/>
        <v>0</v>
      </c>
      <c r="O127" s="14">
        <f t="shared" si="31"/>
        <v>0</v>
      </c>
      <c r="P127" s="16">
        <f t="shared" si="31"/>
        <v>0</v>
      </c>
      <c r="Q127" s="15">
        <f t="shared" si="31"/>
        <v>0</v>
      </c>
      <c r="R127" s="15">
        <f t="shared" si="31"/>
        <v>0</v>
      </c>
      <c r="S127" s="15">
        <f t="shared" si="31"/>
        <v>0</v>
      </c>
      <c r="T127" s="15">
        <f t="shared" si="31"/>
        <v>0</v>
      </c>
      <c r="U127" s="14">
        <f t="shared" si="31"/>
        <v>-7.0526335203152136E-6</v>
      </c>
      <c r="V127" s="16">
        <f t="shared" si="31"/>
        <v>-2.7437188375939447E-4</v>
      </c>
      <c r="W127" s="15">
        <f t="shared" si="31"/>
        <v>-5.1108297997991964E-6</v>
      </c>
      <c r="X127" s="15">
        <f t="shared" si="31"/>
        <v>6.8276380502021311E-10</v>
      </c>
      <c r="Y127" s="15">
        <f t="shared" si="31"/>
        <v>2.1994706174174798E-3</v>
      </c>
      <c r="Z127" s="14">
        <f t="shared" si="31"/>
        <v>-2.8532958507769823E-3</v>
      </c>
      <c r="AA127" s="15">
        <f t="shared" si="31"/>
        <v>0</v>
      </c>
      <c r="AB127" s="16">
        <f t="shared" si="31"/>
        <v>0</v>
      </c>
      <c r="AC127" s="16">
        <f t="shared" si="31"/>
        <v>9.4035989767677491E-4</v>
      </c>
    </row>
    <row r="128" spans="1:29" x14ac:dyDescent="0.3">
      <c r="A128" s="17" t="s">
        <v>47</v>
      </c>
      <c r="B128" s="72">
        <v>2019</v>
      </c>
      <c r="C128" s="73">
        <f t="shared" ref="C128:AC128" si="32">C41-C82</f>
        <v>-0.39399999999977808</v>
      </c>
      <c r="D128" s="14">
        <f t="shared" si="32"/>
        <v>0</v>
      </c>
      <c r="E128" s="16">
        <f t="shared" si="32"/>
        <v>0</v>
      </c>
      <c r="F128" s="15">
        <f t="shared" si="32"/>
        <v>0</v>
      </c>
      <c r="G128" s="15">
        <f t="shared" si="32"/>
        <v>0</v>
      </c>
      <c r="H128" s="14">
        <f t="shared" si="32"/>
        <v>0</v>
      </c>
      <c r="I128" s="16">
        <f t="shared" si="32"/>
        <v>0</v>
      </c>
      <c r="J128" s="15">
        <f t="shared" si="32"/>
        <v>0</v>
      </c>
      <c r="K128" s="15">
        <f t="shared" si="32"/>
        <v>7.3013450051012098E-6</v>
      </c>
      <c r="L128" s="15">
        <f t="shared" si="32"/>
        <v>2.2746085357553021E-4</v>
      </c>
      <c r="M128" s="15">
        <f t="shared" si="32"/>
        <v>0</v>
      </c>
      <c r="N128" s="15">
        <f t="shared" si="32"/>
        <v>0</v>
      </c>
      <c r="O128" s="14">
        <f t="shared" si="32"/>
        <v>6.7199904973025328E-9</v>
      </c>
      <c r="P128" s="16">
        <f t="shared" si="32"/>
        <v>1.138665056479995E-8</v>
      </c>
      <c r="Q128" s="15">
        <f t="shared" si="32"/>
        <v>0</v>
      </c>
      <c r="R128" s="15">
        <f t="shared" si="32"/>
        <v>0</v>
      </c>
      <c r="S128" s="15">
        <f t="shared" si="32"/>
        <v>0</v>
      </c>
      <c r="T128" s="15">
        <f t="shared" si="32"/>
        <v>0</v>
      </c>
      <c r="U128" s="14">
        <f t="shared" si="32"/>
        <v>-2.8821865694353063E-6</v>
      </c>
      <c r="V128" s="16">
        <f t="shared" si="32"/>
        <v>-1.7941611394733936E-5</v>
      </c>
      <c r="W128" s="15">
        <f t="shared" si="32"/>
        <v>-2.3769739653043548E-7</v>
      </c>
      <c r="X128" s="15">
        <f t="shared" si="32"/>
        <v>0</v>
      </c>
      <c r="Y128" s="15">
        <f t="shared" si="32"/>
        <v>3.7140437147308008E-3</v>
      </c>
      <c r="Z128" s="14">
        <f t="shared" si="32"/>
        <v>-3.9277626179250458E-3</v>
      </c>
      <c r="AA128" s="15">
        <f t="shared" si="32"/>
        <v>0</v>
      </c>
      <c r="AB128" s="16">
        <f t="shared" si="32"/>
        <v>0</v>
      </c>
      <c r="AC128" s="16">
        <f t="shared" si="32"/>
        <v>2.3478030522169294E-4</v>
      </c>
    </row>
    <row r="129" spans="1:34" x14ac:dyDescent="0.3">
      <c r="A129" s="17" t="s">
        <v>47</v>
      </c>
      <c r="B129" s="72">
        <v>2020</v>
      </c>
      <c r="C129" s="73">
        <f t="shared" ref="C129:AC129" si="33">C42-C83</f>
        <v>-0.23900000000003274</v>
      </c>
      <c r="D129" s="14">
        <f t="shared" si="33"/>
        <v>0</v>
      </c>
      <c r="E129" s="16">
        <f t="shared" si="33"/>
        <v>0</v>
      </c>
      <c r="F129" s="15">
        <f t="shared" si="33"/>
        <v>0</v>
      </c>
      <c r="G129" s="15">
        <f t="shared" si="33"/>
        <v>0</v>
      </c>
      <c r="H129" s="14">
        <f t="shared" si="33"/>
        <v>0</v>
      </c>
      <c r="I129" s="16">
        <f t="shared" si="33"/>
        <v>0</v>
      </c>
      <c r="J129" s="15">
        <f t="shared" si="33"/>
        <v>0</v>
      </c>
      <c r="K129" s="15">
        <f t="shared" si="33"/>
        <v>0</v>
      </c>
      <c r="L129" s="15">
        <f t="shared" si="33"/>
        <v>2.428883937514708E-4</v>
      </c>
      <c r="M129" s="15">
        <f t="shared" si="33"/>
        <v>0</v>
      </c>
      <c r="N129" s="15">
        <f t="shared" si="33"/>
        <v>0</v>
      </c>
      <c r="O129" s="14">
        <f t="shared" si="33"/>
        <v>-2.9213094390449388E-6</v>
      </c>
      <c r="P129" s="16">
        <f t="shared" si="33"/>
        <v>2.3645261148970905E-10</v>
      </c>
      <c r="Q129" s="15">
        <f t="shared" si="33"/>
        <v>0</v>
      </c>
      <c r="R129" s="15">
        <f t="shared" si="33"/>
        <v>0</v>
      </c>
      <c r="S129" s="15">
        <f t="shared" si="33"/>
        <v>0</v>
      </c>
      <c r="T129" s="15">
        <f t="shared" si="33"/>
        <v>0</v>
      </c>
      <c r="U129" s="14">
        <f t="shared" si="33"/>
        <v>-4.4967999655454692E-5</v>
      </c>
      <c r="V129" s="16">
        <f t="shared" si="33"/>
        <v>-1.4028516959180282E-3</v>
      </c>
      <c r="W129" s="15">
        <f t="shared" si="33"/>
        <v>-2.9134844900004231E-7</v>
      </c>
      <c r="X129" s="15">
        <f t="shared" si="33"/>
        <v>0</v>
      </c>
      <c r="Y129" s="15">
        <f t="shared" si="33"/>
        <v>5.3084041312891203E-3</v>
      </c>
      <c r="Z129" s="14">
        <f t="shared" si="33"/>
        <v>-3.9427382686030299E-3</v>
      </c>
      <c r="AA129" s="15">
        <f t="shared" si="33"/>
        <v>0</v>
      </c>
      <c r="AB129" s="16">
        <f t="shared" si="33"/>
        <v>0</v>
      </c>
      <c r="AC129" s="16">
        <f t="shared" si="33"/>
        <v>2.3996732076503845E-4</v>
      </c>
    </row>
    <row r="130" spans="1:34" x14ac:dyDescent="0.3">
      <c r="A130" s="17" t="s">
        <v>47</v>
      </c>
      <c r="B130" s="72">
        <v>2021</v>
      </c>
      <c r="C130" s="73">
        <f t="shared" ref="C130:AC130" si="34">C43-C84</f>
        <v>0.46800000000030195</v>
      </c>
      <c r="D130" s="14">
        <f t="shared" si="34"/>
        <v>0</v>
      </c>
      <c r="E130" s="16">
        <f t="shared" si="34"/>
        <v>0</v>
      </c>
      <c r="F130" s="15">
        <f t="shared" si="34"/>
        <v>0</v>
      </c>
      <c r="G130" s="15">
        <f t="shared" si="34"/>
        <v>1.50879367789876E-4</v>
      </c>
      <c r="H130" s="14">
        <f t="shared" si="34"/>
        <v>0</v>
      </c>
      <c r="I130" s="16">
        <f t="shared" si="34"/>
        <v>0</v>
      </c>
      <c r="J130" s="15">
        <f t="shared" si="34"/>
        <v>4.4752354852929402E-6</v>
      </c>
      <c r="K130" s="15">
        <f t="shared" si="34"/>
        <v>0</v>
      </c>
      <c r="L130" s="15">
        <f t="shared" si="34"/>
        <v>1.4048713715008026E-4</v>
      </c>
      <c r="M130" s="15">
        <f t="shared" si="34"/>
        <v>0</v>
      </c>
      <c r="N130" s="15">
        <f t="shared" si="34"/>
        <v>0</v>
      </c>
      <c r="O130" s="14">
        <f t="shared" si="34"/>
        <v>0</v>
      </c>
      <c r="P130" s="16">
        <f t="shared" si="34"/>
        <v>0</v>
      </c>
      <c r="Q130" s="15">
        <f t="shared" si="34"/>
        <v>0</v>
      </c>
      <c r="R130" s="15">
        <f t="shared" si="34"/>
        <v>0</v>
      </c>
      <c r="S130" s="15">
        <f t="shared" si="34"/>
        <v>0</v>
      </c>
      <c r="T130" s="15">
        <f t="shared" si="34"/>
        <v>0</v>
      </c>
      <c r="U130" s="14">
        <f t="shared" si="34"/>
        <v>-1.2522775168825884E-5</v>
      </c>
      <c r="V130" s="16">
        <f t="shared" si="34"/>
        <v>-7.5511620041296412E-5</v>
      </c>
      <c r="W130" s="15">
        <f t="shared" si="34"/>
        <v>-1.4262451540007336E-7</v>
      </c>
      <c r="X130" s="15">
        <f t="shared" si="34"/>
        <v>0</v>
      </c>
      <c r="Y130" s="15">
        <f t="shared" si="34"/>
        <v>1.7080878647618898E-3</v>
      </c>
      <c r="Z130" s="14">
        <f t="shared" si="34"/>
        <v>-1.9157525854609503E-3</v>
      </c>
      <c r="AA130" s="15">
        <f t="shared" si="34"/>
        <v>0</v>
      </c>
      <c r="AB130" s="16">
        <f t="shared" si="34"/>
        <v>0</v>
      </c>
      <c r="AC130" s="16">
        <f t="shared" si="34"/>
        <v>2.9584174042524914E-4</v>
      </c>
    </row>
    <row r="131" spans="1:34" x14ac:dyDescent="0.3">
      <c r="A131" s="17" t="s">
        <v>47</v>
      </c>
      <c r="B131" s="72">
        <v>2022</v>
      </c>
      <c r="C131" s="73">
        <f t="shared" ref="C131:AC131" si="35">C44-C85</f>
        <v>-0.18800000000010186</v>
      </c>
      <c r="D131" s="14">
        <f t="shared" si="35"/>
        <v>2.9778097438906822E-9</v>
      </c>
      <c r="E131" s="16">
        <f t="shared" si="35"/>
        <v>0</v>
      </c>
      <c r="F131" s="15">
        <f t="shared" si="35"/>
        <v>0</v>
      </c>
      <c r="G131" s="15">
        <f t="shared" si="35"/>
        <v>5.0626087576099814E-6</v>
      </c>
      <c r="H131" s="14">
        <f t="shared" si="35"/>
        <v>1.4713883441053134E-9</v>
      </c>
      <c r="I131" s="16">
        <f t="shared" si="35"/>
        <v>1.03681903918777E-4</v>
      </c>
      <c r="J131" s="15">
        <f t="shared" si="35"/>
        <v>3.1670971832383973E-4</v>
      </c>
      <c r="K131" s="15">
        <f t="shared" si="35"/>
        <v>0</v>
      </c>
      <c r="L131" s="15">
        <f t="shared" si="35"/>
        <v>3.622409200202E-5</v>
      </c>
      <c r="M131" s="15">
        <f t="shared" si="35"/>
        <v>0</v>
      </c>
      <c r="N131" s="15">
        <f t="shared" si="35"/>
        <v>0</v>
      </c>
      <c r="O131" s="14">
        <f t="shared" si="35"/>
        <v>0</v>
      </c>
      <c r="P131" s="16">
        <f t="shared" si="35"/>
        <v>0</v>
      </c>
      <c r="Q131" s="15">
        <f t="shared" si="35"/>
        <v>0</v>
      </c>
      <c r="R131" s="15">
        <f t="shared" si="35"/>
        <v>0</v>
      </c>
      <c r="S131" s="15">
        <f t="shared" si="35"/>
        <v>0</v>
      </c>
      <c r="T131" s="15">
        <f t="shared" si="35"/>
        <v>-1.8903016993200919E-6</v>
      </c>
      <c r="U131" s="14">
        <f t="shared" si="35"/>
        <v>-2.6077346170641849E-6</v>
      </c>
      <c r="V131" s="16">
        <f t="shared" si="35"/>
        <v>-1.0382043444185501E-5</v>
      </c>
      <c r="W131" s="15">
        <f t="shared" si="35"/>
        <v>1.2156470366962973E-8</v>
      </c>
      <c r="X131" s="15">
        <f t="shared" si="35"/>
        <v>0</v>
      </c>
      <c r="Y131" s="15">
        <f t="shared" si="35"/>
        <v>7.4768675950818032E-4</v>
      </c>
      <c r="Z131" s="14">
        <f t="shared" si="35"/>
        <v>-1.1945132861030938E-3</v>
      </c>
      <c r="AA131" s="15">
        <f t="shared" si="35"/>
        <v>0</v>
      </c>
      <c r="AB131" s="16">
        <f t="shared" si="35"/>
        <v>1.1677685269999034E-8</v>
      </c>
      <c r="AC131" s="16">
        <f t="shared" si="35"/>
        <v>4.6167979439059106E-4</v>
      </c>
    </row>
    <row r="132" spans="1:34" x14ac:dyDescent="0.3">
      <c r="A132" s="17" t="s">
        <v>47</v>
      </c>
      <c r="B132" s="72">
        <v>2023</v>
      </c>
      <c r="C132" s="73">
        <f t="shared" ref="C132:AC132" si="36">C45-C86</f>
        <v>2.6880000000001019</v>
      </c>
      <c r="D132" s="14">
        <f t="shared" si="36"/>
        <v>-5.8253855393392701E-7</v>
      </c>
      <c r="E132" s="16">
        <f t="shared" si="36"/>
        <v>0</v>
      </c>
      <c r="F132" s="15">
        <f t="shared" si="36"/>
        <v>0</v>
      </c>
      <c r="G132" s="15">
        <f t="shared" si="36"/>
        <v>5.4136252940329907E-5</v>
      </c>
      <c r="H132" s="14">
        <f t="shared" si="36"/>
        <v>-4.9406745804302966E-7</v>
      </c>
      <c r="I132" s="16">
        <f t="shared" si="36"/>
        <v>2.0186659083835977E-4</v>
      </c>
      <c r="J132" s="15">
        <f t="shared" si="36"/>
        <v>4.2710252348930958E-4</v>
      </c>
      <c r="K132" s="15">
        <f t="shared" si="36"/>
        <v>2.1096960268298901E-5</v>
      </c>
      <c r="L132" s="15">
        <f t="shared" si="36"/>
        <v>2.7714125957542003E-4</v>
      </c>
      <c r="M132" s="15">
        <f t="shared" si="36"/>
        <v>0</v>
      </c>
      <c r="N132" s="15">
        <f t="shared" si="36"/>
        <v>0</v>
      </c>
      <c r="O132" s="14">
        <f t="shared" si="36"/>
        <v>0</v>
      </c>
      <c r="P132" s="16">
        <f t="shared" si="36"/>
        <v>0</v>
      </c>
      <c r="Q132" s="15">
        <f t="shared" si="36"/>
        <v>0</v>
      </c>
      <c r="R132" s="15">
        <f t="shared" si="36"/>
        <v>0</v>
      </c>
      <c r="S132" s="15">
        <f t="shared" si="36"/>
        <v>0</v>
      </c>
      <c r="T132" s="15">
        <f t="shared" si="36"/>
        <v>0</v>
      </c>
      <c r="U132" s="14">
        <f t="shared" si="36"/>
        <v>-4.2985410053342568E-5</v>
      </c>
      <c r="V132" s="16">
        <f t="shared" si="36"/>
        <v>-7.266230121367144E-5</v>
      </c>
      <c r="W132" s="15">
        <f t="shared" si="36"/>
        <v>-3.6629239357497193E-6</v>
      </c>
      <c r="X132" s="15">
        <f t="shared" si="36"/>
        <v>0</v>
      </c>
      <c r="Y132" s="15">
        <f t="shared" si="36"/>
        <v>4.6363496559941094E-3</v>
      </c>
      <c r="Z132" s="14">
        <f t="shared" si="36"/>
        <v>-5.4973060018910225E-3</v>
      </c>
      <c r="AA132" s="15">
        <f t="shared" si="36"/>
        <v>0</v>
      </c>
      <c r="AB132" s="16">
        <f t="shared" si="36"/>
        <v>0</v>
      </c>
      <c r="AC132" s="16">
        <f t="shared" si="36"/>
        <v>9.8084951965367317E-4</v>
      </c>
    </row>
    <row r="133" spans="1:34" ht="15" thickBot="1" x14ac:dyDescent="0.35">
      <c r="A133" s="4" t="s">
        <v>47</v>
      </c>
      <c r="B133" s="5">
        <v>2024</v>
      </c>
      <c r="C133" s="74">
        <f t="shared" ref="C133:AC133" si="37">C46-C87</f>
        <v>-3.0320000000001528</v>
      </c>
      <c r="D133" s="20">
        <f t="shared" si="37"/>
        <v>0</v>
      </c>
      <c r="E133" s="21">
        <f t="shared" si="37"/>
        <v>0</v>
      </c>
      <c r="F133" s="22">
        <f t="shared" si="37"/>
        <v>0</v>
      </c>
      <c r="G133" s="22">
        <f t="shared" si="37"/>
        <v>0</v>
      </c>
      <c r="H133" s="20">
        <f t="shared" si="37"/>
        <v>0</v>
      </c>
      <c r="I133" s="21">
        <f t="shared" si="37"/>
        <v>0</v>
      </c>
      <c r="J133" s="22">
        <f t="shared" si="37"/>
        <v>2.2021184266352994E-3</v>
      </c>
      <c r="K133" s="22">
        <f t="shared" si="37"/>
        <v>6.4521071076740003E-4</v>
      </c>
      <c r="L133" s="22">
        <f t="shared" si="37"/>
        <v>1.5308814002752708E-3</v>
      </c>
      <c r="M133" s="22">
        <f t="shared" si="37"/>
        <v>0</v>
      </c>
      <c r="N133" s="22">
        <f t="shared" si="37"/>
        <v>0</v>
      </c>
      <c r="O133" s="20">
        <f t="shared" si="37"/>
        <v>0</v>
      </c>
      <c r="P133" s="21">
        <f t="shared" si="37"/>
        <v>0</v>
      </c>
      <c r="Q133" s="22">
        <f t="shared" si="37"/>
        <v>0</v>
      </c>
      <c r="R133" s="22">
        <f t="shared" si="37"/>
        <v>0</v>
      </c>
      <c r="S133" s="22">
        <f t="shared" si="37"/>
        <v>0</v>
      </c>
      <c r="T133" s="22">
        <f t="shared" si="37"/>
        <v>-1.7142870564895718E-6</v>
      </c>
      <c r="U133" s="20">
        <f t="shared" si="37"/>
        <v>-4.6499630116133943E-6</v>
      </c>
      <c r="V133" s="21">
        <f t="shared" si="37"/>
        <v>-9.39148840626014E-5</v>
      </c>
      <c r="W133" s="22">
        <f t="shared" si="37"/>
        <v>-8.9999462428791768E-6</v>
      </c>
      <c r="X133" s="22">
        <f t="shared" si="37"/>
        <v>0</v>
      </c>
      <c r="Y133" s="22">
        <f t="shared" si="37"/>
        <v>2.3357908394820402E-3</v>
      </c>
      <c r="Z133" s="20">
        <f t="shared" si="37"/>
        <v>-6.604722296785992E-3</v>
      </c>
      <c r="AA133" s="22">
        <f t="shared" si="37"/>
        <v>0</v>
      </c>
      <c r="AB133" s="21">
        <f t="shared" si="37"/>
        <v>0</v>
      </c>
      <c r="AC133" s="21">
        <f t="shared" si="37"/>
        <v>4.378210537677972E-3</v>
      </c>
    </row>
    <row r="135" spans="1:34" ht="15" thickBot="1" x14ac:dyDescent="0.35">
      <c r="A135" t="s">
        <v>85</v>
      </c>
    </row>
    <row r="136" spans="1:34" ht="15" thickBot="1" x14ac:dyDescent="0.35">
      <c r="A136" s="1"/>
      <c r="B136" s="2"/>
      <c r="C136" s="3"/>
      <c r="D136" s="88" t="s">
        <v>2</v>
      </c>
      <c r="E136" s="89"/>
      <c r="F136" s="89"/>
      <c r="G136" s="89"/>
      <c r="H136" s="89"/>
      <c r="I136" s="90"/>
      <c r="J136" s="88" t="s">
        <v>3</v>
      </c>
      <c r="K136" s="89"/>
      <c r="L136" s="89"/>
      <c r="M136" s="89"/>
      <c r="N136" s="89"/>
      <c r="O136" s="89"/>
      <c r="P136" s="89"/>
      <c r="Q136" s="89"/>
      <c r="R136" s="89"/>
      <c r="S136" s="89"/>
      <c r="T136" s="89"/>
      <c r="U136" s="89"/>
      <c r="V136" s="89"/>
      <c r="W136" s="89"/>
      <c r="X136" s="89"/>
      <c r="Y136" s="90"/>
      <c r="Z136" s="91" t="s">
        <v>4</v>
      </c>
      <c r="AA136" s="92"/>
      <c r="AB136" s="93"/>
      <c r="AC136" s="97" t="s">
        <v>38</v>
      </c>
      <c r="AE136" s="99" t="s">
        <v>78</v>
      </c>
      <c r="AF136" s="100"/>
      <c r="AG136" s="103" t="s">
        <v>79</v>
      </c>
      <c r="AH136" s="100"/>
    </row>
    <row r="137" spans="1:34" ht="15" thickBot="1" x14ac:dyDescent="0.35">
      <c r="A137" s="4"/>
      <c r="B137" s="5"/>
      <c r="C137" s="6"/>
      <c r="D137" s="85" t="s">
        <v>5</v>
      </c>
      <c r="E137" s="86"/>
      <c r="F137" s="85" t="s">
        <v>6</v>
      </c>
      <c r="G137" s="86"/>
      <c r="H137" s="85" t="s">
        <v>7</v>
      </c>
      <c r="I137" s="86"/>
      <c r="J137" s="85" t="s">
        <v>8</v>
      </c>
      <c r="K137" s="87"/>
      <c r="L137" s="87"/>
      <c r="M137" s="87"/>
      <c r="N137" s="86"/>
      <c r="O137" s="85" t="s">
        <v>9</v>
      </c>
      <c r="P137" s="86"/>
      <c r="Q137" s="85" t="s">
        <v>10</v>
      </c>
      <c r="R137" s="87"/>
      <c r="S137" s="87"/>
      <c r="T137" s="87"/>
      <c r="U137" s="87"/>
      <c r="V137" s="86"/>
      <c r="W137" s="85" t="s">
        <v>11</v>
      </c>
      <c r="X137" s="87"/>
      <c r="Y137" s="86"/>
      <c r="Z137" s="94"/>
      <c r="AA137" s="95"/>
      <c r="AB137" s="96"/>
      <c r="AC137" s="98"/>
      <c r="AE137" s="101"/>
      <c r="AF137" s="102"/>
      <c r="AG137" s="104"/>
      <c r="AH137" s="102"/>
    </row>
    <row r="138" spans="1:34" ht="43.8" thickBot="1" x14ac:dyDescent="0.35">
      <c r="A138" s="7" t="s">
        <v>12</v>
      </c>
      <c r="B138" s="8" t="s">
        <v>27</v>
      </c>
      <c r="C138" s="9" t="s">
        <v>13</v>
      </c>
      <c r="D138" s="78" t="s">
        <v>14</v>
      </c>
      <c r="E138" s="79" t="s">
        <v>15</v>
      </c>
      <c r="F138" s="78" t="s">
        <v>16</v>
      </c>
      <c r="G138" s="79" t="s">
        <v>17</v>
      </c>
      <c r="H138" s="78" t="s">
        <v>18</v>
      </c>
      <c r="I138" s="79" t="s">
        <v>19</v>
      </c>
      <c r="J138" s="78" t="s">
        <v>20</v>
      </c>
      <c r="K138" s="80" t="s">
        <v>21</v>
      </c>
      <c r="L138" s="80" t="s">
        <v>22</v>
      </c>
      <c r="M138" s="80" t="s">
        <v>7</v>
      </c>
      <c r="N138" s="79" t="s">
        <v>6</v>
      </c>
      <c r="O138" s="81" t="s">
        <v>40</v>
      </c>
      <c r="P138" s="81" t="s">
        <v>42</v>
      </c>
      <c r="Q138" s="78" t="s">
        <v>23</v>
      </c>
      <c r="R138" s="80" t="s">
        <v>60</v>
      </c>
      <c r="S138" s="80" t="s">
        <v>24</v>
      </c>
      <c r="T138" s="80" t="s">
        <v>25</v>
      </c>
      <c r="U138" s="78" t="s">
        <v>44</v>
      </c>
      <c r="V138" s="81" t="s">
        <v>62</v>
      </c>
      <c r="W138" s="78" t="s">
        <v>36</v>
      </c>
      <c r="X138" s="80" t="s">
        <v>35</v>
      </c>
      <c r="Y138" s="79" t="s">
        <v>43</v>
      </c>
      <c r="Z138" s="78" t="s">
        <v>4</v>
      </c>
      <c r="AA138" s="80" t="s">
        <v>28</v>
      </c>
      <c r="AB138" s="79" t="s">
        <v>29</v>
      </c>
      <c r="AC138" s="30" t="s">
        <v>37</v>
      </c>
      <c r="AE138" s="68" t="s">
        <v>69</v>
      </c>
      <c r="AF138" s="70" t="s">
        <v>68</v>
      </c>
      <c r="AG138" s="69" t="s">
        <v>69</v>
      </c>
      <c r="AH138" s="70" t="s">
        <v>68</v>
      </c>
    </row>
    <row r="139" spans="1:34" x14ac:dyDescent="0.3">
      <c r="A139" s="17" t="s">
        <v>47</v>
      </c>
      <c r="B139">
        <v>2013</v>
      </c>
      <c r="C139" s="73">
        <v>1443.7660000000001</v>
      </c>
      <c r="D139" s="11">
        <f t="shared" ref="D139:AB139" si="38">+((D35*$AH139)+(D76*$AG139))/SUM($AG139:$AH139)</f>
        <v>0</v>
      </c>
      <c r="E139" s="12">
        <f t="shared" si="38"/>
        <v>0</v>
      </c>
      <c r="F139" s="11">
        <f t="shared" si="38"/>
        <v>1.0599639463069504E-2</v>
      </c>
      <c r="G139" s="12">
        <f t="shared" si="38"/>
        <v>0</v>
      </c>
      <c r="H139" s="11">
        <f t="shared" si="38"/>
        <v>2.6993410149157948E-3</v>
      </c>
      <c r="I139" s="12">
        <f t="shared" si="38"/>
        <v>0</v>
      </c>
      <c r="J139" s="11">
        <f t="shared" si="38"/>
        <v>2.0511453307623925E-2</v>
      </c>
      <c r="K139" s="13">
        <f t="shared" si="38"/>
        <v>3.9302918893148116E-6</v>
      </c>
      <c r="L139" s="13">
        <f t="shared" si="38"/>
        <v>1.3711679661732369E-2</v>
      </c>
      <c r="M139" s="13">
        <f t="shared" si="38"/>
        <v>0</v>
      </c>
      <c r="N139" s="12">
        <f t="shared" si="38"/>
        <v>2.1166003029036737E-3</v>
      </c>
      <c r="O139" s="11">
        <f t="shared" si="38"/>
        <v>0</v>
      </c>
      <c r="P139" s="12">
        <f t="shared" si="38"/>
        <v>1.3587657983451357E-4</v>
      </c>
      <c r="Q139" s="11">
        <f t="shared" si="38"/>
        <v>0</v>
      </c>
      <c r="R139" s="13">
        <f t="shared" si="38"/>
        <v>0</v>
      </c>
      <c r="S139" s="13">
        <f t="shared" si="38"/>
        <v>0</v>
      </c>
      <c r="T139" s="12">
        <f t="shared" si="38"/>
        <v>0</v>
      </c>
      <c r="U139" s="11">
        <f t="shared" si="38"/>
        <v>3.0979678152350497E-3</v>
      </c>
      <c r="V139" s="12">
        <f t="shared" si="38"/>
        <v>1.865600115149409E-2</v>
      </c>
      <c r="W139" s="11">
        <f t="shared" si="38"/>
        <v>3.1692307176887181E-2</v>
      </c>
      <c r="X139" s="13">
        <f t="shared" si="38"/>
        <v>0</v>
      </c>
      <c r="Y139" s="12">
        <f t="shared" si="38"/>
        <v>9.6224370418620878E-3</v>
      </c>
      <c r="Z139" s="11">
        <f t="shared" si="38"/>
        <v>0.88715276619255223</v>
      </c>
      <c r="AA139" s="13">
        <f t="shared" si="38"/>
        <v>0</v>
      </c>
      <c r="AB139" s="12">
        <f t="shared" si="38"/>
        <v>0</v>
      </c>
      <c r="AC139" s="32">
        <f>SUM(F139:P139)</f>
        <v>4.9778520621969094E-2</v>
      </c>
      <c r="AE139" s="1">
        <f>3445-AF139</f>
        <v>2055</v>
      </c>
      <c r="AF139" s="2">
        <v>1390</v>
      </c>
      <c r="AG139" s="75">
        <f t="shared" ref="AG139:AG150" si="39">AE139/Z76</f>
        <v>2312.7302001055446</v>
      </c>
      <c r="AH139" s="10">
        <f t="shared" ref="AH139:AH150" si="40">AF139/Z35</f>
        <v>1570.4792439512185</v>
      </c>
    </row>
    <row r="140" spans="1:34" x14ac:dyDescent="0.3">
      <c r="A140" s="17" t="s">
        <v>47</v>
      </c>
      <c r="B140">
        <v>2014</v>
      </c>
      <c r="C140" s="73">
        <v>441.16199999999998</v>
      </c>
      <c r="D140" s="14">
        <f t="shared" ref="D140:AB140" si="41">+((D36*$AH140)+(D77*$AG140))/SUM($AG140:$AH140)</f>
        <v>0</v>
      </c>
      <c r="E140" s="16">
        <f t="shared" si="41"/>
        <v>0</v>
      </c>
      <c r="F140" s="14">
        <f t="shared" si="41"/>
        <v>1.02874974375819E-3</v>
      </c>
      <c r="G140" s="16">
        <f t="shared" si="41"/>
        <v>9.6200678421807075E-5</v>
      </c>
      <c r="H140" s="14">
        <f t="shared" si="41"/>
        <v>1.8345281774154894E-2</v>
      </c>
      <c r="I140" s="16">
        <f t="shared" si="41"/>
        <v>0</v>
      </c>
      <c r="J140" s="14">
        <f t="shared" si="41"/>
        <v>1.3080656377008093E-2</v>
      </c>
      <c r="K140" s="15">
        <f t="shared" si="41"/>
        <v>6.2176381026661464E-6</v>
      </c>
      <c r="L140" s="15">
        <f t="shared" si="41"/>
        <v>1.8652914307998433E-5</v>
      </c>
      <c r="M140" s="15">
        <f t="shared" si="41"/>
        <v>0</v>
      </c>
      <c r="N140" s="16">
        <f t="shared" si="41"/>
        <v>0</v>
      </c>
      <c r="O140" s="14">
        <f t="shared" si="41"/>
        <v>0</v>
      </c>
      <c r="P140" s="16">
        <f t="shared" si="41"/>
        <v>1.3935706881305896E-3</v>
      </c>
      <c r="Q140" s="14">
        <f t="shared" si="41"/>
        <v>0</v>
      </c>
      <c r="R140" s="15">
        <f t="shared" si="41"/>
        <v>0</v>
      </c>
      <c r="S140" s="15">
        <f t="shared" si="41"/>
        <v>8.7529392702252653E-3</v>
      </c>
      <c r="T140" s="16">
        <f t="shared" si="41"/>
        <v>0</v>
      </c>
      <c r="U140" s="14">
        <f t="shared" si="41"/>
        <v>1.0083748131640655E-2</v>
      </c>
      <c r="V140" s="16">
        <f t="shared" si="41"/>
        <v>9.7900467297482099E-2</v>
      </c>
      <c r="W140" s="14">
        <f t="shared" si="41"/>
        <v>1.875768805909761E-2</v>
      </c>
      <c r="X140" s="15">
        <f t="shared" si="41"/>
        <v>1.13298429929316E-5</v>
      </c>
      <c r="Y140" s="16">
        <f t="shared" si="41"/>
        <v>2.820389728237169E-4</v>
      </c>
      <c r="Z140" s="14">
        <f t="shared" si="41"/>
        <v>0.83024245861185342</v>
      </c>
      <c r="AA140" s="15">
        <f t="shared" si="41"/>
        <v>0</v>
      </c>
      <c r="AB140" s="16">
        <f t="shared" si="41"/>
        <v>0</v>
      </c>
      <c r="AC140" s="26">
        <f t="shared" ref="AC140:AC150" si="42">SUM(F140:P140)</f>
        <v>3.3969329813884237E-2</v>
      </c>
      <c r="AE140" s="17">
        <f>7122-AF140</f>
        <v>6580</v>
      </c>
      <c r="AF140" s="72">
        <v>542</v>
      </c>
      <c r="AG140" s="76">
        <f t="shared" si="39"/>
        <v>7921.6848459378416</v>
      </c>
      <c r="AH140" s="18">
        <f t="shared" si="40"/>
        <v>656.53218708143152</v>
      </c>
    </row>
    <row r="141" spans="1:34" x14ac:dyDescent="0.3">
      <c r="A141" s="17" t="s">
        <v>47</v>
      </c>
      <c r="B141">
        <v>2015</v>
      </c>
      <c r="C141" s="73">
        <v>1568.434</v>
      </c>
      <c r="D141" s="14">
        <f t="shared" ref="D141:AB141" si="43">+((D37*$AH141)+(D78*$AG141))/SUM($AG141:$AH141)</f>
        <v>1.6768085339031744E-4</v>
      </c>
      <c r="E141" s="16">
        <f t="shared" si="43"/>
        <v>0</v>
      </c>
      <c r="F141" s="14">
        <f t="shared" si="43"/>
        <v>3.5445882609192862E-3</v>
      </c>
      <c r="G141" s="16">
        <f t="shared" si="43"/>
        <v>3.2730809956511469E-3</v>
      </c>
      <c r="H141" s="14">
        <f t="shared" si="43"/>
        <v>2.8834283941293307E-3</v>
      </c>
      <c r="I141" s="16">
        <f t="shared" si="43"/>
        <v>0</v>
      </c>
      <c r="J141" s="14">
        <f t="shared" si="43"/>
        <v>3.3348909439489073E-2</v>
      </c>
      <c r="K141" s="15">
        <f t="shared" si="43"/>
        <v>4.19676990828195E-3</v>
      </c>
      <c r="L141" s="15">
        <f t="shared" si="43"/>
        <v>8.9744956192388068E-3</v>
      </c>
      <c r="M141" s="15">
        <f t="shared" si="43"/>
        <v>0</v>
      </c>
      <c r="N141" s="16">
        <f t="shared" si="43"/>
        <v>0</v>
      </c>
      <c r="O141" s="14">
        <f t="shared" si="43"/>
        <v>0</v>
      </c>
      <c r="P141" s="16">
        <f t="shared" si="43"/>
        <v>4.14420360090139E-5</v>
      </c>
      <c r="Q141" s="14">
        <f t="shared" si="43"/>
        <v>0</v>
      </c>
      <c r="R141" s="15">
        <f t="shared" si="43"/>
        <v>0</v>
      </c>
      <c r="S141" s="15">
        <f t="shared" si="43"/>
        <v>0</v>
      </c>
      <c r="T141" s="16">
        <f t="shared" si="43"/>
        <v>0</v>
      </c>
      <c r="U141" s="14">
        <f t="shared" si="43"/>
        <v>8.3737156026385227E-3</v>
      </c>
      <c r="V141" s="16">
        <f t="shared" si="43"/>
        <v>9.9112586136768405E-2</v>
      </c>
      <c r="W141" s="14">
        <f t="shared" si="43"/>
        <v>8.573589345797895E-3</v>
      </c>
      <c r="X141" s="15">
        <f t="shared" si="43"/>
        <v>1.9226859110308922E-3</v>
      </c>
      <c r="Y141" s="16">
        <f t="shared" si="43"/>
        <v>5.4075124048275375E-3</v>
      </c>
      <c r="Z141" s="14">
        <f t="shared" si="43"/>
        <v>0.82017951509182807</v>
      </c>
      <c r="AA141" s="15">
        <f t="shared" si="43"/>
        <v>0</v>
      </c>
      <c r="AB141" s="16">
        <f t="shared" si="43"/>
        <v>0</v>
      </c>
      <c r="AC141" s="26">
        <f t="shared" si="42"/>
        <v>5.6262714653718605E-2</v>
      </c>
      <c r="AE141" s="17">
        <f>4836-AF141</f>
        <v>3415</v>
      </c>
      <c r="AF141" s="72">
        <v>1421</v>
      </c>
      <c r="AG141" s="76">
        <f t="shared" si="39"/>
        <v>4162.5526691478344</v>
      </c>
      <c r="AH141" s="18">
        <f t="shared" si="40"/>
        <v>1733.717490024035</v>
      </c>
    </row>
    <row r="142" spans="1:34" x14ac:dyDescent="0.3">
      <c r="A142" s="17" t="s">
        <v>47</v>
      </c>
      <c r="B142">
        <v>2016</v>
      </c>
      <c r="C142" s="73">
        <v>981.8</v>
      </c>
      <c r="D142" s="14">
        <f t="shared" ref="D142:AB142" si="44">+((D38*$AH142)+(D79*$AG142))/SUM($AG142:$AH142)</f>
        <v>1.9223372706614272E-3</v>
      </c>
      <c r="E142" s="16">
        <f t="shared" si="44"/>
        <v>0</v>
      </c>
      <c r="F142" s="14">
        <f t="shared" si="44"/>
        <v>1.6825082961327922E-2</v>
      </c>
      <c r="G142" s="16">
        <f t="shared" si="44"/>
        <v>1.6414511479064984E-4</v>
      </c>
      <c r="H142" s="14">
        <f t="shared" si="44"/>
        <v>1.0848400567492209E-2</v>
      </c>
      <c r="I142" s="16">
        <f t="shared" si="44"/>
        <v>0</v>
      </c>
      <c r="J142" s="14">
        <f t="shared" si="44"/>
        <v>7.884707737005156E-2</v>
      </c>
      <c r="K142" s="15">
        <f t="shared" si="44"/>
        <v>1.5708547384146752E-2</v>
      </c>
      <c r="L142" s="15">
        <f t="shared" si="44"/>
        <v>9.0741233271254829E-3</v>
      </c>
      <c r="M142" s="15">
        <f t="shared" si="44"/>
        <v>0</v>
      </c>
      <c r="N142" s="16">
        <f t="shared" si="44"/>
        <v>0</v>
      </c>
      <c r="O142" s="14">
        <f t="shared" si="44"/>
        <v>0</v>
      </c>
      <c r="P142" s="16">
        <f t="shared" si="44"/>
        <v>0</v>
      </c>
      <c r="Q142" s="14">
        <f t="shared" si="44"/>
        <v>0</v>
      </c>
      <c r="R142" s="15">
        <f t="shared" si="44"/>
        <v>0</v>
      </c>
      <c r="S142" s="15">
        <f t="shared" si="44"/>
        <v>0</v>
      </c>
      <c r="T142" s="16">
        <f t="shared" si="44"/>
        <v>0</v>
      </c>
      <c r="U142" s="14">
        <f t="shared" si="44"/>
        <v>7.1863969283886865E-3</v>
      </c>
      <c r="V142" s="16">
        <f t="shared" si="44"/>
        <v>0.10038434227888812</v>
      </c>
      <c r="W142" s="14">
        <f t="shared" si="44"/>
        <v>1.2288114974828117E-2</v>
      </c>
      <c r="X142" s="15">
        <f t="shared" si="44"/>
        <v>0</v>
      </c>
      <c r="Y142" s="16">
        <f t="shared" si="44"/>
        <v>0</v>
      </c>
      <c r="Z142" s="14">
        <f t="shared" si="44"/>
        <v>0.74675143182229886</v>
      </c>
      <c r="AA142" s="15">
        <f t="shared" si="44"/>
        <v>0</v>
      </c>
      <c r="AB142" s="16">
        <f t="shared" si="44"/>
        <v>0</v>
      </c>
      <c r="AC142" s="26">
        <f t="shared" si="42"/>
        <v>0.13146737672493458</v>
      </c>
      <c r="AE142" s="17">
        <f>2180-AF142</f>
        <v>1389</v>
      </c>
      <c r="AF142" s="72">
        <v>791</v>
      </c>
      <c r="AG142" s="76">
        <f t="shared" si="39"/>
        <v>1859.1122689776746</v>
      </c>
      <c r="AH142" s="18">
        <f t="shared" si="40"/>
        <v>1060.19917402839</v>
      </c>
    </row>
    <row r="143" spans="1:34" x14ac:dyDescent="0.3">
      <c r="A143" s="17" t="s">
        <v>47</v>
      </c>
      <c r="B143">
        <v>2017</v>
      </c>
      <c r="C143" s="73">
        <v>1126.799</v>
      </c>
      <c r="D143" s="14">
        <f t="shared" ref="D143:AB143" si="45">+((D39*$AH143)+(D80*$AG143))/SUM($AG143:$AH143)</f>
        <v>8.8736170250936036E-7</v>
      </c>
      <c r="E143" s="16">
        <f t="shared" si="45"/>
        <v>0</v>
      </c>
      <c r="F143" s="14">
        <f t="shared" si="45"/>
        <v>7.8863644219932406E-3</v>
      </c>
      <c r="G143" s="16">
        <f t="shared" si="45"/>
        <v>1.8583354832840448E-6</v>
      </c>
      <c r="H143" s="14">
        <f t="shared" si="45"/>
        <v>1.010874090290838E-2</v>
      </c>
      <c r="I143" s="16">
        <f t="shared" si="45"/>
        <v>0</v>
      </c>
      <c r="J143" s="14">
        <f t="shared" si="45"/>
        <v>2.7524894850223844E-2</v>
      </c>
      <c r="K143" s="15">
        <f t="shared" si="45"/>
        <v>1.6725019349556374E-5</v>
      </c>
      <c r="L143" s="15">
        <f t="shared" si="45"/>
        <v>4.4515019697689E-2</v>
      </c>
      <c r="M143" s="15">
        <f t="shared" si="45"/>
        <v>0</v>
      </c>
      <c r="N143" s="16">
        <f t="shared" si="45"/>
        <v>0</v>
      </c>
      <c r="O143" s="14">
        <f t="shared" si="45"/>
        <v>0</v>
      </c>
      <c r="P143" s="16">
        <f t="shared" si="45"/>
        <v>9.0510893655954764E-5</v>
      </c>
      <c r="Q143" s="14">
        <f t="shared" si="45"/>
        <v>0</v>
      </c>
      <c r="R143" s="15">
        <f t="shared" si="45"/>
        <v>0</v>
      </c>
      <c r="S143" s="15">
        <f t="shared" si="45"/>
        <v>0</v>
      </c>
      <c r="T143" s="16">
        <f t="shared" si="45"/>
        <v>0</v>
      </c>
      <c r="U143" s="14">
        <f t="shared" si="45"/>
        <v>1.8602543814015067E-3</v>
      </c>
      <c r="V143" s="16">
        <f t="shared" si="45"/>
        <v>7.303946150134337E-2</v>
      </c>
      <c r="W143" s="14">
        <f t="shared" si="45"/>
        <v>1.6968386029059129E-2</v>
      </c>
      <c r="X143" s="15">
        <f t="shared" si="45"/>
        <v>0</v>
      </c>
      <c r="Y143" s="16">
        <f t="shared" si="45"/>
        <v>3.6284000311120949E-4</v>
      </c>
      <c r="Z143" s="14">
        <f t="shared" si="45"/>
        <v>0.81762405660207915</v>
      </c>
      <c r="AA143" s="15">
        <f t="shared" si="45"/>
        <v>0</v>
      </c>
      <c r="AB143" s="16">
        <f t="shared" si="45"/>
        <v>0</v>
      </c>
      <c r="AC143" s="26">
        <f t="shared" si="42"/>
        <v>9.0144114121303257E-2</v>
      </c>
      <c r="AE143" s="17">
        <f>1702-AF143</f>
        <v>812</v>
      </c>
      <c r="AF143" s="72">
        <v>890</v>
      </c>
      <c r="AG143" s="76">
        <f t="shared" si="39"/>
        <v>991.66401633552016</v>
      </c>
      <c r="AH143" s="18">
        <f t="shared" si="40"/>
        <v>1089.9772786543219</v>
      </c>
    </row>
    <row r="144" spans="1:34" x14ac:dyDescent="0.3">
      <c r="A144" s="17" t="s">
        <v>47</v>
      </c>
      <c r="B144">
        <v>2018</v>
      </c>
      <c r="C144" s="73">
        <v>1367.604</v>
      </c>
      <c r="D144" s="14">
        <f t="shared" ref="D144:AB144" si="46">+((D40*$AH144)+(D81*$AG144))/SUM($AG144:$AH144)</f>
        <v>0</v>
      </c>
      <c r="E144" s="16">
        <f t="shared" si="46"/>
        <v>0</v>
      </c>
      <c r="F144" s="14">
        <f t="shared" si="46"/>
        <v>2.9248248214228656E-6</v>
      </c>
      <c r="G144" s="16">
        <f t="shared" si="46"/>
        <v>2.6661897226147816E-3</v>
      </c>
      <c r="H144" s="14">
        <f t="shared" si="46"/>
        <v>6.3624936711280944E-3</v>
      </c>
      <c r="I144" s="16">
        <f t="shared" si="46"/>
        <v>0</v>
      </c>
      <c r="J144" s="14">
        <f t="shared" si="46"/>
        <v>1.5436669218983446E-2</v>
      </c>
      <c r="K144" s="15">
        <f t="shared" si="46"/>
        <v>7.1588903896408086E-3</v>
      </c>
      <c r="L144" s="15">
        <f t="shared" si="46"/>
        <v>8.0732076086978306E-3</v>
      </c>
      <c r="M144" s="15">
        <f t="shared" si="46"/>
        <v>0</v>
      </c>
      <c r="N144" s="16">
        <f t="shared" si="46"/>
        <v>0</v>
      </c>
      <c r="O144" s="14">
        <f t="shared" si="46"/>
        <v>0</v>
      </c>
      <c r="P144" s="16">
        <f t="shared" si="46"/>
        <v>0</v>
      </c>
      <c r="Q144" s="14">
        <f t="shared" si="46"/>
        <v>0</v>
      </c>
      <c r="R144" s="15">
        <f t="shared" si="46"/>
        <v>0</v>
      </c>
      <c r="S144" s="15">
        <f t="shared" si="46"/>
        <v>0</v>
      </c>
      <c r="T144" s="16">
        <f t="shared" si="46"/>
        <v>0</v>
      </c>
      <c r="U144" s="14">
        <f t="shared" si="46"/>
        <v>3.0769613408194976E-3</v>
      </c>
      <c r="V144" s="16">
        <f t="shared" si="46"/>
        <v>0.11970445889519814</v>
      </c>
      <c r="W144" s="14">
        <f t="shared" si="46"/>
        <v>1.0410119891585341E-2</v>
      </c>
      <c r="X144" s="15">
        <f t="shared" si="46"/>
        <v>9.3375032423924928E-4</v>
      </c>
      <c r="Y144" s="16">
        <f t="shared" si="46"/>
        <v>4.2128514407881873E-3</v>
      </c>
      <c r="Z144" s="14">
        <f t="shared" si="46"/>
        <v>0.82196148267148383</v>
      </c>
      <c r="AA144" s="15">
        <f t="shared" si="46"/>
        <v>0</v>
      </c>
      <c r="AB144" s="16">
        <f t="shared" si="46"/>
        <v>0</v>
      </c>
      <c r="AC144" s="26">
        <f t="shared" si="42"/>
        <v>3.9700375435886379E-2</v>
      </c>
      <c r="AE144" s="17">
        <f>1627-AF144</f>
        <v>446</v>
      </c>
      <c r="AF144" s="72">
        <v>1181</v>
      </c>
      <c r="AG144" s="76">
        <f t="shared" si="39"/>
        <v>541.23941637317625</v>
      </c>
      <c r="AH144" s="18">
        <f t="shared" si="40"/>
        <v>1438.1720698098918</v>
      </c>
    </row>
    <row r="145" spans="1:34" x14ac:dyDescent="0.3">
      <c r="A145" s="17" t="s">
        <v>47</v>
      </c>
      <c r="B145">
        <v>2019</v>
      </c>
      <c r="C145" s="73">
        <v>2054.81</v>
      </c>
      <c r="D145" s="14">
        <f t="shared" ref="D145:AB145" si="47">+((D41*$AH145)+(D82*$AG145))/SUM($AG145:$AH145)</f>
        <v>0</v>
      </c>
      <c r="E145" s="16">
        <f t="shared" si="47"/>
        <v>0</v>
      </c>
      <c r="F145" s="14">
        <f t="shared" si="47"/>
        <v>0</v>
      </c>
      <c r="G145" s="16">
        <f t="shared" si="47"/>
        <v>0</v>
      </c>
      <c r="H145" s="14">
        <f t="shared" si="47"/>
        <v>0</v>
      </c>
      <c r="I145" s="16">
        <f t="shared" si="47"/>
        <v>0</v>
      </c>
      <c r="J145" s="14">
        <f t="shared" si="47"/>
        <v>0</v>
      </c>
      <c r="K145" s="15">
        <f t="shared" si="47"/>
        <v>4.0298314924691921E-6</v>
      </c>
      <c r="L145" s="15">
        <f t="shared" si="47"/>
        <v>5.9611185120544098E-3</v>
      </c>
      <c r="M145" s="15">
        <f t="shared" si="47"/>
        <v>0</v>
      </c>
      <c r="N145" s="16">
        <f t="shared" si="47"/>
        <v>0</v>
      </c>
      <c r="O145" s="14">
        <f t="shared" si="47"/>
        <v>3.5043444998476025E-5</v>
      </c>
      <c r="P145" s="16">
        <f t="shared" si="47"/>
        <v>5.9379170691862197E-5</v>
      </c>
      <c r="Q145" s="14">
        <f t="shared" si="47"/>
        <v>0</v>
      </c>
      <c r="R145" s="15">
        <f t="shared" si="47"/>
        <v>0</v>
      </c>
      <c r="S145" s="15">
        <f t="shared" si="47"/>
        <v>0</v>
      </c>
      <c r="T145" s="16">
        <f t="shared" si="47"/>
        <v>0</v>
      </c>
      <c r="U145" s="14">
        <f t="shared" si="47"/>
        <v>2.183172476275553E-3</v>
      </c>
      <c r="V145" s="16">
        <f t="shared" si="47"/>
        <v>1.3590248664815318E-2</v>
      </c>
      <c r="W145" s="14">
        <f t="shared" si="47"/>
        <v>6.3746674508548115E-3</v>
      </c>
      <c r="X145" s="15">
        <f t="shared" si="47"/>
        <v>0</v>
      </c>
      <c r="Y145" s="16">
        <f t="shared" si="47"/>
        <v>1.0148451211476941E-2</v>
      </c>
      <c r="Z145" s="14">
        <f t="shared" si="47"/>
        <v>0.96164340252282654</v>
      </c>
      <c r="AA145" s="15">
        <f t="shared" si="47"/>
        <v>0</v>
      </c>
      <c r="AB145" s="16">
        <f t="shared" si="47"/>
        <v>0</v>
      </c>
      <c r="AC145" s="26">
        <f t="shared" si="42"/>
        <v>6.0595709592372177E-3</v>
      </c>
      <c r="AE145" s="17">
        <f>3859-AF145</f>
        <v>1733</v>
      </c>
      <c r="AF145" s="72">
        <v>2126</v>
      </c>
      <c r="AG145" s="76">
        <f t="shared" si="39"/>
        <v>1798.0698972808689</v>
      </c>
      <c r="AH145" s="18">
        <f t="shared" si="40"/>
        <v>2214.8521379310341</v>
      </c>
    </row>
    <row r="146" spans="1:34" x14ac:dyDescent="0.3">
      <c r="A146" s="17" t="s">
        <v>47</v>
      </c>
      <c r="B146">
        <v>2020</v>
      </c>
      <c r="C146" s="73">
        <v>2010.864</v>
      </c>
      <c r="D146" s="14">
        <f t="shared" ref="D146:AB146" si="48">+((D42*$AH146)+(D83*$AG146))/SUM($AG146:$AH146)</f>
        <v>0</v>
      </c>
      <c r="E146" s="16">
        <f t="shared" si="48"/>
        <v>0</v>
      </c>
      <c r="F146" s="14">
        <f t="shared" si="48"/>
        <v>0</v>
      </c>
      <c r="G146" s="16">
        <f t="shared" si="48"/>
        <v>0</v>
      </c>
      <c r="H146" s="14">
        <f t="shared" si="48"/>
        <v>0</v>
      </c>
      <c r="I146" s="16">
        <f t="shared" si="48"/>
        <v>0</v>
      </c>
      <c r="J146" s="14">
        <f t="shared" si="48"/>
        <v>0</v>
      </c>
      <c r="K146" s="15">
        <f t="shared" si="48"/>
        <v>0</v>
      </c>
      <c r="L146" s="15">
        <f t="shared" si="48"/>
        <v>9.9563374148531406E-3</v>
      </c>
      <c r="M146" s="15">
        <f t="shared" si="48"/>
        <v>0</v>
      </c>
      <c r="N146" s="16">
        <f t="shared" si="48"/>
        <v>0</v>
      </c>
      <c r="O146" s="14">
        <f t="shared" si="48"/>
        <v>5.2751694154179311E-4</v>
      </c>
      <c r="P146" s="16">
        <f t="shared" si="48"/>
        <v>1.9892846638501188E-6</v>
      </c>
      <c r="Q146" s="14">
        <f t="shared" si="48"/>
        <v>0</v>
      </c>
      <c r="R146" s="15">
        <f t="shared" si="48"/>
        <v>0</v>
      </c>
      <c r="S146" s="15">
        <f t="shared" si="48"/>
        <v>0</v>
      </c>
      <c r="T146" s="16">
        <f t="shared" si="48"/>
        <v>0</v>
      </c>
      <c r="U146" s="14">
        <f t="shared" si="48"/>
        <v>7.5173277041368589E-3</v>
      </c>
      <c r="V146" s="16">
        <f t="shared" si="48"/>
        <v>0.26051556661005637</v>
      </c>
      <c r="W146" s="14">
        <f t="shared" si="48"/>
        <v>1.732975020400022E-3</v>
      </c>
      <c r="X146" s="15">
        <f t="shared" si="48"/>
        <v>0</v>
      </c>
      <c r="Y146" s="16">
        <f t="shared" si="48"/>
        <v>7.0828278667772028E-3</v>
      </c>
      <c r="Z146" s="14">
        <f t="shared" si="48"/>
        <v>0.7124406744129661</v>
      </c>
      <c r="AA146" s="15">
        <f t="shared" si="48"/>
        <v>0</v>
      </c>
      <c r="AB146" s="16">
        <f t="shared" si="48"/>
        <v>0</v>
      </c>
      <c r="AC146" s="26">
        <f t="shared" si="42"/>
        <v>1.0485843641058784E-2</v>
      </c>
      <c r="AE146" s="17">
        <f>4085-AF146</f>
        <v>2536</v>
      </c>
      <c r="AF146" s="72">
        <v>1549</v>
      </c>
      <c r="AG146" s="76">
        <f t="shared" si="39"/>
        <v>3552.1148813280229</v>
      </c>
      <c r="AH146" s="18">
        <f t="shared" si="40"/>
        <v>2181.695871919525</v>
      </c>
    </row>
    <row r="147" spans="1:34" x14ac:dyDescent="0.3">
      <c r="A147" s="17" t="s">
        <v>47</v>
      </c>
      <c r="B147">
        <v>2021</v>
      </c>
      <c r="C147" s="73">
        <v>3127.8589999999999</v>
      </c>
      <c r="D147" s="14">
        <f t="shared" ref="D147:AB147" si="49">+((D43*$AH147)+(D84*$AG147))/SUM($AG147:$AH147)</f>
        <v>0</v>
      </c>
      <c r="E147" s="16">
        <f t="shared" si="49"/>
        <v>0</v>
      </c>
      <c r="F147" s="14">
        <f t="shared" si="49"/>
        <v>0</v>
      </c>
      <c r="G147" s="16">
        <f t="shared" si="49"/>
        <v>1.1743672098322926E-4</v>
      </c>
      <c r="H147" s="14">
        <f t="shared" si="49"/>
        <v>0</v>
      </c>
      <c r="I147" s="16">
        <f t="shared" si="49"/>
        <v>0</v>
      </c>
      <c r="J147" s="14">
        <f t="shared" si="49"/>
        <v>3.4832925715364671E-6</v>
      </c>
      <c r="K147" s="15">
        <f t="shared" si="49"/>
        <v>0</v>
      </c>
      <c r="L147" s="15">
        <f t="shared" si="49"/>
        <v>3.3364755099794569E-3</v>
      </c>
      <c r="M147" s="15">
        <f t="shared" si="49"/>
        <v>0</v>
      </c>
      <c r="N147" s="16">
        <f t="shared" si="49"/>
        <v>0</v>
      </c>
      <c r="O147" s="14">
        <f t="shared" si="49"/>
        <v>0</v>
      </c>
      <c r="P147" s="16">
        <f t="shared" si="49"/>
        <v>0</v>
      </c>
      <c r="Q147" s="14">
        <f t="shared" si="49"/>
        <v>0</v>
      </c>
      <c r="R147" s="15">
        <f t="shared" si="49"/>
        <v>0</v>
      </c>
      <c r="S147" s="15">
        <f t="shared" si="49"/>
        <v>0</v>
      </c>
      <c r="T147" s="16">
        <f t="shared" si="49"/>
        <v>0</v>
      </c>
      <c r="U147" s="14">
        <f t="shared" si="49"/>
        <v>6.7988501380505852E-3</v>
      </c>
      <c r="V147" s="16">
        <f t="shared" si="49"/>
        <v>4.0996678565326884E-2</v>
      </c>
      <c r="W147" s="14">
        <f t="shared" si="49"/>
        <v>9.5325677131331658E-4</v>
      </c>
      <c r="X147" s="15">
        <f t="shared" si="49"/>
        <v>0</v>
      </c>
      <c r="Y147" s="16">
        <f t="shared" si="49"/>
        <v>4.6256719166820901E-3</v>
      </c>
      <c r="Z147" s="14">
        <f t="shared" si="49"/>
        <v>0.94316814708509289</v>
      </c>
      <c r="AA147" s="15">
        <f t="shared" si="49"/>
        <v>0</v>
      </c>
      <c r="AB147" s="16">
        <f t="shared" si="49"/>
        <v>0</v>
      </c>
      <c r="AC147" s="26">
        <f t="shared" si="42"/>
        <v>3.4573955235342227E-3</v>
      </c>
      <c r="AE147" s="17">
        <f>4036-AF147</f>
        <v>896</v>
      </c>
      <c r="AF147" s="72">
        <v>3140</v>
      </c>
      <c r="AG147" s="76">
        <f t="shared" si="39"/>
        <v>948.49013642727823</v>
      </c>
      <c r="AH147" s="18">
        <f t="shared" si="40"/>
        <v>3330.7044191495338</v>
      </c>
    </row>
    <row r="148" spans="1:34" x14ac:dyDescent="0.3">
      <c r="A148" s="17" t="s">
        <v>47</v>
      </c>
      <c r="B148">
        <v>2022</v>
      </c>
      <c r="C148" s="73">
        <v>4012.46</v>
      </c>
      <c r="D148" s="14">
        <f t="shared" ref="D148:AB148" si="50">+((D44*$AH148)+(D85*$AG148))/SUM($AG148:$AH148)</f>
        <v>6.3553702583373607E-5</v>
      </c>
      <c r="E148" s="16">
        <f t="shared" si="50"/>
        <v>0</v>
      </c>
      <c r="F148" s="14">
        <f t="shared" si="50"/>
        <v>0</v>
      </c>
      <c r="G148" s="16">
        <f t="shared" si="50"/>
        <v>1.665405472282021E-3</v>
      </c>
      <c r="H148" s="14">
        <f t="shared" si="50"/>
        <v>3.1403005982372865E-5</v>
      </c>
      <c r="I148" s="16">
        <f t="shared" si="50"/>
        <v>5.8047946522186816E-5</v>
      </c>
      <c r="J148" s="14">
        <f t="shared" si="50"/>
        <v>4.0365434260433942E-3</v>
      </c>
      <c r="K148" s="15">
        <f t="shared" si="50"/>
        <v>0</v>
      </c>
      <c r="L148" s="15">
        <f t="shared" si="50"/>
        <v>1.8336320386619003E-3</v>
      </c>
      <c r="M148" s="15">
        <f t="shared" si="50"/>
        <v>0</v>
      </c>
      <c r="N148" s="16">
        <f t="shared" si="50"/>
        <v>0</v>
      </c>
      <c r="O148" s="14">
        <f t="shared" si="50"/>
        <v>0</v>
      </c>
      <c r="P148" s="16">
        <f t="shared" si="50"/>
        <v>0</v>
      </c>
      <c r="Q148" s="14">
        <f t="shared" si="50"/>
        <v>0</v>
      </c>
      <c r="R148" s="15">
        <f t="shared" si="50"/>
        <v>0</v>
      </c>
      <c r="S148" s="15">
        <f t="shared" si="50"/>
        <v>0</v>
      </c>
      <c r="T148" s="16">
        <f t="shared" si="50"/>
        <v>2.2095556224126724E-3</v>
      </c>
      <c r="U148" s="14">
        <f t="shared" si="50"/>
        <v>3.075479817987857E-3</v>
      </c>
      <c r="V148" s="16">
        <f t="shared" si="50"/>
        <v>1.2244254025364157E-2</v>
      </c>
      <c r="W148" s="14">
        <f t="shared" si="50"/>
        <v>2.5944864466389016E-4</v>
      </c>
      <c r="X148" s="15">
        <f t="shared" si="50"/>
        <v>0</v>
      </c>
      <c r="Y148" s="16">
        <f t="shared" si="50"/>
        <v>5.3263166812987936E-3</v>
      </c>
      <c r="Z148" s="14">
        <f t="shared" si="50"/>
        <v>0.96894712940998828</v>
      </c>
      <c r="AA148" s="15">
        <f t="shared" si="50"/>
        <v>0</v>
      </c>
      <c r="AB148" s="16">
        <f t="shared" si="50"/>
        <v>2.492302062093085E-4</v>
      </c>
      <c r="AC148" s="26">
        <f t="shared" si="42"/>
        <v>7.6250318894918751E-3</v>
      </c>
      <c r="AE148" s="17">
        <f>7488-AF148</f>
        <v>3298</v>
      </c>
      <c r="AF148" s="72">
        <v>4190</v>
      </c>
      <c r="AG148" s="76">
        <f t="shared" si="39"/>
        <v>3401.346875566277</v>
      </c>
      <c r="AH148" s="18">
        <f t="shared" si="40"/>
        <v>4326.6289579135091</v>
      </c>
    </row>
    <row r="149" spans="1:34" x14ac:dyDescent="0.3">
      <c r="A149" s="17" t="s">
        <v>47</v>
      </c>
      <c r="B149">
        <v>2023</v>
      </c>
      <c r="C149" s="73">
        <v>2936.1239999999998</v>
      </c>
      <c r="D149" s="14">
        <f t="shared" ref="D149:AB149" si="51">+((D45*$AH149)+(D86*$AG149))/SUM($AG149:$AH149)</f>
        <v>6.3650949390788513E-4</v>
      </c>
      <c r="E149" s="16">
        <f t="shared" si="51"/>
        <v>0</v>
      </c>
      <c r="F149" s="14">
        <f t="shared" si="51"/>
        <v>0</v>
      </c>
      <c r="G149" s="16">
        <f t="shared" si="51"/>
        <v>2.6040924252800305E-3</v>
      </c>
      <c r="H149" s="14">
        <f t="shared" si="51"/>
        <v>5.3984174189192799E-4</v>
      </c>
      <c r="I149" s="16">
        <f t="shared" si="51"/>
        <v>2.2731670292633196E-3</v>
      </c>
      <c r="J149" s="14">
        <f t="shared" si="51"/>
        <v>8.7737779171359609E-3</v>
      </c>
      <c r="K149" s="15">
        <f t="shared" si="51"/>
        <v>1.3928078043573726E-5</v>
      </c>
      <c r="L149" s="15">
        <f t="shared" si="51"/>
        <v>3.7298198103182523E-3</v>
      </c>
      <c r="M149" s="15">
        <f t="shared" si="51"/>
        <v>0</v>
      </c>
      <c r="N149" s="16">
        <f t="shared" si="51"/>
        <v>0</v>
      </c>
      <c r="O149" s="14">
        <f t="shared" si="51"/>
        <v>0</v>
      </c>
      <c r="P149" s="16">
        <f t="shared" si="51"/>
        <v>0</v>
      </c>
      <c r="Q149" s="14">
        <f t="shared" si="51"/>
        <v>0</v>
      </c>
      <c r="R149" s="15">
        <f t="shared" si="51"/>
        <v>0</v>
      </c>
      <c r="S149" s="15">
        <f t="shared" si="51"/>
        <v>0</v>
      </c>
      <c r="T149" s="16">
        <f t="shared" si="51"/>
        <v>0</v>
      </c>
      <c r="U149" s="14">
        <f t="shared" si="51"/>
        <v>8.6647615534475638E-3</v>
      </c>
      <c r="V149" s="16">
        <f t="shared" si="51"/>
        <v>1.4646865370364619E-2</v>
      </c>
      <c r="W149" s="14">
        <f t="shared" si="51"/>
        <v>3.6302621247144336E-3</v>
      </c>
      <c r="X149" s="15">
        <f t="shared" si="51"/>
        <v>0</v>
      </c>
      <c r="Y149" s="16">
        <f t="shared" si="51"/>
        <v>9.2513625914475706E-3</v>
      </c>
      <c r="Z149" s="14">
        <f t="shared" si="51"/>
        <v>0.94523561186418514</v>
      </c>
      <c r="AA149" s="15">
        <f t="shared" si="51"/>
        <v>0</v>
      </c>
      <c r="AB149" s="16">
        <f t="shared" si="51"/>
        <v>0</v>
      </c>
      <c r="AC149" s="26">
        <f t="shared" si="42"/>
        <v>1.7934627001933066E-2</v>
      </c>
      <c r="AE149" s="17">
        <f>4500-AF149</f>
        <v>1535</v>
      </c>
      <c r="AF149" s="72">
        <v>2965</v>
      </c>
      <c r="AG149" s="76">
        <f t="shared" si="39"/>
        <v>1617.7223997975577</v>
      </c>
      <c r="AH149" s="18">
        <f t="shared" si="40"/>
        <v>3142.9953974563359</v>
      </c>
    </row>
    <row r="150" spans="1:34" ht="15" thickBot="1" x14ac:dyDescent="0.35">
      <c r="A150" s="4" t="s">
        <v>47</v>
      </c>
      <c r="B150" s="5">
        <v>2024</v>
      </c>
      <c r="C150" s="74">
        <v>1598.6020000000001</v>
      </c>
      <c r="D150" s="20">
        <f t="shared" ref="D150:AB150" si="52">+((D46*$AH150)+(D87*$AG150))/SUM($AG150:$AH150)</f>
        <v>0</v>
      </c>
      <c r="E150" s="21">
        <f t="shared" si="52"/>
        <v>0</v>
      </c>
      <c r="F150" s="20">
        <f t="shared" si="52"/>
        <v>0</v>
      </c>
      <c r="G150" s="21">
        <f t="shared" si="52"/>
        <v>0</v>
      </c>
      <c r="H150" s="20">
        <f t="shared" si="52"/>
        <v>0</v>
      </c>
      <c r="I150" s="21">
        <f t="shared" si="52"/>
        <v>0</v>
      </c>
      <c r="J150" s="20">
        <f t="shared" si="52"/>
        <v>2.0459516199141707E-2</v>
      </c>
      <c r="K150" s="22">
        <f t="shared" si="52"/>
        <v>8.3935051453456564E-3</v>
      </c>
      <c r="L150" s="22">
        <f t="shared" si="52"/>
        <v>9.7669040526687356E-3</v>
      </c>
      <c r="M150" s="22">
        <f t="shared" si="52"/>
        <v>0</v>
      </c>
      <c r="N150" s="21">
        <f t="shared" si="52"/>
        <v>0</v>
      </c>
      <c r="O150" s="20">
        <f t="shared" si="52"/>
        <v>0</v>
      </c>
      <c r="P150" s="21">
        <f t="shared" si="52"/>
        <v>0</v>
      </c>
      <c r="Q150" s="20">
        <f t="shared" si="52"/>
        <v>0</v>
      </c>
      <c r="R150" s="22">
        <f t="shared" si="52"/>
        <v>0</v>
      </c>
      <c r="S150" s="22">
        <f t="shared" si="52"/>
        <v>0</v>
      </c>
      <c r="T150" s="21">
        <f t="shared" si="52"/>
        <v>4.7648742354503048E-3</v>
      </c>
      <c r="U150" s="20">
        <f t="shared" si="52"/>
        <v>2.2789924323152974E-3</v>
      </c>
      <c r="V150" s="21">
        <f t="shared" si="52"/>
        <v>4.6028604856828761E-2</v>
      </c>
      <c r="W150" s="20">
        <f t="shared" si="52"/>
        <v>4.185805647484003E-3</v>
      </c>
      <c r="X150" s="22">
        <f t="shared" si="52"/>
        <v>0</v>
      </c>
      <c r="Y150" s="21">
        <f t="shared" si="52"/>
        <v>3.1979351780158836E-3</v>
      </c>
      <c r="Z150" s="20">
        <f t="shared" si="52"/>
        <v>0.90092386225274934</v>
      </c>
      <c r="AA150" s="22">
        <f t="shared" si="52"/>
        <v>0</v>
      </c>
      <c r="AB150" s="21">
        <f t="shared" si="52"/>
        <v>0</v>
      </c>
      <c r="AC150" s="27">
        <f t="shared" si="42"/>
        <v>3.8619925397156099E-2</v>
      </c>
      <c r="AE150" s="4">
        <f>2091-AF150</f>
        <v>633</v>
      </c>
      <c r="AF150" s="5">
        <v>1458</v>
      </c>
      <c r="AG150" s="77">
        <f t="shared" si="39"/>
        <v>699.03091104521343</v>
      </c>
      <c r="AH150" s="19">
        <f t="shared" si="40"/>
        <v>1621.9199346472067</v>
      </c>
    </row>
  </sheetData>
  <mergeCells count="46">
    <mergeCell ref="AC8:AC9"/>
    <mergeCell ref="D8:I8"/>
    <mergeCell ref="J8:Y8"/>
    <mergeCell ref="Z8:AB9"/>
    <mergeCell ref="D9:E9"/>
    <mergeCell ref="F9:G9"/>
    <mergeCell ref="H9:I9"/>
    <mergeCell ref="J9:N9"/>
    <mergeCell ref="O9:P9"/>
    <mergeCell ref="Q9:V9"/>
    <mergeCell ref="W9:Y9"/>
    <mergeCell ref="D49:I49"/>
    <mergeCell ref="J49:Y49"/>
    <mergeCell ref="Z49:AB50"/>
    <mergeCell ref="AC49:AC50"/>
    <mergeCell ref="D50:E50"/>
    <mergeCell ref="F50:G50"/>
    <mergeCell ref="H50:I50"/>
    <mergeCell ref="J50:N50"/>
    <mergeCell ref="D136:I136"/>
    <mergeCell ref="J136:Y136"/>
    <mergeCell ref="Z136:AB137"/>
    <mergeCell ref="O96:P96"/>
    <mergeCell ref="Q96:V96"/>
    <mergeCell ref="W96:Y96"/>
    <mergeCell ref="Q137:V137"/>
    <mergeCell ref="W137:Y137"/>
    <mergeCell ref="O50:P50"/>
    <mergeCell ref="Q50:V50"/>
    <mergeCell ref="W50:Y50"/>
    <mergeCell ref="AE136:AF137"/>
    <mergeCell ref="AG136:AH137"/>
    <mergeCell ref="D95:I95"/>
    <mergeCell ref="J95:Y95"/>
    <mergeCell ref="Z95:AB96"/>
    <mergeCell ref="AC95:AC96"/>
    <mergeCell ref="D96:E96"/>
    <mergeCell ref="F96:G96"/>
    <mergeCell ref="H96:I96"/>
    <mergeCell ref="J96:N96"/>
    <mergeCell ref="AC136:AC137"/>
    <mergeCell ref="D137:E137"/>
    <mergeCell ref="F137:G137"/>
    <mergeCell ref="H137:I137"/>
    <mergeCell ref="J137:N137"/>
    <mergeCell ref="O137:P137"/>
  </mergeCells>
  <conditionalFormatting sqref="D98:AC133">
    <cfRule type="colorScale" priority="2">
      <colorScale>
        <cfvo type="min"/>
        <cfvo type="percentile" val="50"/>
        <cfvo type="max"/>
        <color rgb="FFF8696B"/>
        <color rgb="FFFCFCFF"/>
        <color rgb="FF63BE7B"/>
      </colorScale>
    </cfRule>
  </conditionalFormatting>
  <conditionalFormatting sqref="C98:C133">
    <cfRule type="colorScale" priority="1">
      <colorScale>
        <cfvo type="min"/>
        <cfvo type="percentile" val="50"/>
        <cfvo type="max"/>
        <color rgb="FFF8696B"/>
        <color rgb="FFFCFCFF"/>
        <color rgb="FF63BE7B"/>
      </colorScale>
    </cfRule>
  </conditionalFormatting>
  <pageMargins left="0.7" right="0.7" top="0.75" bottom="0.75" header="0.3" footer="0.3"/>
  <headerFooter>
    <oddHeader>&amp;R&amp;"Calibri"&amp;12&amp;K000000 Unclassified - Non-Classifié&amp;1#_x000D_</oddHead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C4B7-222C-4AA8-BE32-C5D000F62F4E}">
  <dimension ref="A1:AC136"/>
  <sheetViews>
    <sheetView zoomScale="70" zoomScaleNormal="70" workbookViewId="0"/>
  </sheetViews>
  <sheetFormatPr defaultRowHeight="14.4" x14ac:dyDescent="0.3"/>
  <cols>
    <col min="11" max="11" width="11.33203125" customWidth="1"/>
    <col min="17" max="17" width="10.77734375" customWidth="1"/>
    <col min="18" max="18" width="10.6640625" customWidth="1"/>
    <col min="19" max="19" width="11.33203125" customWidth="1"/>
    <col min="20" max="20" width="10.6640625" customWidth="1"/>
    <col min="21" max="21" width="12.77734375" customWidth="1"/>
    <col min="26" max="26" width="13" customWidth="1"/>
    <col min="27" max="27" width="10.109375" customWidth="1"/>
    <col min="29" max="29" width="12.77734375" customWidth="1"/>
  </cols>
  <sheetData>
    <row r="1" spans="1:29" x14ac:dyDescent="0.3">
      <c r="A1" t="s">
        <v>86</v>
      </c>
    </row>
    <row r="2" spans="1:29" x14ac:dyDescent="0.3">
      <c r="A2" t="s">
        <v>30</v>
      </c>
    </row>
    <row r="3" spans="1:29" x14ac:dyDescent="0.3">
      <c r="A3" t="s">
        <v>0</v>
      </c>
    </row>
    <row r="4" spans="1:29" x14ac:dyDescent="0.3">
      <c r="A4" t="s">
        <v>83</v>
      </c>
    </row>
    <row r="5" spans="1:29" x14ac:dyDescent="0.3">
      <c r="A5" t="s">
        <v>1</v>
      </c>
    </row>
    <row r="7" spans="1:29" ht="15" thickBot="1" x14ac:dyDescent="0.35">
      <c r="A7" t="s">
        <v>70</v>
      </c>
    </row>
    <row r="8" spans="1:29" ht="15" thickBot="1" x14ac:dyDescent="0.35">
      <c r="A8" s="1"/>
      <c r="B8" s="2"/>
      <c r="C8" s="3"/>
      <c r="D8" s="88" t="s">
        <v>2</v>
      </c>
      <c r="E8" s="89"/>
      <c r="F8" s="89"/>
      <c r="G8" s="89"/>
      <c r="H8" s="89"/>
      <c r="I8" s="90"/>
      <c r="J8" s="88" t="s">
        <v>3</v>
      </c>
      <c r="K8" s="89"/>
      <c r="L8" s="89"/>
      <c r="M8" s="89"/>
      <c r="N8" s="89"/>
      <c r="O8" s="89"/>
      <c r="P8" s="89"/>
      <c r="Q8" s="89"/>
      <c r="R8" s="89"/>
      <c r="S8" s="89"/>
      <c r="T8" s="89"/>
      <c r="U8" s="89"/>
      <c r="V8" s="89"/>
      <c r="W8" s="89"/>
      <c r="X8" s="89"/>
      <c r="Y8" s="90"/>
      <c r="Z8" s="91" t="s">
        <v>4</v>
      </c>
      <c r="AA8" s="92"/>
      <c r="AB8" s="93"/>
      <c r="AC8" s="97" t="s">
        <v>38</v>
      </c>
    </row>
    <row r="9" spans="1:29" ht="15" customHeight="1" thickBot="1" x14ac:dyDescent="0.35">
      <c r="A9" s="4"/>
      <c r="B9" s="5"/>
      <c r="C9" s="6"/>
      <c r="D9" s="85" t="s">
        <v>5</v>
      </c>
      <c r="E9" s="86"/>
      <c r="F9" s="85" t="s">
        <v>6</v>
      </c>
      <c r="G9" s="86"/>
      <c r="H9" s="85" t="s">
        <v>7</v>
      </c>
      <c r="I9" s="86"/>
      <c r="J9" s="85" t="s">
        <v>8</v>
      </c>
      <c r="K9" s="87"/>
      <c r="L9" s="87"/>
      <c r="M9" s="87"/>
      <c r="N9" s="86"/>
      <c r="O9" s="85" t="s">
        <v>9</v>
      </c>
      <c r="P9" s="86"/>
      <c r="Q9" s="85" t="s">
        <v>10</v>
      </c>
      <c r="R9" s="87"/>
      <c r="S9" s="87"/>
      <c r="T9" s="87"/>
      <c r="U9" s="87"/>
      <c r="V9" s="86"/>
      <c r="W9" s="85" t="s">
        <v>11</v>
      </c>
      <c r="X9" s="87"/>
      <c r="Y9" s="86"/>
      <c r="Z9" s="94"/>
      <c r="AA9" s="95"/>
      <c r="AB9" s="96"/>
      <c r="AC9" s="98"/>
    </row>
    <row r="10" spans="1:29" ht="43.8" thickBot="1" x14ac:dyDescent="0.35">
      <c r="A10" s="7" t="s">
        <v>12</v>
      </c>
      <c r="B10" s="8" t="s">
        <v>27</v>
      </c>
      <c r="C10" s="9" t="s">
        <v>13</v>
      </c>
      <c r="D10" s="7" t="s">
        <v>14</v>
      </c>
      <c r="E10" s="9" t="s">
        <v>15</v>
      </c>
      <c r="F10" s="7" t="s">
        <v>16</v>
      </c>
      <c r="G10" s="9" t="s">
        <v>17</v>
      </c>
      <c r="H10" s="7" t="s">
        <v>18</v>
      </c>
      <c r="I10" s="9" t="s">
        <v>19</v>
      </c>
      <c r="J10" s="7" t="s">
        <v>20</v>
      </c>
      <c r="K10" s="8" t="s">
        <v>21</v>
      </c>
      <c r="L10" s="8" t="s">
        <v>22</v>
      </c>
      <c r="M10" s="8" t="s">
        <v>7</v>
      </c>
      <c r="N10" s="9" t="s">
        <v>6</v>
      </c>
      <c r="O10" s="31" t="s">
        <v>40</v>
      </c>
      <c r="P10" s="31" t="s">
        <v>42</v>
      </c>
      <c r="Q10" s="7" t="s">
        <v>23</v>
      </c>
      <c r="R10" s="8" t="s">
        <v>60</v>
      </c>
      <c r="S10" s="8" t="s">
        <v>24</v>
      </c>
      <c r="T10" s="8" t="s">
        <v>25</v>
      </c>
      <c r="U10" s="7" t="s">
        <v>44</v>
      </c>
      <c r="V10" s="31" t="s">
        <v>62</v>
      </c>
      <c r="W10" s="7" t="s">
        <v>36</v>
      </c>
      <c r="X10" s="8" t="s">
        <v>35</v>
      </c>
      <c r="Y10" s="9" t="s">
        <v>43</v>
      </c>
      <c r="Z10" s="7" t="s">
        <v>4</v>
      </c>
      <c r="AA10" s="8" t="s">
        <v>28</v>
      </c>
      <c r="AB10" s="9" t="s">
        <v>29</v>
      </c>
      <c r="AC10" s="30" t="s">
        <v>37</v>
      </c>
    </row>
    <row r="11" spans="1:29" x14ac:dyDescent="0.3">
      <c r="A11" s="17" t="s">
        <v>49</v>
      </c>
      <c r="B11">
        <v>1988</v>
      </c>
      <c r="C11" s="18">
        <v>2069.692</v>
      </c>
      <c r="D11" s="14">
        <v>7.6247093770474103E-2</v>
      </c>
      <c r="E11" s="16">
        <v>2.8468003934885001E-3</v>
      </c>
      <c r="F11" s="14">
        <v>9.5792997218909895E-2</v>
      </c>
      <c r="G11" s="16">
        <v>2.9183086179006301E-3</v>
      </c>
      <c r="H11" s="14">
        <v>5.0250955214592302E-2</v>
      </c>
      <c r="I11" s="16">
        <v>6.94789369626012E-4</v>
      </c>
      <c r="J11" s="14">
        <v>1.4718615136938199E-2</v>
      </c>
      <c r="K11" s="15">
        <v>8.7075758132127892E-3</v>
      </c>
      <c r="L11" s="15">
        <v>5.16115441331367E-3</v>
      </c>
      <c r="M11" s="15">
        <v>0</v>
      </c>
      <c r="N11" s="16">
        <v>2.1017620013026101E-4</v>
      </c>
      <c r="O11" s="14">
        <v>3.0263440164043701E-2</v>
      </c>
      <c r="P11" s="16">
        <v>1.6643539231924399E-2</v>
      </c>
      <c r="Q11" s="14">
        <v>5.3405671539166573E-3</v>
      </c>
      <c r="R11" s="15">
        <v>6.0120117670783256E-3</v>
      </c>
      <c r="S11" s="15">
        <v>3.3365632315572151E-3</v>
      </c>
      <c r="T11" s="15">
        <v>0</v>
      </c>
      <c r="U11" s="14">
        <v>3.6509546801417554E-2</v>
      </c>
      <c r="V11" s="16">
        <v>1.8358037360863635E-2</v>
      </c>
      <c r="W11" s="14">
        <v>0</v>
      </c>
      <c r="X11" s="15">
        <v>1.5315805443515299E-2</v>
      </c>
      <c r="Y11" s="16">
        <v>2.6685129961366199E-3</v>
      </c>
      <c r="Z11" s="14">
        <v>0.60580511496396605</v>
      </c>
      <c r="AA11" s="15">
        <v>2.1983947369946799E-3</v>
      </c>
      <c r="AB11" s="16">
        <v>0</v>
      </c>
      <c r="AC11" s="26">
        <f t="shared" ref="AC11:AC47" si="0">SUM(F11:P11)</f>
        <v>0.22536155138059186</v>
      </c>
    </row>
    <row r="12" spans="1:29" x14ac:dyDescent="0.3">
      <c r="A12" s="17" t="s">
        <v>49</v>
      </c>
      <c r="B12">
        <v>1989</v>
      </c>
      <c r="C12" s="18">
        <v>1734.5219999999999</v>
      </c>
      <c r="D12" s="14">
        <v>6.8013550707341899E-2</v>
      </c>
      <c r="E12" s="16">
        <v>3.92817156542263E-2</v>
      </c>
      <c r="F12" s="14">
        <v>7.8853424747567305E-2</v>
      </c>
      <c r="G12" s="16">
        <v>2.88263855978765E-6</v>
      </c>
      <c r="H12" s="14">
        <v>1.2296183040630199E-2</v>
      </c>
      <c r="I12" s="16">
        <v>4.0356939837027096E-6</v>
      </c>
      <c r="J12" s="14">
        <v>2.3061108478301201E-6</v>
      </c>
      <c r="K12" s="15">
        <v>1.3317790146219E-4</v>
      </c>
      <c r="L12" s="15">
        <v>4.0748978681158302E-3</v>
      </c>
      <c r="M12" s="15">
        <v>0</v>
      </c>
      <c r="N12" s="16">
        <v>2.3061108478301201E-6</v>
      </c>
      <c r="O12" s="14">
        <v>7.5010867547370394E-2</v>
      </c>
      <c r="P12" s="16">
        <v>6.6075841067452599E-3</v>
      </c>
      <c r="Q12" s="14">
        <v>0</v>
      </c>
      <c r="R12" s="15">
        <v>4.1169843910887297E-3</v>
      </c>
      <c r="S12" s="15">
        <v>0</v>
      </c>
      <c r="T12" s="15">
        <v>0</v>
      </c>
      <c r="U12" s="14">
        <v>5.2295350683824404E-2</v>
      </c>
      <c r="V12" s="16">
        <v>4.2372271675951909E-3</v>
      </c>
      <c r="W12" s="14">
        <v>0</v>
      </c>
      <c r="X12" s="15">
        <v>1.3272244456974299E-2</v>
      </c>
      <c r="Y12" s="16">
        <v>1.37674817615458E-3</v>
      </c>
      <c r="Z12" s="14">
        <v>0.64041851299666397</v>
      </c>
      <c r="AA12" s="15">
        <v>0</v>
      </c>
      <c r="AB12" s="16">
        <v>0</v>
      </c>
      <c r="AC12" s="26">
        <f t="shared" si="0"/>
        <v>0.17698766576613031</v>
      </c>
    </row>
    <row r="13" spans="1:29" x14ac:dyDescent="0.3">
      <c r="A13" s="17" t="s">
        <v>49</v>
      </c>
      <c r="B13">
        <v>1990</v>
      </c>
      <c r="C13" s="18">
        <v>1242.2940000000001</v>
      </c>
      <c r="D13" s="14">
        <v>0.27446240583951897</v>
      </c>
      <c r="E13" s="16">
        <v>8.0528441737624107E-3</v>
      </c>
      <c r="F13" s="14">
        <v>0.18948091192583999</v>
      </c>
      <c r="G13" s="16">
        <v>3.7004123017578801E-3</v>
      </c>
      <c r="H13" s="14">
        <v>3.6693407518671103E-2</v>
      </c>
      <c r="I13" s="16">
        <v>3.1188269443465099E-2</v>
      </c>
      <c r="J13" s="14">
        <v>8.7604061518448892E-3</v>
      </c>
      <c r="K13" s="15">
        <v>7.4056543781101701E-5</v>
      </c>
      <c r="L13" s="15">
        <v>7.5763064137796699E-3</v>
      </c>
      <c r="M13" s="15">
        <v>0</v>
      </c>
      <c r="N13" s="16">
        <v>8.7402820910348102E-3</v>
      </c>
      <c r="O13" s="14">
        <v>3.25760246769283E-2</v>
      </c>
      <c r="P13" s="16">
        <v>1.8575313090138101E-2</v>
      </c>
      <c r="Q13" s="14">
        <v>0</v>
      </c>
      <c r="R13" s="15">
        <v>1.55494593067342E-2</v>
      </c>
      <c r="S13" s="15">
        <v>0</v>
      </c>
      <c r="T13" s="15">
        <v>0</v>
      </c>
      <c r="U13" s="14">
        <v>5.4659594266521137E-2</v>
      </c>
      <c r="V13" s="16">
        <v>2.3290552800115296E-2</v>
      </c>
      <c r="W13" s="14">
        <v>0</v>
      </c>
      <c r="X13" s="15">
        <v>0</v>
      </c>
      <c r="Y13" s="16">
        <v>4.5770163906450499E-3</v>
      </c>
      <c r="Z13" s="14">
        <v>0.27031443442534497</v>
      </c>
      <c r="AA13" s="15">
        <v>1.17283026401158E-2</v>
      </c>
      <c r="AB13" s="16">
        <v>0</v>
      </c>
      <c r="AC13" s="26">
        <f t="shared" si="0"/>
        <v>0.33736539015724093</v>
      </c>
    </row>
    <row r="14" spans="1:29" x14ac:dyDescent="0.3">
      <c r="A14" s="17" t="s">
        <v>49</v>
      </c>
      <c r="B14">
        <v>1991</v>
      </c>
      <c r="C14" s="18">
        <v>622.88699999999994</v>
      </c>
      <c r="D14" s="14">
        <v>0.33414889056923702</v>
      </c>
      <c r="E14" s="16">
        <v>7.0462218668875696E-3</v>
      </c>
      <c r="F14" s="14">
        <v>0.21450921274645299</v>
      </c>
      <c r="G14" s="16">
        <v>4.9768256521648402E-3</v>
      </c>
      <c r="H14" s="14">
        <v>3.2338128745663303E-2</v>
      </c>
      <c r="I14" s="16">
        <v>1.6054276297305899E-6</v>
      </c>
      <c r="J14" s="14">
        <v>4.9254519680134601E-3</v>
      </c>
      <c r="K14" s="15">
        <v>8.9711295949345595E-3</v>
      </c>
      <c r="L14" s="15">
        <v>5.4584539410840198E-5</v>
      </c>
      <c r="M14" s="15">
        <v>0</v>
      </c>
      <c r="N14" s="16">
        <v>0</v>
      </c>
      <c r="O14" s="14">
        <v>6.7907983309974398E-2</v>
      </c>
      <c r="P14" s="16">
        <v>1.53880238309677E-2</v>
      </c>
      <c r="Q14" s="14">
        <v>7.0028753208848504E-3</v>
      </c>
      <c r="R14" s="15">
        <v>0</v>
      </c>
      <c r="S14" s="15">
        <v>0</v>
      </c>
      <c r="T14" s="15">
        <v>0</v>
      </c>
      <c r="U14" s="14">
        <v>3.3890294901969403E-2</v>
      </c>
      <c r="V14" s="16">
        <v>1.8491597800880392E-2</v>
      </c>
      <c r="W14" s="14">
        <v>0</v>
      </c>
      <c r="X14" s="15">
        <v>3.3095890586896201E-2</v>
      </c>
      <c r="Y14" s="16">
        <v>4.8162828891917801E-6</v>
      </c>
      <c r="Z14" s="14">
        <v>0.21522362804168299</v>
      </c>
      <c r="AA14" s="15">
        <v>2.0228388134605501E-3</v>
      </c>
      <c r="AB14" s="16">
        <v>0</v>
      </c>
      <c r="AC14" s="26">
        <f t="shared" si="0"/>
        <v>0.34907294581521181</v>
      </c>
    </row>
    <row r="15" spans="1:29" x14ac:dyDescent="0.3">
      <c r="A15" s="17" t="s">
        <v>49</v>
      </c>
      <c r="B15">
        <v>1992</v>
      </c>
      <c r="C15" s="18">
        <v>335.72399999999999</v>
      </c>
      <c r="D15" s="14">
        <v>0.13208766725047999</v>
      </c>
      <c r="E15" s="16">
        <v>6.6066173404343998E-3</v>
      </c>
      <c r="F15" s="14">
        <v>0.20005718983450699</v>
      </c>
      <c r="G15" s="16">
        <v>5.4181410920875498E-3</v>
      </c>
      <c r="H15" s="14">
        <v>6.145226436001E-2</v>
      </c>
      <c r="I15" s="16">
        <v>0</v>
      </c>
      <c r="J15" s="14">
        <v>1.87386067126568E-2</v>
      </c>
      <c r="K15" s="15">
        <v>1.0508632090645899E-2</v>
      </c>
      <c r="L15" s="15">
        <v>1.63229319321824E-2</v>
      </c>
      <c r="M15" s="15">
        <v>0</v>
      </c>
      <c r="N15" s="16">
        <v>0</v>
      </c>
      <c r="O15" s="14">
        <v>6.0609310028475798E-2</v>
      </c>
      <c r="P15" s="16">
        <v>8.0423204775351198E-2</v>
      </c>
      <c r="Q15" s="14">
        <v>0</v>
      </c>
      <c r="R15" s="15">
        <v>3.8180171807794497E-2</v>
      </c>
      <c r="S15" s="15">
        <v>0</v>
      </c>
      <c r="T15" s="15">
        <v>0</v>
      </c>
      <c r="U15" s="14">
        <v>3.0029348084710542E-2</v>
      </c>
      <c r="V15" s="16">
        <v>1.3250250633283955E-2</v>
      </c>
      <c r="W15" s="14">
        <v>4.0509466109065801E-4</v>
      </c>
      <c r="X15" s="15">
        <v>9.8295028058762501E-5</v>
      </c>
      <c r="Y15" s="16">
        <v>1.3234085141366101E-2</v>
      </c>
      <c r="Z15" s="14">
        <v>0.31257818922686498</v>
      </c>
      <c r="AA15" s="15">
        <v>0</v>
      </c>
      <c r="AB15" s="16">
        <v>0</v>
      </c>
      <c r="AC15" s="26">
        <f t="shared" si="0"/>
        <v>0.45353028082591668</v>
      </c>
    </row>
    <row r="16" spans="1:29" x14ac:dyDescent="0.3">
      <c r="A16" s="17" t="s">
        <v>49</v>
      </c>
      <c r="B16">
        <v>1993</v>
      </c>
      <c r="C16" s="18">
        <v>493.09699999999998</v>
      </c>
      <c r="D16" s="14">
        <v>0.115127449568746</v>
      </c>
      <c r="E16" s="16">
        <v>1.8677866626647499E-2</v>
      </c>
      <c r="F16" s="14">
        <v>0.13752669353088701</v>
      </c>
      <c r="G16" s="16">
        <v>1.1194551984700801E-3</v>
      </c>
      <c r="H16" s="14">
        <v>9.2363165867973204E-2</v>
      </c>
      <c r="I16" s="16">
        <v>0</v>
      </c>
      <c r="J16" s="14">
        <v>3.58347343423302E-3</v>
      </c>
      <c r="K16" s="15">
        <v>9.3389333133237495E-3</v>
      </c>
      <c r="L16" s="15">
        <v>3.1839577202862703E-4</v>
      </c>
      <c r="M16" s="15">
        <v>0</v>
      </c>
      <c r="N16" s="16">
        <v>8.8420736690752501E-4</v>
      </c>
      <c r="O16" s="14">
        <v>7.48331464194672E-2</v>
      </c>
      <c r="P16" s="16">
        <v>3.1987621096863303E-2</v>
      </c>
      <c r="Q16" s="14">
        <v>0</v>
      </c>
      <c r="R16" s="15">
        <v>3.2518956716427003E-2</v>
      </c>
      <c r="S16" s="15">
        <v>0</v>
      </c>
      <c r="T16" s="15">
        <v>0</v>
      </c>
      <c r="U16" s="14">
        <v>6.1604283080263625E-2</v>
      </c>
      <c r="V16" s="16">
        <v>2.2367024796279975E-2</v>
      </c>
      <c r="W16" s="14">
        <v>3.4638215199037899E-3</v>
      </c>
      <c r="X16" s="15">
        <v>2.23079840274834E-5</v>
      </c>
      <c r="Y16" s="16">
        <v>0</v>
      </c>
      <c r="Z16" s="14">
        <v>0.39426319770754997</v>
      </c>
      <c r="AA16" s="15">
        <v>0</v>
      </c>
      <c r="AB16" s="16">
        <v>0</v>
      </c>
      <c r="AC16" s="26">
        <f t="shared" si="0"/>
        <v>0.35195509200015379</v>
      </c>
    </row>
    <row r="17" spans="1:29" x14ac:dyDescent="0.3">
      <c r="A17" s="17" t="s">
        <v>49</v>
      </c>
      <c r="B17">
        <v>1994</v>
      </c>
      <c r="C17" s="18">
        <v>996.3</v>
      </c>
      <c r="D17" s="14">
        <v>0.10006925624811799</v>
      </c>
      <c r="E17" s="16">
        <v>1.18277627220717E-2</v>
      </c>
      <c r="F17" s="14">
        <v>0.16090635350797999</v>
      </c>
      <c r="G17" s="16">
        <v>1.6237077185586701E-2</v>
      </c>
      <c r="H17" s="14">
        <v>7.4761617986550205E-2</v>
      </c>
      <c r="I17" s="16">
        <v>2.9308441232560502E-4</v>
      </c>
      <c r="J17" s="14">
        <v>4.3169727993576197E-3</v>
      </c>
      <c r="K17" s="15">
        <v>1.0946502057613199E-2</v>
      </c>
      <c r="L17" s="15">
        <v>4.0821037840008002E-3</v>
      </c>
      <c r="M17" s="15">
        <v>0</v>
      </c>
      <c r="N17" s="16">
        <v>5.7412425976111601E-4</v>
      </c>
      <c r="O17" s="14">
        <v>5.0034126267188603E-2</v>
      </c>
      <c r="P17" s="16">
        <v>9.9996988858777502E-2</v>
      </c>
      <c r="Q17" s="14">
        <v>0</v>
      </c>
      <c r="R17" s="15">
        <v>0</v>
      </c>
      <c r="S17" s="15">
        <v>0</v>
      </c>
      <c r="T17" s="15">
        <v>0</v>
      </c>
      <c r="U17" s="14">
        <v>7.3950077155162219E-2</v>
      </c>
      <c r="V17" s="16">
        <v>2.8163743983048793E-2</v>
      </c>
      <c r="W17" s="14">
        <v>2.0074274816822199E-6</v>
      </c>
      <c r="X17" s="15">
        <v>3.1368061828766398E-2</v>
      </c>
      <c r="Y17" s="16">
        <v>0</v>
      </c>
      <c r="Z17" s="14">
        <v>0.32748168222423002</v>
      </c>
      <c r="AA17" s="15">
        <v>4.9884572919803296E-3</v>
      </c>
      <c r="AB17" s="16">
        <v>0</v>
      </c>
      <c r="AC17" s="26">
        <f t="shared" si="0"/>
        <v>0.42214895111914136</v>
      </c>
    </row>
    <row r="18" spans="1:29" x14ac:dyDescent="0.3">
      <c r="A18" s="17" t="s">
        <v>49</v>
      </c>
      <c r="B18">
        <v>1995</v>
      </c>
      <c r="C18" s="18">
        <v>522.904</v>
      </c>
      <c r="D18" s="14">
        <v>0.18074063307987701</v>
      </c>
      <c r="E18" s="16">
        <v>3.1382433486835101E-2</v>
      </c>
      <c r="F18" s="14">
        <v>9.2408931658583604E-2</v>
      </c>
      <c r="G18" s="16">
        <v>4.1908266144454802E-2</v>
      </c>
      <c r="H18" s="14">
        <v>2.5000764958768702E-2</v>
      </c>
      <c r="I18" s="16">
        <v>3.8247938436118297E-6</v>
      </c>
      <c r="J18" s="14">
        <v>1.52016431314352E-2</v>
      </c>
      <c r="K18" s="15">
        <v>1.29105916191117E-2</v>
      </c>
      <c r="L18" s="15">
        <v>8.4336704251640796E-4</v>
      </c>
      <c r="M18" s="15">
        <v>0</v>
      </c>
      <c r="N18" s="16">
        <v>1.7439147529948101E-2</v>
      </c>
      <c r="O18" s="14">
        <v>3.6605189480287001E-2</v>
      </c>
      <c r="P18" s="16">
        <v>6.5403974725762298E-3</v>
      </c>
      <c r="Q18" s="14">
        <v>0</v>
      </c>
      <c r="R18" s="15">
        <v>4.7025840307207403E-3</v>
      </c>
      <c r="S18" s="15">
        <v>0</v>
      </c>
      <c r="T18" s="15">
        <v>0</v>
      </c>
      <c r="U18" s="14">
        <v>2.5801131526511742E-2</v>
      </c>
      <c r="V18" s="16">
        <v>5.477197558301506E-2</v>
      </c>
      <c r="W18" s="14">
        <v>0</v>
      </c>
      <c r="X18" s="15">
        <v>3.1520126065205101E-2</v>
      </c>
      <c r="Y18" s="16">
        <v>0</v>
      </c>
      <c r="Z18" s="14">
        <v>0.416290561938711</v>
      </c>
      <c r="AA18" s="15">
        <v>5.92843045759833E-3</v>
      </c>
      <c r="AB18" s="16">
        <v>0</v>
      </c>
      <c r="AC18" s="26">
        <f t="shared" si="0"/>
        <v>0.24886212383152539</v>
      </c>
    </row>
    <row r="19" spans="1:29" x14ac:dyDescent="0.3">
      <c r="A19" s="17" t="s">
        <v>49</v>
      </c>
      <c r="B19">
        <v>1996</v>
      </c>
      <c r="C19" s="18">
        <v>777.25599999999997</v>
      </c>
      <c r="D19" s="14">
        <v>0.15794667394011799</v>
      </c>
      <c r="E19" s="16">
        <v>1.1108309231450101E-2</v>
      </c>
      <c r="F19" s="14">
        <v>9.5193861481931309E-3</v>
      </c>
      <c r="G19" s="16">
        <v>3.1230379694720901E-2</v>
      </c>
      <c r="H19" s="14">
        <v>3.2383153040954301E-3</v>
      </c>
      <c r="I19" s="16">
        <v>9.6467573103327601E-3</v>
      </c>
      <c r="J19" s="14">
        <v>1.8987309200572299E-2</v>
      </c>
      <c r="K19" s="15">
        <v>1.3416429078707701E-2</v>
      </c>
      <c r="L19" s="15">
        <v>7.7850798192616102E-3</v>
      </c>
      <c r="M19" s="15">
        <v>1.2093827516288099E-3</v>
      </c>
      <c r="N19" s="16">
        <v>1.2847761869963E-2</v>
      </c>
      <c r="O19" s="14">
        <v>5.8745123871671596E-3</v>
      </c>
      <c r="P19" s="16">
        <v>5.09484648558519E-4</v>
      </c>
      <c r="Q19" s="14">
        <v>1.15393126588923E-2</v>
      </c>
      <c r="R19" s="15">
        <v>0</v>
      </c>
      <c r="S19" s="15">
        <v>0</v>
      </c>
      <c r="T19" s="15">
        <v>0</v>
      </c>
      <c r="U19" s="14">
        <v>5.4448295246405924E-2</v>
      </c>
      <c r="V19" s="16">
        <v>2.3553032501466072E-2</v>
      </c>
      <c r="W19" s="14">
        <v>0</v>
      </c>
      <c r="X19" s="15">
        <v>1.02926191627984E-5</v>
      </c>
      <c r="Y19" s="16">
        <v>0</v>
      </c>
      <c r="Z19" s="14">
        <v>0.62712928558930403</v>
      </c>
      <c r="AA19" s="15">
        <v>0</v>
      </c>
      <c r="AB19" s="16">
        <v>0</v>
      </c>
      <c r="AC19" s="26">
        <f t="shared" si="0"/>
        <v>0.1142647982132013</v>
      </c>
    </row>
    <row r="20" spans="1:29" x14ac:dyDescent="0.3">
      <c r="A20" s="17" t="s">
        <v>49</v>
      </c>
      <c r="B20">
        <v>1997</v>
      </c>
      <c r="C20" s="18">
        <v>628.57899999999995</v>
      </c>
      <c r="D20" s="14">
        <v>0.140655351196906</v>
      </c>
      <c r="E20" s="16">
        <v>2.5188560228706299E-2</v>
      </c>
      <c r="F20" s="14">
        <v>7.2325037902952499E-2</v>
      </c>
      <c r="G20" s="16">
        <v>2.6152639525023901E-2</v>
      </c>
      <c r="H20" s="14">
        <v>4.5547178636257298E-3</v>
      </c>
      <c r="I20" s="16">
        <v>0</v>
      </c>
      <c r="J20" s="14">
        <v>2.0040440421967599E-2</v>
      </c>
      <c r="K20" s="15">
        <v>1.12110013220295E-2</v>
      </c>
      <c r="L20" s="15">
        <v>2.5777189502035499E-2</v>
      </c>
      <c r="M20" s="15">
        <v>1.59088992791678E-6</v>
      </c>
      <c r="N20" s="16">
        <v>8.2201282575459899E-3</v>
      </c>
      <c r="O20" s="14">
        <v>3.7680227942708901E-2</v>
      </c>
      <c r="P20" s="16">
        <v>1.62907128618678E-3</v>
      </c>
      <c r="Q20" s="14">
        <v>0</v>
      </c>
      <c r="R20" s="15">
        <v>0</v>
      </c>
      <c r="S20" s="15">
        <v>0</v>
      </c>
      <c r="T20" s="15">
        <v>0</v>
      </c>
      <c r="U20" s="14">
        <v>0.14524688286489579</v>
      </c>
      <c r="V20" s="16">
        <v>7.9319538445711962E-3</v>
      </c>
      <c r="W20" s="14">
        <v>0</v>
      </c>
      <c r="X20" s="15">
        <v>2.34338086382141E-2</v>
      </c>
      <c r="Y20" s="16">
        <v>0</v>
      </c>
      <c r="Z20" s="14">
        <v>0.44995139831270198</v>
      </c>
      <c r="AA20" s="15">
        <v>0</v>
      </c>
      <c r="AB20" s="16">
        <v>0</v>
      </c>
      <c r="AC20" s="26">
        <f t="shared" si="0"/>
        <v>0.20759204491400429</v>
      </c>
    </row>
    <row r="21" spans="1:29" x14ac:dyDescent="0.3">
      <c r="A21" s="17" t="s">
        <v>49</v>
      </c>
      <c r="B21">
        <v>1998</v>
      </c>
      <c r="C21" s="18">
        <v>737.11099999999999</v>
      </c>
      <c r="D21" s="14">
        <v>0.209094695371525</v>
      </c>
      <c r="E21" s="16">
        <v>9.9917108820788206E-2</v>
      </c>
      <c r="F21" s="14">
        <v>6.3377157578709306E-2</v>
      </c>
      <c r="G21" s="16">
        <v>0.13903740413587601</v>
      </c>
      <c r="H21" s="14">
        <v>0</v>
      </c>
      <c r="I21" s="16">
        <v>0</v>
      </c>
      <c r="J21" s="14">
        <v>1.4014171542684899E-2</v>
      </c>
      <c r="K21" s="15">
        <v>1.26914399595176E-2</v>
      </c>
      <c r="L21" s="15">
        <v>4.6505885816383201E-2</v>
      </c>
      <c r="M21" s="15">
        <v>6.9623163946814001E-3</v>
      </c>
      <c r="N21" s="16">
        <v>1.10336163752813E-2</v>
      </c>
      <c r="O21" s="14">
        <v>4.0930063450416599E-3</v>
      </c>
      <c r="P21" s="16">
        <v>1.35664777760744E-6</v>
      </c>
      <c r="Q21" s="14">
        <v>0</v>
      </c>
      <c r="R21" s="15">
        <v>7.2363592457581E-3</v>
      </c>
      <c r="S21" s="15">
        <v>0</v>
      </c>
      <c r="T21" s="15">
        <v>0</v>
      </c>
      <c r="U21" s="14">
        <v>3.0644148888467355E-2</v>
      </c>
      <c r="V21" s="16">
        <v>2.466773765236574E-2</v>
      </c>
      <c r="W21" s="14">
        <v>0</v>
      </c>
      <c r="X21" s="15">
        <v>7.0450719091154504E-3</v>
      </c>
      <c r="Y21" s="16">
        <v>1.72294267756145E-4</v>
      </c>
      <c r="Z21" s="14">
        <v>0.311296399049804</v>
      </c>
      <c r="AA21" s="15">
        <v>1.2209829998467E-2</v>
      </c>
      <c r="AB21" s="16">
        <v>0</v>
      </c>
      <c r="AC21" s="26">
        <f t="shared" si="0"/>
        <v>0.29771635479595299</v>
      </c>
    </row>
    <row r="22" spans="1:29" x14ac:dyDescent="0.3">
      <c r="A22" s="17" t="s">
        <v>49</v>
      </c>
      <c r="B22">
        <v>1999</v>
      </c>
      <c r="C22" s="18">
        <v>823.07</v>
      </c>
      <c r="D22" s="14">
        <v>0.14525374512495901</v>
      </c>
      <c r="E22" s="16">
        <v>6.4898489800381501E-2</v>
      </c>
      <c r="F22" s="14">
        <v>5.9764054090174603E-3</v>
      </c>
      <c r="G22" s="16">
        <v>4.4246540391461198E-2</v>
      </c>
      <c r="H22" s="14">
        <v>0</v>
      </c>
      <c r="I22" s="16">
        <v>0</v>
      </c>
      <c r="J22" s="14">
        <v>5.4721955605234098E-3</v>
      </c>
      <c r="K22" s="15">
        <v>1.75440728006123E-2</v>
      </c>
      <c r="L22" s="15">
        <v>2.2973744638973601E-2</v>
      </c>
      <c r="M22" s="15">
        <v>0</v>
      </c>
      <c r="N22" s="16">
        <v>3.2305879208329798E-3</v>
      </c>
      <c r="O22" s="14">
        <v>5.4673357065620198E-5</v>
      </c>
      <c r="P22" s="16">
        <v>0</v>
      </c>
      <c r="Q22" s="14">
        <v>0</v>
      </c>
      <c r="R22" s="15">
        <v>3.2463824462074901E-3</v>
      </c>
      <c r="S22" s="15">
        <v>0</v>
      </c>
      <c r="T22" s="15">
        <v>0</v>
      </c>
      <c r="U22" s="14">
        <v>8.5743122914459895E-3</v>
      </c>
      <c r="V22" s="16">
        <v>4.5169597704058609E-2</v>
      </c>
      <c r="W22" s="14">
        <v>1.21496349034712E-4</v>
      </c>
      <c r="X22" s="15">
        <v>0</v>
      </c>
      <c r="Y22" s="16">
        <v>2.3084306316595201E-5</v>
      </c>
      <c r="Z22" s="14">
        <v>0.63321467189910996</v>
      </c>
      <c r="AA22" s="15">
        <v>0</v>
      </c>
      <c r="AB22" s="16">
        <v>0</v>
      </c>
      <c r="AC22" s="26">
        <f t="shared" si="0"/>
        <v>9.9498220078486577E-2</v>
      </c>
    </row>
    <row r="23" spans="1:29" x14ac:dyDescent="0.3">
      <c r="A23" s="17" t="s">
        <v>49</v>
      </c>
      <c r="B23">
        <v>2000</v>
      </c>
      <c r="C23" s="18">
        <v>786.49</v>
      </c>
      <c r="D23" s="14">
        <v>0.122292718279953</v>
      </c>
      <c r="E23" s="16">
        <v>7.7276252717771401E-2</v>
      </c>
      <c r="F23" s="14">
        <v>2.0738979516586299E-2</v>
      </c>
      <c r="G23" s="16">
        <v>4.6087044971964003E-2</v>
      </c>
      <c r="H23" s="14">
        <v>1.4634642525651899E-3</v>
      </c>
      <c r="I23" s="16">
        <v>0</v>
      </c>
      <c r="J23" s="14">
        <v>9.8106778217142004E-3</v>
      </c>
      <c r="K23" s="15">
        <v>4.2772317511983599E-3</v>
      </c>
      <c r="L23" s="15">
        <v>2.2642373075309301E-2</v>
      </c>
      <c r="M23" s="15">
        <v>0</v>
      </c>
      <c r="N23" s="16">
        <v>2.90785642538367E-3</v>
      </c>
      <c r="O23" s="14">
        <v>2.92438556116416E-5</v>
      </c>
      <c r="P23" s="16">
        <v>4.6273951353481897E-2</v>
      </c>
      <c r="Q23" s="14">
        <v>1.2872382357054801E-2</v>
      </c>
      <c r="R23" s="15">
        <v>0</v>
      </c>
      <c r="S23" s="15">
        <v>0</v>
      </c>
      <c r="T23" s="15">
        <v>0</v>
      </c>
      <c r="U23" s="14">
        <v>3.416853011020711E-2</v>
      </c>
      <c r="V23" s="16">
        <v>2.3758461968522389E-2</v>
      </c>
      <c r="W23" s="14">
        <v>1.0680364658164801E-4</v>
      </c>
      <c r="X23" s="15">
        <v>1.0464214421035201E-3</v>
      </c>
      <c r="Y23" s="16">
        <v>4.2594311434347503E-3</v>
      </c>
      <c r="Z23" s="14">
        <v>0.561316736385714</v>
      </c>
      <c r="AA23" s="15">
        <v>8.6714389248432906E-3</v>
      </c>
      <c r="AB23" s="16">
        <v>0</v>
      </c>
      <c r="AC23" s="26">
        <f t="shared" si="0"/>
        <v>0.15423082302381455</v>
      </c>
    </row>
    <row r="24" spans="1:29" x14ac:dyDescent="0.3">
      <c r="A24" s="17" t="s">
        <v>49</v>
      </c>
      <c r="B24">
        <v>2001</v>
      </c>
      <c r="C24" s="18">
        <v>1253.288</v>
      </c>
      <c r="D24" s="14">
        <v>9.1555173272224705E-2</v>
      </c>
      <c r="E24" s="16">
        <v>1.83804520589043E-2</v>
      </c>
      <c r="F24" s="14">
        <v>2.0569095052374201E-2</v>
      </c>
      <c r="G24" s="16">
        <v>5.3483317481696196E-3</v>
      </c>
      <c r="H24" s="14">
        <v>5.02677756429488E-5</v>
      </c>
      <c r="I24" s="16">
        <v>0</v>
      </c>
      <c r="J24" s="14">
        <v>1.80373545426111E-2</v>
      </c>
      <c r="K24" s="15">
        <v>3.6513554745597199E-2</v>
      </c>
      <c r="L24" s="15">
        <v>3.10247923861076E-2</v>
      </c>
      <c r="M24" s="15">
        <v>0</v>
      </c>
      <c r="N24" s="16">
        <v>9.5484836685582192E-3</v>
      </c>
      <c r="O24" s="14">
        <v>6.0377183855586302E-3</v>
      </c>
      <c r="P24" s="16">
        <v>3.2484951583355098E-2</v>
      </c>
      <c r="Q24" s="14">
        <v>1.791283712939464E-3</v>
      </c>
      <c r="R24" s="15">
        <v>1.3391978234833136E-2</v>
      </c>
      <c r="S24" s="15">
        <v>0</v>
      </c>
      <c r="T24" s="15">
        <v>0</v>
      </c>
      <c r="U24" s="14">
        <v>9.0315686896702413E-3</v>
      </c>
      <c r="V24" s="16">
        <v>5.4686898303187579E-3</v>
      </c>
      <c r="W24" s="14">
        <v>1.5343640089109599E-3</v>
      </c>
      <c r="X24" s="15">
        <v>3.8450858860852402E-3</v>
      </c>
      <c r="Y24" s="16">
        <v>0</v>
      </c>
      <c r="Z24" s="14">
        <v>0.69538685441813897</v>
      </c>
      <c r="AA24" s="15">
        <v>0</v>
      </c>
      <c r="AB24" s="16">
        <v>0</v>
      </c>
      <c r="AC24" s="26">
        <f t="shared" si="0"/>
        <v>0.1596145498879746</v>
      </c>
    </row>
    <row r="25" spans="1:29" x14ac:dyDescent="0.3">
      <c r="A25" s="17" t="s">
        <v>49</v>
      </c>
      <c r="B25">
        <v>2002</v>
      </c>
      <c r="C25" s="18">
        <v>1551.1420000000001</v>
      </c>
      <c r="D25" s="14">
        <v>0.17536756789513799</v>
      </c>
      <c r="E25" s="16">
        <v>2.5846118537180999E-2</v>
      </c>
      <c r="F25" s="14">
        <v>0.120310713010156</v>
      </c>
      <c r="G25" s="16">
        <v>4.4027561628787001E-2</v>
      </c>
      <c r="H25" s="14">
        <v>1.3153534621588499E-2</v>
      </c>
      <c r="I25" s="16">
        <v>0</v>
      </c>
      <c r="J25" s="14">
        <v>1.5476339368026899E-2</v>
      </c>
      <c r="K25" s="15">
        <v>8.5665915822020194E-3</v>
      </c>
      <c r="L25" s="15">
        <v>1.3761473804461501E-2</v>
      </c>
      <c r="M25" s="15">
        <v>1.8824840021094101E-4</v>
      </c>
      <c r="N25" s="16">
        <v>1.7734030797953999E-2</v>
      </c>
      <c r="O25" s="14">
        <v>6.4468630209226499E-7</v>
      </c>
      <c r="P25" s="16">
        <v>3.6424776068213001E-3</v>
      </c>
      <c r="Q25" s="14">
        <v>0</v>
      </c>
      <c r="R25" s="15">
        <v>4.90864150413051E-3</v>
      </c>
      <c r="S25" s="15">
        <v>0</v>
      </c>
      <c r="T25" s="15">
        <v>0</v>
      </c>
      <c r="U25" s="14">
        <v>3.7269146093746985E-2</v>
      </c>
      <c r="V25" s="16">
        <v>4.857599252025481E-2</v>
      </c>
      <c r="W25" s="14">
        <v>3.5328809354656101E-4</v>
      </c>
      <c r="X25" s="15">
        <v>1.6117157552306601E-5</v>
      </c>
      <c r="Y25" s="16">
        <v>0</v>
      </c>
      <c r="Z25" s="14">
        <v>0.47080151269193898</v>
      </c>
      <c r="AA25" s="15">
        <v>0</v>
      </c>
      <c r="AB25" s="16">
        <v>0</v>
      </c>
      <c r="AC25" s="26">
        <f t="shared" si="0"/>
        <v>0.23686161550651025</v>
      </c>
    </row>
    <row r="26" spans="1:29" x14ac:dyDescent="0.3">
      <c r="A26" s="17" t="s">
        <v>49</v>
      </c>
      <c r="B26">
        <v>2003</v>
      </c>
      <c r="C26" s="18">
        <v>1885.817</v>
      </c>
      <c r="D26" s="14">
        <v>0.100259463139849</v>
      </c>
      <c r="E26" s="16">
        <v>2.3431223708345002E-2</v>
      </c>
      <c r="F26" s="14">
        <v>7.8108851495134496E-2</v>
      </c>
      <c r="G26" s="16">
        <v>2.5806851884355698E-2</v>
      </c>
      <c r="H26" s="14">
        <v>1.32568536607741E-5</v>
      </c>
      <c r="I26" s="16">
        <v>2.2160156579349999E-3</v>
      </c>
      <c r="J26" s="14">
        <v>4.00775897131058E-2</v>
      </c>
      <c r="K26" s="15">
        <v>2.20811457315317E-2</v>
      </c>
      <c r="L26" s="15">
        <v>7.5861019388413602E-3</v>
      </c>
      <c r="M26" s="15">
        <v>2.5405434355507501E-3</v>
      </c>
      <c r="N26" s="16">
        <v>4.50096695490602E-3</v>
      </c>
      <c r="O26" s="14">
        <v>0</v>
      </c>
      <c r="P26" s="16">
        <v>1.31322392363628E-2</v>
      </c>
      <c r="Q26" s="14">
        <v>1.2567442962893333E-2</v>
      </c>
      <c r="R26" s="15">
        <v>1.006755918001739E-2</v>
      </c>
      <c r="S26" s="15">
        <v>0</v>
      </c>
      <c r="T26" s="15">
        <v>6.1221643662267926E-4</v>
      </c>
      <c r="U26" s="14">
        <v>2.0395712569714307E-2</v>
      </c>
      <c r="V26" s="16">
        <v>2.4166405599758092E-2</v>
      </c>
      <c r="W26" s="14">
        <v>3.4595085313156001E-3</v>
      </c>
      <c r="X26" s="15">
        <v>4.5174054534453797E-3</v>
      </c>
      <c r="Y26" s="16">
        <v>0</v>
      </c>
      <c r="Z26" s="14">
        <v>0.60445949951665501</v>
      </c>
      <c r="AA26" s="15">
        <v>0</v>
      </c>
      <c r="AB26" s="16">
        <v>0</v>
      </c>
      <c r="AC26" s="26">
        <f t="shared" si="0"/>
        <v>0.19606356290138435</v>
      </c>
    </row>
    <row r="27" spans="1:29" x14ac:dyDescent="0.3">
      <c r="A27" s="17" t="s">
        <v>49</v>
      </c>
      <c r="B27">
        <v>2004</v>
      </c>
      <c r="C27" s="18">
        <v>1177.3030000000001</v>
      </c>
      <c r="D27" s="14">
        <v>0.17402232050712499</v>
      </c>
      <c r="E27" s="16">
        <v>2.2043603048662899E-2</v>
      </c>
      <c r="F27" s="14">
        <v>9.6810251906263703E-2</v>
      </c>
      <c r="G27" s="16">
        <v>4.9701733538434899E-2</v>
      </c>
      <c r="H27" s="14">
        <v>7.5137836223979704E-3</v>
      </c>
      <c r="I27" s="16">
        <v>1.1144114981444899E-3</v>
      </c>
      <c r="J27" s="14">
        <v>5.8149856069338096E-3</v>
      </c>
      <c r="K27" s="15">
        <v>1.3275257091844701E-2</v>
      </c>
      <c r="L27" s="15">
        <v>3.9536975612905097E-2</v>
      </c>
      <c r="M27" s="15">
        <v>0</v>
      </c>
      <c r="N27" s="16">
        <v>4.2909939072609198E-2</v>
      </c>
      <c r="O27" s="14">
        <v>0</v>
      </c>
      <c r="P27" s="16">
        <v>1.6987980154641599E-6</v>
      </c>
      <c r="Q27" s="14">
        <v>1.488271683905228E-2</v>
      </c>
      <c r="R27" s="15">
        <v>1.2095045045526321E-2</v>
      </c>
      <c r="S27" s="15">
        <v>0</v>
      </c>
      <c r="T27" s="15">
        <v>0</v>
      </c>
      <c r="U27" s="14">
        <v>8.3112731846358964E-2</v>
      </c>
      <c r="V27" s="16">
        <v>3.3215859858580041E-2</v>
      </c>
      <c r="W27" s="14">
        <v>2.9864869111859899E-3</v>
      </c>
      <c r="X27" s="15">
        <v>1.1045584696548E-2</v>
      </c>
      <c r="Y27" s="16">
        <v>0</v>
      </c>
      <c r="Z27" s="14">
        <v>0.38991661449941101</v>
      </c>
      <c r="AA27" s="15">
        <v>0</v>
      </c>
      <c r="AB27" s="16">
        <v>0</v>
      </c>
      <c r="AC27" s="26">
        <f t="shared" si="0"/>
        <v>0.25667903674754933</v>
      </c>
    </row>
    <row r="28" spans="1:29" x14ac:dyDescent="0.3">
      <c r="A28" s="17" t="s">
        <v>49</v>
      </c>
      <c r="B28">
        <v>2005</v>
      </c>
      <c r="C28" s="18">
        <v>1014.843</v>
      </c>
      <c r="D28" s="14">
        <v>0.117795560495564</v>
      </c>
      <c r="E28" s="16">
        <v>1.9077827801935902E-2</v>
      </c>
      <c r="F28" s="14">
        <v>9.8072312663140995E-2</v>
      </c>
      <c r="G28" s="16">
        <v>3.3331264047739402E-2</v>
      </c>
      <c r="H28" s="14">
        <v>3.4635899346007202E-3</v>
      </c>
      <c r="I28" s="16">
        <v>6.2735812337474897E-2</v>
      </c>
      <c r="J28" s="14">
        <v>5.0740853511331299E-2</v>
      </c>
      <c r="K28" s="15">
        <v>7.5408708539153296E-2</v>
      </c>
      <c r="L28" s="15">
        <v>0.1464275754969</v>
      </c>
      <c r="M28" s="15">
        <v>0</v>
      </c>
      <c r="N28" s="16">
        <v>1.2338854384372801E-2</v>
      </c>
      <c r="O28" s="14">
        <v>0</v>
      </c>
      <c r="P28" s="16">
        <v>0</v>
      </c>
      <c r="Q28" s="14">
        <v>1.7528667365047386E-2</v>
      </c>
      <c r="R28" s="15">
        <v>8.4061758156897936E-3</v>
      </c>
      <c r="S28" s="15">
        <v>0</v>
      </c>
      <c r="T28" s="15">
        <v>5.2670274534397203E-3</v>
      </c>
      <c r="U28" s="14">
        <v>5.2251950330007273E-3</v>
      </c>
      <c r="V28" s="16">
        <v>5.3002530831985278E-2</v>
      </c>
      <c r="W28" s="14">
        <v>1.55590569181637E-3</v>
      </c>
      <c r="X28" s="15">
        <v>3.1049137649863099E-3</v>
      </c>
      <c r="Y28" s="16">
        <v>0</v>
      </c>
      <c r="Z28" s="14">
        <v>0.28651722483182102</v>
      </c>
      <c r="AA28" s="15">
        <v>0</v>
      </c>
      <c r="AB28" s="16">
        <v>0</v>
      </c>
      <c r="AC28" s="26">
        <f t="shared" si="0"/>
        <v>0.48251897091471346</v>
      </c>
    </row>
    <row r="29" spans="1:29" x14ac:dyDescent="0.3">
      <c r="A29" s="17" t="s">
        <v>49</v>
      </c>
      <c r="B29">
        <v>2006</v>
      </c>
      <c r="C29" s="18">
        <v>1585.23</v>
      </c>
      <c r="D29" s="14">
        <v>9.8791342581202701E-2</v>
      </c>
      <c r="E29" s="16">
        <v>2.2833279713353902E-2</v>
      </c>
      <c r="F29" s="14">
        <v>0.10543075768185101</v>
      </c>
      <c r="G29" s="16">
        <v>6.1529872636778199E-2</v>
      </c>
      <c r="H29" s="14">
        <v>2.6873072046327698E-3</v>
      </c>
      <c r="I29" s="16">
        <v>1.7029074645319602E-2</v>
      </c>
      <c r="J29" s="14">
        <v>1.512966572674E-2</v>
      </c>
      <c r="K29" s="15">
        <v>4.8264289724519502E-2</v>
      </c>
      <c r="L29" s="15">
        <v>0.17430341338480901</v>
      </c>
      <c r="M29" s="15">
        <v>0</v>
      </c>
      <c r="N29" s="16">
        <v>2.1632822997293799E-2</v>
      </c>
      <c r="O29" s="14">
        <v>0</v>
      </c>
      <c r="P29" s="16">
        <v>0</v>
      </c>
      <c r="Q29" s="14">
        <v>2.179159835229607E-2</v>
      </c>
      <c r="R29" s="15">
        <v>6.2081240854574317E-3</v>
      </c>
      <c r="S29" s="15">
        <v>0</v>
      </c>
      <c r="T29" s="15">
        <v>0</v>
      </c>
      <c r="U29" s="14">
        <v>2.2825672784004804E-2</v>
      </c>
      <c r="V29" s="16">
        <v>3.7299356391572225E-2</v>
      </c>
      <c r="W29" s="14">
        <v>2.1063189568706099E-3</v>
      </c>
      <c r="X29" s="15">
        <v>6.37510014319689E-3</v>
      </c>
      <c r="Y29" s="16">
        <v>0</v>
      </c>
      <c r="Z29" s="14">
        <v>0.32852015164991799</v>
      </c>
      <c r="AA29" s="15">
        <v>7.2418513401840698E-3</v>
      </c>
      <c r="AB29" s="16">
        <v>0</v>
      </c>
      <c r="AC29" s="26">
        <f t="shared" si="0"/>
        <v>0.44600720400194388</v>
      </c>
    </row>
    <row r="30" spans="1:29" x14ac:dyDescent="0.3">
      <c r="A30" s="17" t="s">
        <v>49</v>
      </c>
      <c r="B30">
        <v>2007</v>
      </c>
      <c r="C30" s="18">
        <v>571.58299999999997</v>
      </c>
      <c r="D30" s="14">
        <v>9.2903392858080094E-2</v>
      </c>
      <c r="E30" s="16">
        <v>5.3194374220366901E-2</v>
      </c>
      <c r="F30" s="14">
        <v>6.3773765139970906E-2</v>
      </c>
      <c r="G30" s="16">
        <v>7.0635410780236593E-2</v>
      </c>
      <c r="H30" s="14">
        <v>1.02347340631194E-3</v>
      </c>
      <c r="I30" s="16">
        <v>2.94900303193062E-2</v>
      </c>
      <c r="J30" s="14">
        <v>2.9843434811742099E-2</v>
      </c>
      <c r="K30" s="15">
        <v>1.14699002594549E-2</v>
      </c>
      <c r="L30" s="15">
        <v>7.0308249195654898E-2</v>
      </c>
      <c r="M30" s="15">
        <v>0</v>
      </c>
      <c r="N30" s="16">
        <v>4.6992300330835598E-3</v>
      </c>
      <c r="O30" s="14">
        <v>0</v>
      </c>
      <c r="P30" s="16">
        <v>0</v>
      </c>
      <c r="Q30" s="14">
        <v>2.9932402571483739E-2</v>
      </c>
      <c r="R30" s="15">
        <v>0</v>
      </c>
      <c r="S30" s="15">
        <v>0</v>
      </c>
      <c r="T30" s="15">
        <v>1.5714511350028965E-2</v>
      </c>
      <c r="U30" s="14">
        <v>3.4686716065233797E-3</v>
      </c>
      <c r="V30" s="16">
        <v>4.440539042821174E-2</v>
      </c>
      <c r="W30" s="14">
        <v>5.0386383079972601E-4</v>
      </c>
      <c r="X30" s="15">
        <v>0</v>
      </c>
      <c r="Y30" s="16">
        <v>1.20542423410073E-3</v>
      </c>
      <c r="Z30" s="14">
        <v>0.47742847495464402</v>
      </c>
      <c r="AA30" s="15">
        <v>0</v>
      </c>
      <c r="AB30" s="16">
        <v>0</v>
      </c>
      <c r="AC30" s="26">
        <f t="shared" si="0"/>
        <v>0.28124349394576109</v>
      </c>
    </row>
    <row r="31" spans="1:29" x14ac:dyDescent="0.3">
      <c r="A31" s="17" t="s">
        <v>49</v>
      </c>
      <c r="B31">
        <v>2008</v>
      </c>
      <c r="C31" s="18">
        <v>2556.2640000000001</v>
      </c>
      <c r="D31" s="14">
        <v>6.2247483045569603E-2</v>
      </c>
      <c r="E31" s="16">
        <v>7.2355593944913397E-3</v>
      </c>
      <c r="F31" s="14">
        <v>5.6011037983557201E-2</v>
      </c>
      <c r="G31" s="16">
        <v>4.9514447647034901E-2</v>
      </c>
      <c r="H31" s="14">
        <v>8.4107118826537504E-5</v>
      </c>
      <c r="I31" s="16">
        <v>2.21103923538414E-2</v>
      </c>
      <c r="J31" s="14">
        <v>2.5318589942196899E-2</v>
      </c>
      <c r="K31" s="15">
        <v>9.8281319926267402E-2</v>
      </c>
      <c r="L31" s="15">
        <v>0.22027302344358801</v>
      </c>
      <c r="M31" s="15">
        <v>0</v>
      </c>
      <c r="N31" s="16">
        <v>7.4209862518112395E-4</v>
      </c>
      <c r="O31" s="14">
        <v>0</v>
      </c>
      <c r="P31" s="16">
        <v>0</v>
      </c>
      <c r="Q31" s="14">
        <v>2.5093709019978487E-3</v>
      </c>
      <c r="R31" s="15">
        <v>1.5783942973566466E-2</v>
      </c>
      <c r="S31" s="15">
        <v>3.0488856459273861E-3</v>
      </c>
      <c r="T31" s="15">
        <v>4.6423361686960204E-4</v>
      </c>
      <c r="U31" s="14">
        <v>2.9134151239132407E-3</v>
      </c>
      <c r="V31" s="16">
        <v>1.68032495085347E-2</v>
      </c>
      <c r="W31" s="14">
        <v>2.4919178926746199E-4</v>
      </c>
      <c r="X31" s="15">
        <v>0</v>
      </c>
      <c r="Y31" s="16">
        <v>6.3764931947561001E-5</v>
      </c>
      <c r="Z31" s="14">
        <v>0.41634588602742101</v>
      </c>
      <c r="AA31" s="15">
        <v>0</v>
      </c>
      <c r="AB31" s="16">
        <v>0</v>
      </c>
      <c r="AC31" s="26">
        <f t="shared" si="0"/>
        <v>0.47233501704049347</v>
      </c>
    </row>
    <row r="32" spans="1:29" x14ac:dyDescent="0.3">
      <c r="A32" s="17" t="s">
        <v>49</v>
      </c>
      <c r="B32">
        <v>2009</v>
      </c>
      <c r="C32" s="18">
        <v>2169.7930000000001</v>
      </c>
      <c r="D32" s="14">
        <v>7.08712766609534E-2</v>
      </c>
      <c r="E32" s="16">
        <v>2.3386562681324899E-2</v>
      </c>
      <c r="F32" s="14">
        <v>5.4755453630830203E-2</v>
      </c>
      <c r="G32" s="16">
        <v>3.3499508939331998E-2</v>
      </c>
      <c r="H32" s="14">
        <v>6.0554163461675903E-3</v>
      </c>
      <c r="I32" s="16">
        <v>2.4909288581906198E-2</v>
      </c>
      <c r="J32" s="14">
        <v>4.6093797887632598E-2</v>
      </c>
      <c r="K32" s="15">
        <v>5.9758235002140801E-2</v>
      </c>
      <c r="L32" s="15">
        <v>0.14142178539611799</v>
      </c>
      <c r="M32" s="15">
        <v>0</v>
      </c>
      <c r="N32" s="16">
        <v>1.48041771726612E-2</v>
      </c>
      <c r="O32" s="14">
        <v>1.9817558633473302E-5</v>
      </c>
      <c r="P32" s="16">
        <v>0</v>
      </c>
      <c r="Q32" s="14">
        <v>7.3901164956632556E-3</v>
      </c>
      <c r="R32" s="15">
        <v>4.0719541891104542E-2</v>
      </c>
      <c r="S32" s="15">
        <v>0</v>
      </c>
      <c r="T32" s="15">
        <v>0</v>
      </c>
      <c r="U32" s="14">
        <v>9.6602023959770182E-3</v>
      </c>
      <c r="V32" s="16">
        <v>6.8373508653878853E-2</v>
      </c>
      <c r="W32" s="14">
        <v>1.6596053171892399E-3</v>
      </c>
      <c r="X32" s="15">
        <v>1.52088240675493E-5</v>
      </c>
      <c r="Y32" s="16">
        <v>2.0250779682670201E-3</v>
      </c>
      <c r="Z32" s="14">
        <v>0.392797838319139</v>
      </c>
      <c r="AA32" s="15">
        <v>1.7835802770126E-3</v>
      </c>
      <c r="AB32" s="16">
        <v>0</v>
      </c>
      <c r="AC32" s="26">
        <f t="shared" si="0"/>
        <v>0.38131748051542202</v>
      </c>
    </row>
    <row r="33" spans="1:29" x14ac:dyDescent="0.3">
      <c r="A33" s="17" t="s">
        <v>49</v>
      </c>
      <c r="B33">
        <v>2010</v>
      </c>
      <c r="C33" s="18">
        <v>2203.259</v>
      </c>
      <c r="D33" s="14">
        <v>8.5900931302220901E-2</v>
      </c>
      <c r="E33" s="16">
        <v>2.0159227762146899E-2</v>
      </c>
      <c r="F33" s="14">
        <v>8.9068965564193803E-2</v>
      </c>
      <c r="G33" s="16">
        <v>2.8588559039132499E-2</v>
      </c>
      <c r="H33" s="14">
        <v>2.13774231717651E-4</v>
      </c>
      <c r="I33" s="16">
        <v>5.3743114177679501E-3</v>
      </c>
      <c r="J33" s="14">
        <v>2.0073899618701201E-2</v>
      </c>
      <c r="K33" s="15">
        <v>3.96194909450047E-2</v>
      </c>
      <c r="L33" s="15">
        <v>9.9153572049405003E-2</v>
      </c>
      <c r="M33" s="15">
        <v>9.3951732410942206E-5</v>
      </c>
      <c r="N33" s="16">
        <v>1.3219508010633299E-2</v>
      </c>
      <c r="O33" s="14">
        <v>1.5885558620207601E-5</v>
      </c>
      <c r="P33" s="16">
        <v>3.06818217921724E-4</v>
      </c>
      <c r="Q33" s="14">
        <v>5.9436827412307049E-3</v>
      </c>
      <c r="R33" s="15">
        <v>1.2489011735451293E-2</v>
      </c>
      <c r="S33" s="15">
        <v>0</v>
      </c>
      <c r="T33" s="15">
        <v>0</v>
      </c>
      <c r="U33" s="14">
        <v>4.1119135400969342E-2</v>
      </c>
      <c r="V33" s="16">
        <v>4.5579250943985995E-2</v>
      </c>
      <c r="W33" s="14">
        <v>3.2769638067971099E-3</v>
      </c>
      <c r="X33" s="15">
        <v>1.34119502064896E-2</v>
      </c>
      <c r="Y33" s="16">
        <v>1.70792448822404E-3</v>
      </c>
      <c r="Z33" s="14">
        <v>0.46409432572384801</v>
      </c>
      <c r="AA33" s="15">
        <v>1.0588859503126999E-2</v>
      </c>
      <c r="AB33" s="16">
        <v>0</v>
      </c>
      <c r="AC33" s="26">
        <f t="shared" si="0"/>
        <v>0.29572873638550901</v>
      </c>
    </row>
    <row r="34" spans="1:29" x14ac:dyDescent="0.3">
      <c r="A34" s="17" t="s">
        <v>49</v>
      </c>
      <c r="B34">
        <v>2011</v>
      </c>
      <c r="C34" s="18">
        <v>2203.5120000000002</v>
      </c>
      <c r="D34" s="14">
        <v>7.3042034715490506E-2</v>
      </c>
      <c r="E34" s="16">
        <v>2.36826484266934E-2</v>
      </c>
      <c r="F34" s="14">
        <v>6.2998976179843805E-2</v>
      </c>
      <c r="G34" s="16">
        <v>4.0919677315122402E-2</v>
      </c>
      <c r="H34" s="14">
        <v>1.0708813929763E-2</v>
      </c>
      <c r="I34" s="16">
        <v>8.1606090640758897E-3</v>
      </c>
      <c r="J34" s="14">
        <v>2.9053619857754402E-2</v>
      </c>
      <c r="K34" s="15">
        <v>3.4097386354147399E-2</v>
      </c>
      <c r="L34" s="15">
        <v>0.14445349060953599</v>
      </c>
      <c r="M34" s="15">
        <v>2.1488423934156002E-3</v>
      </c>
      <c r="N34" s="16">
        <v>4.8377317663802198E-4</v>
      </c>
      <c r="O34" s="14">
        <v>0</v>
      </c>
      <c r="P34" s="16">
        <v>1.8969717432898E-4</v>
      </c>
      <c r="Q34" s="14">
        <v>1.0669387066466326E-2</v>
      </c>
      <c r="R34" s="15">
        <v>1.4361703372778685E-2</v>
      </c>
      <c r="S34" s="15">
        <v>0</v>
      </c>
      <c r="T34" s="15">
        <v>7.2778902226919003E-4</v>
      </c>
      <c r="U34" s="14">
        <v>8.8460568406504795E-3</v>
      </c>
      <c r="V34" s="16">
        <v>7.9754776737746239E-2</v>
      </c>
      <c r="W34" s="14">
        <v>4.2945080398926801E-3</v>
      </c>
      <c r="X34" s="15">
        <v>2.2373374867030501E-3</v>
      </c>
      <c r="Y34" s="16">
        <v>3.8842538638319199E-3</v>
      </c>
      <c r="Z34" s="14">
        <v>0.444830797381634</v>
      </c>
      <c r="AA34" s="15">
        <v>4.5382099121765598E-4</v>
      </c>
      <c r="AB34" s="16">
        <v>0</v>
      </c>
      <c r="AC34" s="26">
        <f t="shared" si="0"/>
        <v>0.33321488605462551</v>
      </c>
    </row>
    <row r="35" spans="1:29" x14ac:dyDescent="0.3">
      <c r="A35" s="17" t="s">
        <v>49</v>
      </c>
      <c r="B35">
        <v>2012</v>
      </c>
      <c r="C35" s="18">
        <v>2369.107</v>
      </c>
      <c r="D35" s="14">
        <v>8.5211854086793007E-2</v>
      </c>
      <c r="E35" s="16">
        <v>4.1362420523851397E-2</v>
      </c>
      <c r="F35" s="14">
        <v>7.9575553151461698E-2</v>
      </c>
      <c r="G35" s="16">
        <v>5.2688629091045699E-2</v>
      </c>
      <c r="H35" s="14">
        <v>1.12612051714E-2</v>
      </c>
      <c r="I35" s="16">
        <v>1.8636135894242001E-2</v>
      </c>
      <c r="J35" s="14">
        <v>3.5054558531970099E-2</v>
      </c>
      <c r="K35" s="15">
        <v>3.04131472322694E-2</v>
      </c>
      <c r="L35" s="15">
        <v>9.0816075424199894E-2</v>
      </c>
      <c r="M35" s="15">
        <v>2.5781866331913198E-3</v>
      </c>
      <c r="N35" s="16">
        <v>1.57629013801403E-2</v>
      </c>
      <c r="O35" s="14">
        <v>0</v>
      </c>
      <c r="P35" s="16">
        <v>0</v>
      </c>
      <c r="Q35" s="14">
        <v>7.8383901316243041E-3</v>
      </c>
      <c r="R35" s="15">
        <v>3.3483508794848793E-2</v>
      </c>
      <c r="S35" s="15">
        <v>0</v>
      </c>
      <c r="T35" s="15">
        <v>0</v>
      </c>
      <c r="U35" s="14">
        <v>3.0810382503882131E-3</v>
      </c>
      <c r="V35" s="16">
        <v>3.7064890152170203E-2</v>
      </c>
      <c r="W35" s="14">
        <v>7.6674460039162402E-3</v>
      </c>
      <c r="X35" s="15">
        <v>4.6177737012300399E-4</v>
      </c>
      <c r="Y35" s="16">
        <v>1.5706762083772498E-2</v>
      </c>
      <c r="Z35" s="14">
        <v>0.43133552009259202</v>
      </c>
      <c r="AA35" s="15">
        <v>0</v>
      </c>
      <c r="AB35" s="16">
        <v>0</v>
      </c>
      <c r="AC35" s="26">
        <f t="shared" si="0"/>
        <v>0.33678639250992043</v>
      </c>
    </row>
    <row r="36" spans="1:29" x14ac:dyDescent="0.3">
      <c r="A36" s="17" t="s">
        <v>49</v>
      </c>
      <c r="B36">
        <v>2013</v>
      </c>
      <c r="C36" s="18">
        <v>8525.6630000000005</v>
      </c>
      <c r="D36" s="14">
        <v>6.9431081195679395E-2</v>
      </c>
      <c r="E36" s="16">
        <v>1.2206088840246199E-2</v>
      </c>
      <c r="F36" s="14">
        <v>6.7284855148508696E-2</v>
      </c>
      <c r="G36" s="16">
        <v>4.0199454282910302E-2</v>
      </c>
      <c r="H36" s="14">
        <v>2.4506012025105801E-3</v>
      </c>
      <c r="I36" s="16">
        <v>1.09075388037271E-2</v>
      </c>
      <c r="J36" s="14">
        <v>4.1139909001798501E-2</v>
      </c>
      <c r="K36" s="15">
        <v>2.94112023897731E-2</v>
      </c>
      <c r="L36" s="15">
        <v>5.2545825468353603E-2</v>
      </c>
      <c r="M36" s="15">
        <v>1.1956841362366799E-3</v>
      </c>
      <c r="N36" s="16">
        <v>3.4434858614514801E-3</v>
      </c>
      <c r="O36" s="14">
        <v>0</v>
      </c>
      <c r="P36" s="16">
        <v>2.0115737626504799E-4</v>
      </c>
      <c r="Q36" s="14">
        <v>0</v>
      </c>
      <c r="R36" s="15">
        <v>1.9238831033212375E-2</v>
      </c>
      <c r="S36" s="15">
        <v>4.3260097154782472E-4</v>
      </c>
      <c r="T36" s="15">
        <v>0</v>
      </c>
      <c r="U36" s="14">
        <v>1.0130037349424059E-2</v>
      </c>
      <c r="V36" s="16">
        <v>3.0316787724473444E-2</v>
      </c>
      <c r="W36" s="14">
        <v>6.6337362853774503E-3</v>
      </c>
      <c r="X36" s="15">
        <v>3.0850386650281602E-3</v>
      </c>
      <c r="Y36" s="16">
        <v>6.7165450944988098E-3</v>
      </c>
      <c r="Z36" s="14">
        <v>0.58427948653377404</v>
      </c>
      <c r="AA36" s="15">
        <v>8.7500526352026799E-3</v>
      </c>
      <c r="AB36" s="16">
        <v>0</v>
      </c>
      <c r="AC36" s="26">
        <f t="shared" si="0"/>
        <v>0.24877971367153512</v>
      </c>
    </row>
    <row r="37" spans="1:29" x14ac:dyDescent="0.3">
      <c r="A37" s="17" t="s">
        <v>49</v>
      </c>
      <c r="B37">
        <v>2014</v>
      </c>
      <c r="C37" s="18">
        <v>4762.9790000000003</v>
      </c>
      <c r="D37" s="14">
        <v>0.101724991859087</v>
      </c>
      <c r="E37" s="16">
        <v>2.5222450067489299E-2</v>
      </c>
      <c r="F37" s="14">
        <v>6.7534414911340102E-2</v>
      </c>
      <c r="G37" s="16">
        <v>3.0062488203286199E-2</v>
      </c>
      <c r="H37" s="14">
        <v>3.0567634247390101E-2</v>
      </c>
      <c r="I37" s="16">
        <v>1.7149141325208402E-2</v>
      </c>
      <c r="J37" s="14">
        <v>2.35890185533046E-2</v>
      </c>
      <c r="K37" s="15">
        <v>7.6049044096142297E-3</v>
      </c>
      <c r="L37" s="15">
        <v>3.10431769697074E-2</v>
      </c>
      <c r="M37" s="15">
        <v>2.0995263678466801E-7</v>
      </c>
      <c r="N37" s="16">
        <v>4.25028117906881E-3</v>
      </c>
      <c r="O37" s="14">
        <v>7.7525011132738601E-3</v>
      </c>
      <c r="P37" s="16">
        <v>5.98994872746657E-4</v>
      </c>
      <c r="Q37" s="14">
        <v>4.2087028094529161E-3</v>
      </c>
      <c r="R37" s="15">
        <v>8.6351358442481978E-3</v>
      </c>
      <c r="S37" s="15">
        <v>4.3097116768797865E-3</v>
      </c>
      <c r="T37" s="15">
        <v>0</v>
      </c>
      <c r="U37" s="14">
        <v>1.2927070771744771E-2</v>
      </c>
      <c r="V37" s="16">
        <v>8.6879793797676907E-2</v>
      </c>
      <c r="W37" s="14">
        <v>1.9256855845889698E-2</v>
      </c>
      <c r="X37" s="15">
        <v>4.56353051315154E-3</v>
      </c>
      <c r="Y37" s="16">
        <v>1.24359145820294E-2</v>
      </c>
      <c r="Z37" s="14">
        <v>0.49098893780552</v>
      </c>
      <c r="AA37" s="15">
        <v>8.6941386892530892E-3</v>
      </c>
      <c r="AB37" s="16">
        <v>0</v>
      </c>
      <c r="AC37" s="26">
        <f t="shared" si="0"/>
        <v>0.22015276573757708</v>
      </c>
    </row>
    <row r="38" spans="1:29" x14ac:dyDescent="0.3">
      <c r="A38" s="17" t="s">
        <v>49</v>
      </c>
      <c r="B38">
        <v>2015</v>
      </c>
      <c r="C38" s="18">
        <v>5363.7520000000004</v>
      </c>
      <c r="D38" s="14">
        <v>6.4118549850925299E-2</v>
      </c>
      <c r="E38" s="16">
        <v>7.8359327575175004E-3</v>
      </c>
      <c r="F38" s="14">
        <v>3.7160741212494498E-2</v>
      </c>
      <c r="G38" s="16">
        <v>2.5257506312745301E-2</v>
      </c>
      <c r="H38" s="14">
        <v>5.23887010435978E-3</v>
      </c>
      <c r="I38" s="16">
        <v>1.8815933324284901E-2</v>
      </c>
      <c r="J38" s="14">
        <v>2.5664311101631799E-2</v>
      </c>
      <c r="K38" s="15">
        <v>2.0574403887428101E-2</v>
      </c>
      <c r="L38" s="15">
        <v>6.6746188116079894E-2</v>
      </c>
      <c r="M38" s="15">
        <v>1.37832621642462E-3</v>
      </c>
      <c r="N38" s="16">
        <v>7.9153547740462293E-3</v>
      </c>
      <c r="O38" s="14">
        <v>1.5287805998487602E-5</v>
      </c>
      <c r="P38" s="16">
        <v>3.8778824971773498E-5</v>
      </c>
      <c r="Q38" s="14">
        <v>8.5122079141734322E-3</v>
      </c>
      <c r="R38" s="15">
        <v>2.1552567638462066E-2</v>
      </c>
      <c r="S38" s="15">
        <v>0</v>
      </c>
      <c r="T38" s="15">
        <v>0</v>
      </c>
      <c r="U38" s="14">
        <v>4.3394570458813123E-3</v>
      </c>
      <c r="V38" s="16">
        <v>2.831212714369347E-2</v>
      </c>
      <c r="W38" s="14">
        <v>1.9086452915794801E-2</v>
      </c>
      <c r="X38" s="15">
        <v>8.3918868732185993E-3</v>
      </c>
      <c r="Y38" s="16">
        <v>1.2927890774964999E-2</v>
      </c>
      <c r="Z38" s="14">
        <v>0.60343207515932895</v>
      </c>
      <c r="AA38" s="15">
        <v>1.26851502455744E-2</v>
      </c>
      <c r="AB38" s="16">
        <v>0</v>
      </c>
      <c r="AC38" s="26">
        <f t="shared" si="0"/>
        <v>0.20880570168046539</v>
      </c>
    </row>
    <row r="39" spans="1:29" x14ac:dyDescent="0.3">
      <c r="A39" s="17" t="s">
        <v>49</v>
      </c>
      <c r="B39">
        <v>2016</v>
      </c>
      <c r="C39" s="18">
        <v>2255.4580000000001</v>
      </c>
      <c r="D39" s="14">
        <v>9.97575658691051E-2</v>
      </c>
      <c r="E39" s="16">
        <v>2.7251227910251499E-2</v>
      </c>
      <c r="F39" s="14">
        <v>8.63540797478827E-2</v>
      </c>
      <c r="G39" s="16">
        <v>3.4337593517591497E-2</v>
      </c>
      <c r="H39" s="14">
        <v>1.84241958839402E-2</v>
      </c>
      <c r="I39" s="16">
        <v>6.2191359803640796E-3</v>
      </c>
      <c r="J39" s="14">
        <v>7.0030122485100601E-3</v>
      </c>
      <c r="K39" s="15">
        <v>2.1852767819219E-2</v>
      </c>
      <c r="L39" s="15">
        <v>4.82620381315014E-2</v>
      </c>
      <c r="M39" s="15">
        <v>2.3808911538144401E-4</v>
      </c>
      <c r="N39" s="16">
        <v>7.8746755647855094E-3</v>
      </c>
      <c r="O39" s="14">
        <v>8.8673785989364499E-7</v>
      </c>
      <c r="P39" s="16">
        <v>0</v>
      </c>
      <c r="Q39" s="14">
        <v>0</v>
      </c>
      <c r="R39" s="15">
        <v>1.9175706220200098E-2</v>
      </c>
      <c r="S39" s="15">
        <v>0</v>
      </c>
      <c r="T39" s="15">
        <v>0</v>
      </c>
      <c r="U39" s="14">
        <v>3.9103971672937868E-3</v>
      </c>
      <c r="V39" s="16">
        <v>2.4985729473060419E-2</v>
      </c>
      <c r="W39" s="14">
        <v>2.4327653186182099E-3</v>
      </c>
      <c r="X39" s="15">
        <v>2.7989880547542902E-3</v>
      </c>
      <c r="Y39" s="16">
        <v>5.6298986724647501E-3</v>
      </c>
      <c r="Z39" s="14">
        <v>0.58349124656721596</v>
      </c>
      <c r="AA39" s="15">
        <v>0</v>
      </c>
      <c r="AB39" s="16">
        <v>0</v>
      </c>
      <c r="AC39" s="26">
        <f t="shared" si="0"/>
        <v>0.23056647474703579</v>
      </c>
    </row>
    <row r="40" spans="1:29" x14ac:dyDescent="0.3">
      <c r="A40" s="17" t="s">
        <v>49</v>
      </c>
      <c r="B40">
        <v>2017</v>
      </c>
      <c r="C40" s="18">
        <v>3074.5630000000001</v>
      </c>
      <c r="D40" s="14">
        <v>0.111639605368308</v>
      </c>
      <c r="E40" s="16">
        <v>2.58687169526206E-2</v>
      </c>
      <c r="F40" s="14">
        <v>6.7024159205714806E-2</v>
      </c>
      <c r="G40" s="16">
        <v>4.1078358127642899E-2</v>
      </c>
      <c r="H40" s="14">
        <v>1.4274874185372001E-2</v>
      </c>
      <c r="I40" s="16">
        <v>2.1411172904897399E-2</v>
      </c>
      <c r="J40" s="14">
        <v>4.1436783048517799E-2</v>
      </c>
      <c r="K40" s="15">
        <v>1.8962694861025801E-2</v>
      </c>
      <c r="L40" s="15">
        <v>5.3620303112995302E-2</v>
      </c>
      <c r="M40" s="15">
        <v>5.2885564550149101E-3</v>
      </c>
      <c r="N40" s="16">
        <v>2.0718391524258899E-4</v>
      </c>
      <c r="O40" s="14">
        <v>6.5049894895632302E-7</v>
      </c>
      <c r="P40" s="16">
        <v>8.52153623132783E-5</v>
      </c>
      <c r="Q40" s="14">
        <v>0</v>
      </c>
      <c r="R40" s="15">
        <v>1.7221634424144198E-2</v>
      </c>
      <c r="S40" s="15">
        <v>0</v>
      </c>
      <c r="T40" s="15">
        <v>0</v>
      </c>
      <c r="U40" s="14">
        <v>2.5311974049615502E-3</v>
      </c>
      <c r="V40" s="16">
        <v>2.4986534383263304E-2</v>
      </c>
      <c r="W40" s="14">
        <v>2.7041241308114398E-3</v>
      </c>
      <c r="X40" s="15">
        <v>7.8742897771162895E-4</v>
      </c>
      <c r="Y40" s="16">
        <v>1.08786191728711E-2</v>
      </c>
      <c r="Z40" s="14">
        <v>0.53527607012768996</v>
      </c>
      <c r="AA40" s="15">
        <v>4.7161173799333397E-3</v>
      </c>
      <c r="AB40" s="16">
        <v>0</v>
      </c>
      <c r="AC40" s="26">
        <f t="shared" si="0"/>
        <v>0.26338995167768575</v>
      </c>
    </row>
    <row r="41" spans="1:29" x14ac:dyDescent="0.3">
      <c r="A41" s="17" t="s">
        <v>49</v>
      </c>
      <c r="B41">
        <v>2018</v>
      </c>
      <c r="C41" s="18">
        <v>5214.4120000000003</v>
      </c>
      <c r="D41" s="14">
        <v>4.5123975627549197E-2</v>
      </c>
      <c r="E41" s="16">
        <v>1.11356755085712E-2</v>
      </c>
      <c r="F41" s="14">
        <v>2.77170273465158E-2</v>
      </c>
      <c r="G41" s="16">
        <v>2.5073392743036001E-2</v>
      </c>
      <c r="H41" s="14">
        <v>8.6228322579803805E-3</v>
      </c>
      <c r="I41" s="16">
        <v>2.3254587477936101E-2</v>
      </c>
      <c r="J41" s="14">
        <v>4.3070628097664702E-2</v>
      </c>
      <c r="K41" s="15">
        <v>3.4638037807522698E-2</v>
      </c>
      <c r="L41" s="15">
        <v>3.1313789550959897E-2</v>
      </c>
      <c r="M41" s="15">
        <v>1.23043595327719E-3</v>
      </c>
      <c r="N41" s="16">
        <v>5.1984768368897602E-3</v>
      </c>
      <c r="O41" s="14">
        <v>6.0256074893966899E-4</v>
      </c>
      <c r="P41" s="16">
        <v>0</v>
      </c>
      <c r="Q41" s="14">
        <v>2.6970438979510578E-3</v>
      </c>
      <c r="R41" s="15">
        <v>2.2019363717416394E-2</v>
      </c>
      <c r="S41" s="15">
        <v>0</v>
      </c>
      <c r="T41" s="15">
        <v>2.0509839528144925E-4</v>
      </c>
      <c r="U41" s="14">
        <v>6.0601110762232065E-3</v>
      </c>
      <c r="V41" s="16">
        <v>5.6011125335475788E-2</v>
      </c>
      <c r="W41" s="14">
        <v>1.84910590110639E-3</v>
      </c>
      <c r="X41" s="15">
        <v>4.9186753942726397E-3</v>
      </c>
      <c r="Y41" s="16">
        <v>8.3804271699282704E-3</v>
      </c>
      <c r="Z41" s="14">
        <v>0.63879110434695197</v>
      </c>
      <c r="AA41" s="15">
        <v>2.0865248085498401E-3</v>
      </c>
      <c r="AB41" s="16">
        <v>0</v>
      </c>
      <c r="AC41" s="26">
        <f t="shared" si="0"/>
        <v>0.20072176882072218</v>
      </c>
    </row>
    <row r="42" spans="1:29" x14ac:dyDescent="0.3">
      <c r="A42" s="17" t="s">
        <v>49</v>
      </c>
      <c r="B42">
        <v>2019</v>
      </c>
      <c r="C42" s="18">
        <v>7146.4009999999998</v>
      </c>
      <c r="D42" s="14">
        <v>2.1868490167288399E-2</v>
      </c>
      <c r="E42" s="16">
        <v>2.0699510145036602E-2</v>
      </c>
      <c r="F42" s="14">
        <v>2.1838964815996198E-3</v>
      </c>
      <c r="G42" s="16">
        <v>1.8386177881705799E-2</v>
      </c>
      <c r="H42" s="14">
        <v>4.0361575008175396E-3</v>
      </c>
      <c r="I42" s="16">
        <v>3.4501282533683699E-3</v>
      </c>
      <c r="J42" s="14">
        <v>5.1838680756929297E-3</v>
      </c>
      <c r="K42" s="15">
        <v>8.0468476370133702E-3</v>
      </c>
      <c r="L42" s="15">
        <v>3.6677482833666897E-2</v>
      </c>
      <c r="M42" s="15">
        <v>4.63478050000273E-3</v>
      </c>
      <c r="N42" s="16">
        <v>9.1728689727878406E-3</v>
      </c>
      <c r="O42" s="14">
        <v>4.8346013608808103E-4</v>
      </c>
      <c r="P42" s="16">
        <v>6.5207647877582001E-5</v>
      </c>
      <c r="Q42" s="14">
        <v>0</v>
      </c>
      <c r="R42" s="15">
        <v>2.5781088970518201E-2</v>
      </c>
      <c r="S42" s="15">
        <v>0</v>
      </c>
      <c r="T42" s="15">
        <v>0</v>
      </c>
      <c r="U42" s="14">
        <v>4.3167441959991283E-3</v>
      </c>
      <c r="V42" s="16">
        <v>3.2957542539380012E-2</v>
      </c>
      <c r="W42" s="14">
        <v>2.1413575868468602E-3</v>
      </c>
      <c r="X42" s="15">
        <v>2.2803086476675498E-3</v>
      </c>
      <c r="Y42" s="16">
        <v>7.0487228466468597E-3</v>
      </c>
      <c r="Z42" s="14">
        <v>0.781803316102749</v>
      </c>
      <c r="AA42" s="15">
        <v>8.7820428772468796E-3</v>
      </c>
      <c r="AB42" s="16">
        <v>0</v>
      </c>
      <c r="AC42" s="26">
        <f t="shared" si="0"/>
        <v>9.2320875920620743E-2</v>
      </c>
    </row>
    <row r="43" spans="1:29" x14ac:dyDescent="0.3">
      <c r="A43" s="17" t="s">
        <v>49</v>
      </c>
      <c r="B43">
        <v>2020</v>
      </c>
      <c r="C43" s="18">
        <v>7094.4179999999997</v>
      </c>
      <c r="D43" s="14">
        <v>4.4614089556042499E-2</v>
      </c>
      <c r="E43" s="16">
        <v>1.4717204427480901E-2</v>
      </c>
      <c r="F43" s="14">
        <v>1.3800991145432901E-3</v>
      </c>
      <c r="G43" s="16">
        <v>6.5561403345559804E-3</v>
      </c>
      <c r="H43" s="14">
        <v>2.3763753418532701E-3</v>
      </c>
      <c r="I43" s="16">
        <v>7.0437067564950396E-3</v>
      </c>
      <c r="J43" s="14">
        <v>2.0534313033148E-2</v>
      </c>
      <c r="K43" s="15">
        <v>5.0467846692991598E-3</v>
      </c>
      <c r="L43" s="15">
        <v>2.6497874808053299E-2</v>
      </c>
      <c r="M43" s="15">
        <v>7.6496761256525901E-4</v>
      </c>
      <c r="N43" s="16">
        <v>1.6944307482305099E-3</v>
      </c>
      <c r="O43" s="14">
        <v>2.57949277868882E-5</v>
      </c>
      <c r="P43" s="16">
        <v>1.8324265640958901E-6</v>
      </c>
      <c r="Q43" s="14">
        <v>0</v>
      </c>
      <c r="R43" s="15">
        <v>5.1945205371321503E-2</v>
      </c>
      <c r="S43" s="15">
        <v>0</v>
      </c>
      <c r="T43" s="15">
        <v>0</v>
      </c>
      <c r="U43" s="14">
        <v>8.7526929908153684E-3</v>
      </c>
      <c r="V43" s="16">
        <v>8.8696879334920181E-2</v>
      </c>
      <c r="W43" s="14">
        <v>4.2357244808524099E-4</v>
      </c>
      <c r="X43" s="15">
        <v>9.8669122682086106E-7</v>
      </c>
      <c r="Y43" s="16">
        <v>3.1558614110417499E-3</v>
      </c>
      <c r="Z43" s="14">
        <v>0.704766761699127</v>
      </c>
      <c r="AA43" s="15">
        <v>1.1004426296843501E-2</v>
      </c>
      <c r="AB43" s="16">
        <v>0</v>
      </c>
      <c r="AC43" s="26">
        <f t="shared" si="0"/>
        <v>7.1922319773094781E-2</v>
      </c>
    </row>
    <row r="44" spans="1:29" x14ac:dyDescent="0.3">
      <c r="A44" s="17" t="s">
        <v>49</v>
      </c>
      <c r="B44">
        <v>2021</v>
      </c>
      <c r="C44" s="18">
        <v>5556.4669999999996</v>
      </c>
      <c r="D44" s="14">
        <v>4.0996554105333503E-2</v>
      </c>
      <c r="E44" s="16">
        <v>2.6176165538281799E-2</v>
      </c>
      <c r="F44" s="14">
        <v>1.6512290993539601E-3</v>
      </c>
      <c r="G44" s="16">
        <v>1.0015536851024199E-2</v>
      </c>
      <c r="H44" s="14">
        <v>1.0168151813013599E-2</v>
      </c>
      <c r="I44" s="16">
        <v>5.0091182040674399E-3</v>
      </c>
      <c r="J44" s="14">
        <v>9.3910393060914407E-3</v>
      </c>
      <c r="K44" s="15">
        <v>4.7670579164782196E-3</v>
      </c>
      <c r="L44" s="15">
        <v>2.3792096668620501E-2</v>
      </c>
      <c r="M44" s="15">
        <v>2.0871175874886002E-3</v>
      </c>
      <c r="N44" s="16">
        <v>9.6462374382858696E-3</v>
      </c>
      <c r="O44" s="14">
        <v>1.64133072328154E-4</v>
      </c>
      <c r="P44" s="16">
        <v>0</v>
      </c>
      <c r="Q44" s="14">
        <v>0</v>
      </c>
      <c r="R44" s="15">
        <v>3.34973644223929E-2</v>
      </c>
      <c r="S44" s="15">
        <v>0</v>
      </c>
      <c r="T44" s="15">
        <v>0</v>
      </c>
      <c r="U44" s="14">
        <v>7.2528903812298495E-3</v>
      </c>
      <c r="V44" s="16">
        <v>5.8935390769364576E-2</v>
      </c>
      <c r="W44" s="14">
        <v>3.7757805454437102E-4</v>
      </c>
      <c r="X44" s="15">
        <v>7.5695581382918299E-4</v>
      </c>
      <c r="Y44" s="16">
        <v>7.9996875712570596E-4</v>
      </c>
      <c r="Z44" s="14">
        <v>0.72424977958116199</v>
      </c>
      <c r="AA44" s="15">
        <v>3.0265634619984199E-2</v>
      </c>
      <c r="AB44" s="16">
        <v>0</v>
      </c>
      <c r="AC44" s="26">
        <f t="shared" si="0"/>
        <v>7.6691717956751976E-2</v>
      </c>
    </row>
    <row r="45" spans="1:29" x14ac:dyDescent="0.3">
      <c r="A45" s="17" t="s">
        <v>49</v>
      </c>
      <c r="B45">
        <v>2022</v>
      </c>
      <c r="C45" s="18">
        <v>3222.5010000000002</v>
      </c>
      <c r="D45" s="14">
        <v>5.6520696192181197E-2</v>
      </c>
      <c r="E45" s="16">
        <v>1.82764877342164E-2</v>
      </c>
      <c r="F45" s="14">
        <v>5.9363829522473405E-4</v>
      </c>
      <c r="G45" s="16">
        <v>2.9362597560093899E-2</v>
      </c>
      <c r="H45" s="14">
        <v>1.34367685223372E-4</v>
      </c>
      <c r="I45" s="16">
        <v>6.3922400644716602E-3</v>
      </c>
      <c r="J45" s="14">
        <v>4.7154058291991201E-2</v>
      </c>
      <c r="K45" s="15">
        <v>2.1868108031618898E-3</v>
      </c>
      <c r="L45" s="15">
        <v>6.2988343525727398E-3</v>
      </c>
      <c r="M45" s="15">
        <v>3.53917655882807E-3</v>
      </c>
      <c r="N45" s="16">
        <v>1.13107800432025E-2</v>
      </c>
      <c r="O45" s="14">
        <v>6.8300987338716103E-4</v>
      </c>
      <c r="P45" s="16">
        <v>0</v>
      </c>
      <c r="Q45" s="14">
        <v>0</v>
      </c>
      <c r="R45" s="15">
        <v>5.1477098067618902E-2</v>
      </c>
      <c r="S45" s="15">
        <v>0</v>
      </c>
      <c r="T45" s="15">
        <v>0</v>
      </c>
      <c r="U45" s="14">
        <v>7.2951720305783566E-3</v>
      </c>
      <c r="V45" s="16">
        <v>6.3567179912834573E-2</v>
      </c>
      <c r="W45" s="14">
        <v>4.9896027960891201E-3</v>
      </c>
      <c r="X45" s="15">
        <v>1.0153604296786901E-3</v>
      </c>
      <c r="Y45" s="16">
        <v>2.4195492879598799E-3</v>
      </c>
      <c r="Z45" s="14">
        <v>0.68013012253526095</v>
      </c>
      <c r="AA45" s="15">
        <v>6.6532174854251397E-3</v>
      </c>
      <c r="AB45" s="16">
        <v>0</v>
      </c>
      <c r="AC45" s="26">
        <f t="shared" si="0"/>
        <v>0.10765551352815725</v>
      </c>
    </row>
    <row r="46" spans="1:29" x14ac:dyDescent="0.3">
      <c r="A46" s="17" t="s">
        <v>49</v>
      </c>
      <c r="B46">
        <v>2023</v>
      </c>
      <c r="C46" s="18">
        <v>1274.915</v>
      </c>
      <c r="D46" s="14">
        <v>1.5560253036476899E-2</v>
      </c>
      <c r="E46" s="16">
        <v>7.2467576269790498E-3</v>
      </c>
      <c r="F46" s="14">
        <v>4.3751936403603397E-3</v>
      </c>
      <c r="G46" s="16">
        <v>3.3569296776647897E-2</v>
      </c>
      <c r="H46" s="14">
        <v>1.7256052364275299E-5</v>
      </c>
      <c r="I46" s="16">
        <v>5.5368397108826904E-3</v>
      </c>
      <c r="J46" s="14">
        <v>3.1162077471831501E-2</v>
      </c>
      <c r="K46" s="15">
        <v>2.6652757242639699E-3</v>
      </c>
      <c r="L46" s="15">
        <v>2.1690857821894002E-2</v>
      </c>
      <c r="M46" s="15">
        <v>1.56873203311593E-6</v>
      </c>
      <c r="N46" s="16">
        <v>6.63103030398105E-3</v>
      </c>
      <c r="O46" s="14">
        <v>0</v>
      </c>
      <c r="P46" s="16">
        <v>0</v>
      </c>
      <c r="Q46" s="14">
        <v>0</v>
      </c>
      <c r="R46" s="15">
        <v>2.56973994344721E-2</v>
      </c>
      <c r="S46" s="15">
        <v>0</v>
      </c>
      <c r="T46" s="15">
        <v>0</v>
      </c>
      <c r="U46" s="14">
        <v>1.2377158213637132E-2</v>
      </c>
      <c r="V46" s="16">
        <v>2.2001604292098468E-2</v>
      </c>
      <c r="W46" s="14">
        <v>1.3098912476517999E-4</v>
      </c>
      <c r="X46" s="15">
        <v>0</v>
      </c>
      <c r="Y46" s="16">
        <v>3.6669111274084901E-3</v>
      </c>
      <c r="Z46" s="14">
        <v>0.79722961922951696</v>
      </c>
      <c r="AA46" s="15">
        <v>1.04399116803865E-2</v>
      </c>
      <c r="AB46" s="16">
        <v>0</v>
      </c>
      <c r="AC46" s="26">
        <f t="shared" si="0"/>
        <v>0.10564939623425885</v>
      </c>
    </row>
    <row r="47" spans="1:29" ht="15" thickBot="1" x14ac:dyDescent="0.35">
      <c r="A47" s="4" t="s">
        <v>49</v>
      </c>
      <c r="B47" s="5">
        <v>2024</v>
      </c>
      <c r="C47" s="19">
        <v>2022.8119999999999</v>
      </c>
      <c r="D47" s="20">
        <v>2.54280265722319E-2</v>
      </c>
      <c r="E47" s="21">
        <v>1.5936145540402701E-2</v>
      </c>
      <c r="F47" s="20">
        <v>7.2488116075629799E-3</v>
      </c>
      <c r="G47" s="21">
        <v>3.9399144700519098E-3</v>
      </c>
      <c r="H47" s="20">
        <v>3.3434058978843899E-3</v>
      </c>
      <c r="I47" s="21">
        <v>1.11078769818831E-2</v>
      </c>
      <c r="J47" s="20">
        <v>4.1668342186211002E-2</v>
      </c>
      <c r="K47" s="22">
        <v>2.8906016635572299E-2</v>
      </c>
      <c r="L47" s="22">
        <v>3.83801503049239E-2</v>
      </c>
      <c r="M47" s="22">
        <v>3.6475759714607201E-3</v>
      </c>
      <c r="N47" s="21">
        <v>3.6520128120801501E-3</v>
      </c>
      <c r="O47" s="20">
        <v>0</v>
      </c>
      <c r="P47" s="21">
        <v>0</v>
      </c>
      <c r="Q47" s="20">
        <v>0</v>
      </c>
      <c r="R47" s="22">
        <v>6.6338161994811795E-2</v>
      </c>
      <c r="S47" s="22">
        <v>0</v>
      </c>
      <c r="T47" s="22">
        <v>0</v>
      </c>
      <c r="U47" s="20">
        <v>4.582821834705271E-3</v>
      </c>
      <c r="V47" s="21">
        <v>0.15417818113882523</v>
      </c>
      <c r="W47" s="20">
        <v>1.48239774917994E-3</v>
      </c>
      <c r="X47" s="22">
        <v>5.0477394966057004E-4</v>
      </c>
      <c r="Y47" s="21">
        <v>3.0163176518039699E-3</v>
      </c>
      <c r="Z47" s="20">
        <v>0.57940701649108095</v>
      </c>
      <c r="AA47" s="22">
        <v>7.2320502096673697E-3</v>
      </c>
      <c r="AB47" s="21">
        <v>0</v>
      </c>
      <c r="AC47" s="27">
        <f t="shared" si="0"/>
        <v>0.14189410686763046</v>
      </c>
    </row>
    <row r="49" spans="1:29" ht="15" thickBot="1" x14ac:dyDescent="0.35">
      <c r="A49" t="s">
        <v>71</v>
      </c>
    </row>
    <row r="50" spans="1:29" ht="15" thickBot="1" x14ac:dyDescent="0.35">
      <c r="A50" s="1"/>
      <c r="B50" s="2"/>
      <c r="C50" s="3"/>
      <c r="D50" s="88" t="s">
        <v>2</v>
      </c>
      <c r="E50" s="89"/>
      <c r="F50" s="89"/>
      <c r="G50" s="89"/>
      <c r="H50" s="89"/>
      <c r="I50" s="90"/>
      <c r="J50" s="88" t="s">
        <v>3</v>
      </c>
      <c r="K50" s="89"/>
      <c r="L50" s="89"/>
      <c r="M50" s="89"/>
      <c r="N50" s="89"/>
      <c r="O50" s="89"/>
      <c r="P50" s="89"/>
      <c r="Q50" s="89"/>
      <c r="R50" s="89"/>
      <c r="S50" s="89"/>
      <c r="T50" s="89"/>
      <c r="U50" s="89"/>
      <c r="V50" s="89"/>
      <c r="W50" s="89"/>
      <c r="X50" s="89"/>
      <c r="Y50" s="90"/>
      <c r="Z50" s="91" t="s">
        <v>4</v>
      </c>
      <c r="AA50" s="92"/>
      <c r="AB50" s="93"/>
      <c r="AC50" s="97" t="s">
        <v>38</v>
      </c>
    </row>
    <row r="51" spans="1:29" ht="15" thickBot="1" x14ac:dyDescent="0.35">
      <c r="A51" s="4"/>
      <c r="B51" s="5"/>
      <c r="C51" s="6"/>
      <c r="D51" s="85" t="s">
        <v>5</v>
      </c>
      <c r="E51" s="86"/>
      <c r="F51" s="85" t="s">
        <v>6</v>
      </c>
      <c r="G51" s="86"/>
      <c r="H51" s="85" t="s">
        <v>7</v>
      </c>
      <c r="I51" s="86"/>
      <c r="J51" s="85" t="s">
        <v>8</v>
      </c>
      <c r="K51" s="87"/>
      <c r="L51" s="87"/>
      <c r="M51" s="87"/>
      <c r="N51" s="86"/>
      <c r="O51" s="85" t="s">
        <v>9</v>
      </c>
      <c r="P51" s="86"/>
      <c r="Q51" s="85" t="s">
        <v>10</v>
      </c>
      <c r="R51" s="87"/>
      <c r="S51" s="87"/>
      <c r="T51" s="87"/>
      <c r="U51" s="87"/>
      <c r="V51" s="86"/>
      <c r="W51" s="85" t="s">
        <v>11</v>
      </c>
      <c r="X51" s="87"/>
      <c r="Y51" s="86"/>
      <c r="Z51" s="94"/>
      <c r="AA51" s="95"/>
      <c r="AB51" s="96"/>
      <c r="AC51" s="98"/>
    </row>
    <row r="52" spans="1:29" ht="43.8" thickBot="1" x14ac:dyDescent="0.35">
      <c r="A52" s="7" t="s">
        <v>12</v>
      </c>
      <c r="B52" s="8" t="s">
        <v>27</v>
      </c>
      <c r="C52" s="9" t="s">
        <v>13</v>
      </c>
      <c r="D52" s="7" t="s">
        <v>14</v>
      </c>
      <c r="E52" s="9" t="s">
        <v>15</v>
      </c>
      <c r="F52" s="7" t="s">
        <v>16</v>
      </c>
      <c r="G52" s="9" t="s">
        <v>17</v>
      </c>
      <c r="H52" s="7" t="s">
        <v>18</v>
      </c>
      <c r="I52" s="9" t="s">
        <v>19</v>
      </c>
      <c r="J52" s="7" t="s">
        <v>20</v>
      </c>
      <c r="K52" s="8" t="s">
        <v>21</v>
      </c>
      <c r="L52" s="8" t="s">
        <v>22</v>
      </c>
      <c r="M52" s="8" t="s">
        <v>7</v>
      </c>
      <c r="N52" s="9" t="s">
        <v>6</v>
      </c>
      <c r="O52" s="31" t="s">
        <v>40</v>
      </c>
      <c r="P52" s="31" t="s">
        <v>42</v>
      </c>
      <c r="Q52" s="7" t="s">
        <v>23</v>
      </c>
      <c r="R52" s="8" t="s">
        <v>60</v>
      </c>
      <c r="S52" s="8" t="s">
        <v>24</v>
      </c>
      <c r="T52" s="8" t="s">
        <v>25</v>
      </c>
      <c r="U52" s="7" t="s">
        <v>44</v>
      </c>
      <c r="V52" s="31" t="s">
        <v>62</v>
      </c>
      <c r="W52" s="7" t="s">
        <v>36</v>
      </c>
      <c r="X52" s="8" t="s">
        <v>35</v>
      </c>
      <c r="Y52" s="9" t="s">
        <v>43</v>
      </c>
      <c r="Z52" s="7" t="s">
        <v>4</v>
      </c>
      <c r="AA52" s="8" t="s">
        <v>28</v>
      </c>
      <c r="AB52" s="9" t="s">
        <v>29</v>
      </c>
      <c r="AC52" s="30" t="s">
        <v>37</v>
      </c>
    </row>
    <row r="53" spans="1:29" x14ac:dyDescent="0.3">
      <c r="A53" s="17" t="s">
        <v>49</v>
      </c>
      <c r="B53">
        <v>1988</v>
      </c>
      <c r="C53" s="18">
        <v>2069.692</v>
      </c>
      <c r="D53" s="14">
        <v>7.6247093770474103E-2</v>
      </c>
      <c r="E53" s="16">
        <v>2.8468003934885001E-3</v>
      </c>
      <c r="F53" s="14">
        <v>9.5792997218909895E-2</v>
      </c>
      <c r="G53" s="16">
        <v>2.9183086179006301E-3</v>
      </c>
      <c r="H53" s="14">
        <v>5.0250955214592302E-2</v>
      </c>
      <c r="I53" s="16">
        <v>6.94789369626012E-4</v>
      </c>
      <c r="J53" s="14">
        <v>1.4718615136938199E-2</v>
      </c>
      <c r="K53" s="15">
        <v>8.7075758132127892E-3</v>
      </c>
      <c r="L53" s="15">
        <v>5.16115441331367E-3</v>
      </c>
      <c r="M53" s="15">
        <v>0</v>
      </c>
      <c r="N53" s="16">
        <v>2.1017620013026101E-4</v>
      </c>
      <c r="O53" s="14">
        <v>3.0263440164043701E-2</v>
      </c>
      <c r="P53" s="16">
        <v>1.6643539231924399E-2</v>
      </c>
      <c r="Q53" s="14">
        <v>5.3405671539166573E-3</v>
      </c>
      <c r="R53" s="15">
        <v>6.0120117670783256E-3</v>
      </c>
      <c r="S53" s="15">
        <v>3.3365632315572151E-3</v>
      </c>
      <c r="T53" s="15">
        <v>0</v>
      </c>
      <c r="U53" s="14">
        <v>3.6509546801417554E-2</v>
      </c>
      <c r="V53" s="16">
        <v>1.8358037360863635E-2</v>
      </c>
      <c r="W53" s="14">
        <v>0</v>
      </c>
      <c r="X53" s="15">
        <v>1.5315805443515299E-2</v>
      </c>
      <c r="Y53" s="16">
        <v>2.6685129961366199E-3</v>
      </c>
      <c r="Z53" s="14">
        <v>0.60580511496396605</v>
      </c>
      <c r="AA53" s="15">
        <v>2.1983947369946799E-3</v>
      </c>
      <c r="AB53" s="16">
        <v>0</v>
      </c>
      <c r="AC53" s="26">
        <f t="shared" ref="AC53:AC89" si="1">SUM(F53:P53)</f>
        <v>0.22536155138059186</v>
      </c>
    </row>
    <row r="54" spans="1:29" x14ac:dyDescent="0.3">
      <c r="A54" s="17" t="s">
        <v>49</v>
      </c>
      <c r="B54">
        <v>1989</v>
      </c>
      <c r="C54" s="18">
        <v>1734.5219999999999</v>
      </c>
      <c r="D54" s="14">
        <v>6.8013550707341899E-2</v>
      </c>
      <c r="E54" s="16">
        <v>3.92817156542263E-2</v>
      </c>
      <c r="F54" s="14">
        <v>7.8853424747567305E-2</v>
      </c>
      <c r="G54" s="16">
        <v>2.88263855978765E-6</v>
      </c>
      <c r="H54" s="14">
        <v>1.2296183040630199E-2</v>
      </c>
      <c r="I54" s="16">
        <v>4.0356939837027096E-6</v>
      </c>
      <c r="J54" s="14">
        <v>2.3061108478301201E-6</v>
      </c>
      <c r="K54" s="15">
        <v>1.3317790146219E-4</v>
      </c>
      <c r="L54" s="15">
        <v>4.0748978681158302E-3</v>
      </c>
      <c r="M54" s="15">
        <v>0</v>
      </c>
      <c r="N54" s="16">
        <v>2.3061108478301201E-6</v>
      </c>
      <c r="O54" s="14">
        <v>7.5010867547370394E-2</v>
      </c>
      <c r="P54" s="16">
        <v>6.6075841067452599E-3</v>
      </c>
      <c r="Q54" s="14">
        <v>0</v>
      </c>
      <c r="R54" s="15">
        <v>4.1169843910887297E-3</v>
      </c>
      <c r="S54" s="15">
        <v>0</v>
      </c>
      <c r="T54" s="15">
        <v>0</v>
      </c>
      <c r="U54" s="14">
        <v>5.2295350683824404E-2</v>
      </c>
      <c r="V54" s="16">
        <v>4.2372271675951909E-3</v>
      </c>
      <c r="W54" s="14">
        <v>0</v>
      </c>
      <c r="X54" s="15">
        <v>1.3272244456974299E-2</v>
      </c>
      <c r="Y54" s="16">
        <v>1.37674817615458E-3</v>
      </c>
      <c r="Z54" s="14">
        <v>0.64041851299666397</v>
      </c>
      <c r="AA54" s="15">
        <v>0</v>
      </c>
      <c r="AB54" s="16">
        <v>0</v>
      </c>
      <c r="AC54" s="26">
        <f t="shared" si="1"/>
        <v>0.17698766576613031</v>
      </c>
    </row>
    <row r="55" spans="1:29" x14ac:dyDescent="0.3">
      <c r="A55" s="17" t="s">
        <v>49</v>
      </c>
      <c r="B55">
        <v>1990</v>
      </c>
      <c r="C55" s="18">
        <v>1242.2940000000001</v>
      </c>
      <c r="D55" s="14">
        <v>0.27446240583951897</v>
      </c>
      <c r="E55" s="16">
        <v>8.0528441737624107E-3</v>
      </c>
      <c r="F55" s="14">
        <v>0.18948091192583999</v>
      </c>
      <c r="G55" s="16">
        <v>3.7004123017578801E-3</v>
      </c>
      <c r="H55" s="14">
        <v>3.6693407518671103E-2</v>
      </c>
      <c r="I55" s="16">
        <v>3.1188269443465099E-2</v>
      </c>
      <c r="J55" s="14">
        <v>8.7604061518448892E-3</v>
      </c>
      <c r="K55" s="15">
        <v>7.4056543781101701E-5</v>
      </c>
      <c r="L55" s="15">
        <v>7.5763064137796699E-3</v>
      </c>
      <c r="M55" s="15">
        <v>0</v>
      </c>
      <c r="N55" s="16">
        <v>8.7402820910348102E-3</v>
      </c>
      <c r="O55" s="14">
        <v>3.25760246769283E-2</v>
      </c>
      <c r="P55" s="16">
        <v>1.8575313090138101E-2</v>
      </c>
      <c r="Q55" s="14">
        <v>0</v>
      </c>
      <c r="R55" s="15">
        <v>1.55494593067342E-2</v>
      </c>
      <c r="S55" s="15">
        <v>0</v>
      </c>
      <c r="T55" s="15">
        <v>0</v>
      </c>
      <c r="U55" s="14">
        <v>5.4659594266521137E-2</v>
      </c>
      <c r="V55" s="16">
        <v>2.3290552800115296E-2</v>
      </c>
      <c r="W55" s="14">
        <v>0</v>
      </c>
      <c r="X55" s="15">
        <v>0</v>
      </c>
      <c r="Y55" s="16">
        <v>4.5770163906450499E-3</v>
      </c>
      <c r="Z55" s="14">
        <v>0.27031443442534497</v>
      </c>
      <c r="AA55" s="15">
        <v>1.17283026401158E-2</v>
      </c>
      <c r="AB55" s="16">
        <v>0</v>
      </c>
      <c r="AC55" s="26">
        <f t="shared" si="1"/>
        <v>0.33736539015724093</v>
      </c>
    </row>
    <row r="56" spans="1:29" x14ac:dyDescent="0.3">
      <c r="A56" s="17" t="s">
        <v>49</v>
      </c>
      <c r="B56">
        <v>1991</v>
      </c>
      <c r="C56" s="18">
        <v>622.88699999999994</v>
      </c>
      <c r="D56" s="14">
        <v>0.33414889056923702</v>
      </c>
      <c r="E56" s="16">
        <v>7.0462218668875696E-3</v>
      </c>
      <c r="F56" s="14">
        <v>0.21450921274645299</v>
      </c>
      <c r="G56" s="16">
        <v>4.9768256521648402E-3</v>
      </c>
      <c r="H56" s="14">
        <v>3.2338128745663303E-2</v>
      </c>
      <c r="I56" s="16">
        <v>1.6054276297305899E-6</v>
      </c>
      <c r="J56" s="14">
        <v>4.9254519680134601E-3</v>
      </c>
      <c r="K56" s="15">
        <v>8.9711295949345595E-3</v>
      </c>
      <c r="L56" s="15">
        <v>5.4584539410840198E-5</v>
      </c>
      <c r="M56" s="15">
        <v>0</v>
      </c>
      <c r="N56" s="16">
        <v>0</v>
      </c>
      <c r="O56" s="14">
        <v>6.7907983309974398E-2</v>
      </c>
      <c r="P56" s="16">
        <v>1.53880238309677E-2</v>
      </c>
      <c r="Q56" s="14">
        <v>7.0028753208848504E-3</v>
      </c>
      <c r="R56" s="15">
        <v>0</v>
      </c>
      <c r="S56" s="15">
        <v>0</v>
      </c>
      <c r="T56" s="15">
        <v>0</v>
      </c>
      <c r="U56" s="14">
        <v>3.3890294901969403E-2</v>
      </c>
      <c r="V56" s="16">
        <v>1.8491597800880392E-2</v>
      </c>
      <c r="W56" s="14">
        <v>0</v>
      </c>
      <c r="X56" s="15">
        <v>3.3095890586896201E-2</v>
      </c>
      <c r="Y56" s="16">
        <v>4.8162828891917801E-6</v>
      </c>
      <c r="Z56" s="14">
        <v>0.21522362804168299</v>
      </c>
      <c r="AA56" s="15">
        <v>2.0228388134605501E-3</v>
      </c>
      <c r="AB56" s="16">
        <v>0</v>
      </c>
      <c r="AC56" s="26">
        <f t="shared" si="1"/>
        <v>0.34907294581521181</v>
      </c>
    </row>
    <row r="57" spans="1:29" x14ac:dyDescent="0.3">
      <c r="A57" s="17" t="s">
        <v>49</v>
      </c>
      <c r="B57">
        <v>1992</v>
      </c>
      <c r="C57" s="18">
        <v>335.72399999999999</v>
      </c>
      <c r="D57" s="14">
        <v>0.13208766725047999</v>
      </c>
      <c r="E57" s="16">
        <v>6.6066173404343998E-3</v>
      </c>
      <c r="F57" s="14">
        <v>0.20005718983450699</v>
      </c>
      <c r="G57" s="16">
        <v>5.4181410920875498E-3</v>
      </c>
      <c r="H57" s="14">
        <v>6.145226436001E-2</v>
      </c>
      <c r="I57" s="16">
        <v>0</v>
      </c>
      <c r="J57" s="14">
        <v>1.87386067126568E-2</v>
      </c>
      <c r="K57" s="15">
        <v>1.0508632090645899E-2</v>
      </c>
      <c r="L57" s="15">
        <v>1.63229319321824E-2</v>
      </c>
      <c r="M57" s="15">
        <v>0</v>
      </c>
      <c r="N57" s="16">
        <v>0</v>
      </c>
      <c r="O57" s="14">
        <v>6.0609310028475798E-2</v>
      </c>
      <c r="P57" s="16">
        <v>8.0423204775351198E-2</v>
      </c>
      <c r="Q57" s="14">
        <v>0</v>
      </c>
      <c r="R57" s="15">
        <v>3.8180171807794497E-2</v>
      </c>
      <c r="S57" s="15">
        <v>0</v>
      </c>
      <c r="T57" s="15">
        <v>0</v>
      </c>
      <c r="U57" s="14">
        <v>3.0029348084710542E-2</v>
      </c>
      <c r="V57" s="16">
        <v>1.3250250633283955E-2</v>
      </c>
      <c r="W57" s="14">
        <v>4.0509466109065801E-4</v>
      </c>
      <c r="X57" s="15">
        <v>9.8295028058762501E-5</v>
      </c>
      <c r="Y57" s="16">
        <v>1.3234085141366101E-2</v>
      </c>
      <c r="Z57" s="14">
        <v>0.31257818922686498</v>
      </c>
      <c r="AA57" s="15">
        <v>0</v>
      </c>
      <c r="AB57" s="16">
        <v>0</v>
      </c>
      <c r="AC57" s="26">
        <f t="shared" si="1"/>
        <v>0.45353028082591668</v>
      </c>
    </row>
    <row r="58" spans="1:29" x14ac:dyDescent="0.3">
      <c r="A58" s="17" t="s">
        <v>49</v>
      </c>
      <c r="B58">
        <v>1993</v>
      </c>
      <c r="C58" s="18">
        <v>493.09699999999998</v>
      </c>
      <c r="D58" s="14">
        <v>0.115127449568746</v>
      </c>
      <c r="E58" s="16">
        <v>1.8677866626647499E-2</v>
      </c>
      <c r="F58" s="14">
        <v>0.13752669353088701</v>
      </c>
      <c r="G58" s="16">
        <v>1.1194551984700801E-3</v>
      </c>
      <c r="H58" s="14">
        <v>9.2363165867973204E-2</v>
      </c>
      <c r="I58" s="16">
        <v>0</v>
      </c>
      <c r="J58" s="14">
        <v>3.58347343423302E-3</v>
      </c>
      <c r="K58" s="15">
        <v>9.3389333133237495E-3</v>
      </c>
      <c r="L58" s="15">
        <v>3.1839577202862703E-4</v>
      </c>
      <c r="M58" s="15">
        <v>0</v>
      </c>
      <c r="N58" s="16">
        <v>8.8420736690752501E-4</v>
      </c>
      <c r="O58" s="14">
        <v>7.48331464194672E-2</v>
      </c>
      <c r="P58" s="16">
        <v>3.1987621096863303E-2</v>
      </c>
      <c r="Q58" s="14">
        <v>0</v>
      </c>
      <c r="R58" s="15">
        <v>3.2518956716427003E-2</v>
      </c>
      <c r="S58" s="15">
        <v>0</v>
      </c>
      <c r="T58" s="15">
        <v>0</v>
      </c>
      <c r="U58" s="14">
        <v>6.1604283080263625E-2</v>
      </c>
      <c r="V58" s="16">
        <v>2.2367024796279975E-2</v>
      </c>
      <c r="W58" s="14">
        <v>3.4638215199037899E-3</v>
      </c>
      <c r="X58" s="15">
        <v>2.23079840274834E-5</v>
      </c>
      <c r="Y58" s="16">
        <v>0</v>
      </c>
      <c r="Z58" s="14">
        <v>0.39426319770754997</v>
      </c>
      <c r="AA58" s="15">
        <v>0</v>
      </c>
      <c r="AB58" s="16">
        <v>0</v>
      </c>
      <c r="AC58" s="26">
        <f t="shared" si="1"/>
        <v>0.35195509200015379</v>
      </c>
    </row>
    <row r="59" spans="1:29" x14ac:dyDescent="0.3">
      <c r="A59" s="17" t="s">
        <v>49</v>
      </c>
      <c r="B59">
        <v>1994</v>
      </c>
      <c r="C59" s="18">
        <v>996.3</v>
      </c>
      <c r="D59" s="14">
        <v>0.10006925624811799</v>
      </c>
      <c r="E59" s="16">
        <v>1.18277627220717E-2</v>
      </c>
      <c r="F59" s="14">
        <v>0.16090635350797999</v>
      </c>
      <c r="G59" s="16">
        <v>1.6237077185586701E-2</v>
      </c>
      <c r="H59" s="14">
        <v>7.4761617986550205E-2</v>
      </c>
      <c r="I59" s="16">
        <v>2.9308441232560502E-4</v>
      </c>
      <c r="J59" s="14">
        <v>4.3169727993576197E-3</v>
      </c>
      <c r="K59" s="15">
        <v>1.0946502057613199E-2</v>
      </c>
      <c r="L59" s="15">
        <v>4.0821037840008002E-3</v>
      </c>
      <c r="M59" s="15">
        <v>0</v>
      </c>
      <c r="N59" s="16">
        <v>5.7412425976111601E-4</v>
      </c>
      <c r="O59" s="14">
        <v>5.0034126267188603E-2</v>
      </c>
      <c r="P59" s="16">
        <v>9.9996988858777502E-2</v>
      </c>
      <c r="Q59" s="14">
        <v>0</v>
      </c>
      <c r="R59" s="15">
        <v>0</v>
      </c>
      <c r="S59" s="15">
        <v>0</v>
      </c>
      <c r="T59" s="15">
        <v>0</v>
      </c>
      <c r="U59" s="14">
        <v>7.3950077155162219E-2</v>
      </c>
      <c r="V59" s="16">
        <v>2.8163743983048793E-2</v>
      </c>
      <c r="W59" s="14">
        <v>2.0074274816822199E-6</v>
      </c>
      <c r="X59" s="15">
        <v>3.1368061828766398E-2</v>
      </c>
      <c r="Y59" s="16">
        <v>0</v>
      </c>
      <c r="Z59" s="14">
        <v>0.32748168222423002</v>
      </c>
      <c r="AA59" s="15">
        <v>4.9884572919803296E-3</v>
      </c>
      <c r="AB59" s="16">
        <v>0</v>
      </c>
      <c r="AC59" s="26">
        <f t="shared" si="1"/>
        <v>0.42214895111914136</v>
      </c>
    </row>
    <row r="60" spans="1:29" x14ac:dyDescent="0.3">
      <c r="A60" s="17" t="s">
        <v>49</v>
      </c>
      <c r="B60">
        <v>1995</v>
      </c>
      <c r="C60" s="18">
        <v>522.904</v>
      </c>
      <c r="D60" s="14">
        <v>0.18074063307987701</v>
      </c>
      <c r="E60" s="16">
        <v>3.1382433486835101E-2</v>
      </c>
      <c r="F60" s="14">
        <v>9.2408931658583604E-2</v>
      </c>
      <c r="G60" s="16">
        <v>4.1908266144454802E-2</v>
      </c>
      <c r="H60" s="14">
        <v>2.5000764958768702E-2</v>
      </c>
      <c r="I60" s="16">
        <v>3.8247938436118297E-6</v>
      </c>
      <c r="J60" s="14">
        <v>1.52016431314352E-2</v>
      </c>
      <c r="K60" s="15">
        <v>1.29105916191117E-2</v>
      </c>
      <c r="L60" s="15">
        <v>8.4336704251640796E-4</v>
      </c>
      <c r="M60" s="15">
        <v>0</v>
      </c>
      <c r="N60" s="16">
        <v>1.7439147529948101E-2</v>
      </c>
      <c r="O60" s="14">
        <v>3.6605189480287001E-2</v>
      </c>
      <c r="P60" s="16">
        <v>6.5403974725762298E-3</v>
      </c>
      <c r="Q60" s="14">
        <v>0</v>
      </c>
      <c r="R60" s="15">
        <v>4.7025840307207403E-3</v>
      </c>
      <c r="S60" s="15">
        <v>0</v>
      </c>
      <c r="T60" s="15">
        <v>0</v>
      </c>
      <c r="U60" s="14">
        <v>2.5801131526511742E-2</v>
      </c>
      <c r="V60" s="16">
        <v>5.477197558301506E-2</v>
      </c>
      <c r="W60" s="14">
        <v>0</v>
      </c>
      <c r="X60" s="15">
        <v>3.1520126065205101E-2</v>
      </c>
      <c r="Y60" s="16">
        <v>0</v>
      </c>
      <c r="Z60" s="14">
        <v>0.416290561938711</v>
      </c>
      <c r="AA60" s="15">
        <v>5.92843045759833E-3</v>
      </c>
      <c r="AB60" s="16">
        <v>0</v>
      </c>
      <c r="AC60" s="26">
        <f t="shared" si="1"/>
        <v>0.24886212383152539</v>
      </c>
    </row>
    <row r="61" spans="1:29" x14ac:dyDescent="0.3">
      <c r="A61" s="17" t="s">
        <v>49</v>
      </c>
      <c r="B61">
        <v>1996</v>
      </c>
      <c r="C61" s="18">
        <v>777.25599999999997</v>
      </c>
      <c r="D61" s="14">
        <v>0.15794667394011799</v>
      </c>
      <c r="E61" s="16">
        <v>1.1108309231450101E-2</v>
      </c>
      <c r="F61" s="14">
        <v>9.5193861481931309E-3</v>
      </c>
      <c r="G61" s="16">
        <v>3.1230379694720901E-2</v>
      </c>
      <c r="H61" s="14">
        <v>3.2383153040954301E-3</v>
      </c>
      <c r="I61" s="16">
        <v>9.6467573103327601E-3</v>
      </c>
      <c r="J61" s="14">
        <v>1.8987309200572299E-2</v>
      </c>
      <c r="K61" s="15">
        <v>1.3416429078707701E-2</v>
      </c>
      <c r="L61" s="15">
        <v>7.7850798192616102E-3</v>
      </c>
      <c r="M61" s="15">
        <v>1.2093827516288099E-3</v>
      </c>
      <c r="N61" s="16">
        <v>1.2847761869963E-2</v>
      </c>
      <c r="O61" s="14">
        <v>5.8745123871671596E-3</v>
      </c>
      <c r="P61" s="16">
        <v>5.09484648558519E-4</v>
      </c>
      <c r="Q61" s="14">
        <v>1.15393126588923E-2</v>
      </c>
      <c r="R61" s="15">
        <v>0</v>
      </c>
      <c r="S61" s="15">
        <v>0</v>
      </c>
      <c r="T61" s="15">
        <v>0</v>
      </c>
      <c r="U61" s="14">
        <v>5.4448295246405924E-2</v>
      </c>
      <c r="V61" s="16">
        <v>2.3553032501466072E-2</v>
      </c>
      <c r="W61" s="14">
        <v>0</v>
      </c>
      <c r="X61" s="15">
        <v>1.02926191627984E-5</v>
      </c>
      <c r="Y61" s="16">
        <v>0</v>
      </c>
      <c r="Z61" s="14">
        <v>0.62712928558930403</v>
      </c>
      <c r="AA61" s="15">
        <v>0</v>
      </c>
      <c r="AB61" s="16">
        <v>0</v>
      </c>
      <c r="AC61" s="26">
        <f t="shared" si="1"/>
        <v>0.1142647982132013</v>
      </c>
    </row>
    <row r="62" spans="1:29" x14ac:dyDescent="0.3">
      <c r="A62" s="17" t="s">
        <v>49</v>
      </c>
      <c r="B62">
        <v>1997</v>
      </c>
      <c r="C62" s="18">
        <v>628.57899999999995</v>
      </c>
      <c r="D62" s="14">
        <v>0.140655351196906</v>
      </c>
      <c r="E62" s="16">
        <v>2.5188560228706299E-2</v>
      </c>
      <c r="F62" s="14">
        <v>7.2325037902952499E-2</v>
      </c>
      <c r="G62" s="16">
        <v>2.6152639525023901E-2</v>
      </c>
      <c r="H62" s="14">
        <v>4.5547178636257298E-3</v>
      </c>
      <c r="I62" s="16">
        <v>0</v>
      </c>
      <c r="J62" s="14">
        <v>2.0040440421967599E-2</v>
      </c>
      <c r="K62" s="15">
        <v>1.12110013220295E-2</v>
      </c>
      <c r="L62" s="15">
        <v>2.5777189502035499E-2</v>
      </c>
      <c r="M62" s="15">
        <v>1.59088992791678E-6</v>
      </c>
      <c r="N62" s="16">
        <v>8.2201282575459899E-3</v>
      </c>
      <c r="O62" s="14">
        <v>3.7680227942708901E-2</v>
      </c>
      <c r="P62" s="16">
        <v>1.62907128618678E-3</v>
      </c>
      <c r="Q62" s="14">
        <v>0</v>
      </c>
      <c r="R62" s="15">
        <v>0</v>
      </c>
      <c r="S62" s="15">
        <v>0</v>
      </c>
      <c r="T62" s="15">
        <v>0</v>
      </c>
      <c r="U62" s="14">
        <v>0.14524688286489579</v>
      </c>
      <c r="V62" s="16">
        <v>7.9319538445711962E-3</v>
      </c>
      <c r="W62" s="14">
        <v>0</v>
      </c>
      <c r="X62" s="15">
        <v>2.34338086382141E-2</v>
      </c>
      <c r="Y62" s="16">
        <v>0</v>
      </c>
      <c r="Z62" s="14">
        <v>0.44995139831270198</v>
      </c>
      <c r="AA62" s="15">
        <v>0</v>
      </c>
      <c r="AB62" s="16">
        <v>0</v>
      </c>
      <c r="AC62" s="26">
        <f t="shared" si="1"/>
        <v>0.20759204491400429</v>
      </c>
    </row>
    <row r="63" spans="1:29" x14ac:dyDescent="0.3">
      <c r="A63" s="17" t="s">
        <v>49</v>
      </c>
      <c r="B63">
        <v>1998</v>
      </c>
      <c r="C63" s="18">
        <v>737.11099999999999</v>
      </c>
      <c r="D63" s="14">
        <v>0.209094695371525</v>
      </c>
      <c r="E63" s="16">
        <v>9.9917108820788206E-2</v>
      </c>
      <c r="F63" s="14">
        <v>6.3377157578709306E-2</v>
      </c>
      <c r="G63" s="16">
        <v>0.13903740413587601</v>
      </c>
      <c r="H63" s="14">
        <v>0</v>
      </c>
      <c r="I63" s="16">
        <v>0</v>
      </c>
      <c r="J63" s="14">
        <v>1.4014171542684899E-2</v>
      </c>
      <c r="K63" s="15">
        <v>1.26914399595176E-2</v>
      </c>
      <c r="L63" s="15">
        <v>4.6505885816383201E-2</v>
      </c>
      <c r="M63" s="15">
        <v>6.9623163946814001E-3</v>
      </c>
      <c r="N63" s="16">
        <v>1.10336163752813E-2</v>
      </c>
      <c r="O63" s="14">
        <v>4.0930063450416599E-3</v>
      </c>
      <c r="P63" s="16">
        <v>1.35664777760744E-6</v>
      </c>
      <c r="Q63" s="14">
        <v>0</v>
      </c>
      <c r="R63" s="15">
        <v>7.2363592457581E-3</v>
      </c>
      <c r="S63" s="15">
        <v>0</v>
      </c>
      <c r="T63" s="15">
        <v>0</v>
      </c>
      <c r="U63" s="14">
        <v>3.0644148888467355E-2</v>
      </c>
      <c r="V63" s="16">
        <v>2.466773765236574E-2</v>
      </c>
      <c r="W63" s="14">
        <v>0</v>
      </c>
      <c r="X63" s="15">
        <v>7.0450719091154504E-3</v>
      </c>
      <c r="Y63" s="16">
        <v>1.72294267756145E-4</v>
      </c>
      <c r="Z63" s="14">
        <v>0.311296399049804</v>
      </c>
      <c r="AA63" s="15">
        <v>1.2209829998467E-2</v>
      </c>
      <c r="AB63" s="16">
        <v>0</v>
      </c>
      <c r="AC63" s="26">
        <f t="shared" si="1"/>
        <v>0.29771635479595299</v>
      </c>
    </row>
    <row r="64" spans="1:29" x14ac:dyDescent="0.3">
      <c r="A64" s="17" t="s">
        <v>49</v>
      </c>
      <c r="B64">
        <v>1999</v>
      </c>
      <c r="C64" s="18">
        <v>823.07</v>
      </c>
      <c r="D64" s="14">
        <v>0.14525374512495901</v>
      </c>
      <c r="E64" s="16">
        <v>6.4898489800381501E-2</v>
      </c>
      <c r="F64" s="14">
        <v>5.9764054090174603E-3</v>
      </c>
      <c r="G64" s="16">
        <v>4.4246540391461198E-2</v>
      </c>
      <c r="H64" s="14">
        <v>0</v>
      </c>
      <c r="I64" s="16">
        <v>0</v>
      </c>
      <c r="J64" s="14">
        <v>5.4721955605234098E-3</v>
      </c>
      <c r="K64" s="15">
        <v>1.75440728006123E-2</v>
      </c>
      <c r="L64" s="15">
        <v>2.2973744638973601E-2</v>
      </c>
      <c r="M64" s="15">
        <v>0</v>
      </c>
      <c r="N64" s="16">
        <v>3.2305879208329798E-3</v>
      </c>
      <c r="O64" s="14">
        <v>5.4673357065620198E-5</v>
      </c>
      <c r="P64" s="16">
        <v>0</v>
      </c>
      <c r="Q64" s="14">
        <v>0</v>
      </c>
      <c r="R64" s="15">
        <v>3.2463824462074901E-3</v>
      </c>
      <c r="S64" s="15">
        <v>0</v>
      </c>
      <c r="T64" s="15">
        <v>0</v>
      </c>
      <c r="U64" s="14">
        <v>8.5743122914459895E-3</v>
      </c>
      <c r="V64" s="16">
        <v>4.5169597704058609E-2</v>
      </c>
      <c r="W64" s="14">
        <v>1.21496349034712E-4</v>
      </c>
      <c r="X64" s="15">
        <v>0</v>
      </c>
      <c r="Y64" s="16">
        <v>2.3084306316595201E-5</v>
      </c>
      <c r="Z64" s="14">
        <v>0.63321467189910996</v>
      </c>
      <c r="AA64" s="15">
        <v>0</v>
      </c>
      <c r="AB64" s="16">
        <v>0</v>
      </c>
      <c r="AC64" s="26">
        <f t="shared" si="1"/>
        <v>9.9498220078486577E-2</v>
      </c>
    </row>
    <row r="65" spans="1:29" x14ac:dyDescent="0.3">
      <c r="A65" s="17" t="s">
        <v>49</v>
      </c>
      <c r="B65">
        <v>2000</v>
      </c>
      <c r="C65" s="18">
        <v>786.49</v>
      </c>
      <c r="D65" s="14">
        <v>0.122292718279953</v>
      </c>
      <c r="E65" s="16">
        <v>7.7276252717771401E-2</v>
      </c>
      <c r="F65" s="14">
        <v>2.0738979516586299E-2</v>
      </c>
      <c r="G65" s="16">
        <v>4.6087044971964003E-2</v>
      </c>
      <c r="H65" s="14">
        <v>1.4634642525651899E-3</v>
      </c>
      <c r="I65" s="16">
        <v>0</v>
      </c>
      <c r="J65" s="14">
        <v>9.8106778217142004E-3</v>
      </c>
      <c r="K65" s="15">
        <v>4.2772317511983599E-3</v>
      </c>
      <c r="L65" s="15">
        <v>2.2642373075309301E-2</v>
      </c>
      <c r="M65" s="15">
        <v>0</v>
      </c>
      <c r="N65" s="16">
        <v>2.90785642538367E-3</v>
      </c>
      <c r="O65" s="14">
        <v>2.92438556116416E-5</v>
      </c>
      <c r="P65" s="16">
        <v>4.6273951353481897E-2</v>
      </c>
      <c r="Q65" s="14">
        <v>1.2872382357054801E-2</v>
      </c>
      <c r="R65" s="15">
        <v>0</v>
      </c>
      <c r="S65" s="15">
        <v>0</v>
      </c>
      <c r="T65" s="15">
        <v>0</v>
      </c>
      <c r="U65" s="14">
        <v>3.416853011020711E-2</v>
      </c>
      <c r="V65" s="16">
        <v>2.3758461968522389E-2</v>
      </c>
      <c r="W65" s="14">
        <v>1.0680364658164801E-4</v>
      </c>
      <c r="X65" s="15">
        <v>1.0464214421035201E-3</v>
      </c>
      <c r="Y65" s="16">
        <v>4.2594311434347503E-3</v>
      </c>
      <c r="Z65" s="14">
        <v>0.561316736385714</v>
      </c>
      <c r="AA65" s="15">
        <v>8.6714389248432906E-3</v>
      </c>
      <c r="AB65" s="16">
        <v>0</v>
      </c>
      <c r="AC65" s="26">
        <f t="shared" si="1"/>
        <v>0.15423082302381455</v>
      </c>
    </row>
    <row r="66" spans="1:29" x14ac:dyDescent="0.3">
      <c r="A66" s="17" t="s">
        <v>49</v>
      </c>
      <c r="B66">
        <v>2001</v>
      </c>
      <c r="C66" s="18">
        <v>1253.288</v>
      </c>
      <c r="D66" s="14">
        <v>9.1555173272224705E-2</v>
      </c>
      <c r="E66" s="16">
        <v>1.83804520589043E-2</v>
      </c>
      <c r="F66" s="14">
        <v>2.0569095052374201E-2</v>
      </c>
      <c r="G66" s="16">
        <v>5.3483317481696196E-3</v>
      </c>
      <c r="H66" s="14">
        <v>5.02677756429488E-5</v>
      </c>
      <c r="I66" s="16">
        <v>0</v>
      </c>
      <c r="J66" s="14">
        <v>1.80373545426111E-2</v>
      </c>
      <c r="K66" s="15">
        <v>3.6513554745597199E-2</v>
      </c>
      <c r="L66" s="15">
        <v>3.10247923861076E-2</v>
      </c>
      <c r="M66" s="15">
        <v>0</v>
      </c>
      <c r="N66" s="16">
        <v>9.5484836685582192E-3</v>
      </c>
      <c r="O66" s="14">
        <v>6.0377183855586302E-3</v>
      </c>
      <c r="P66" s="16">
        <v>3.2484951583355098E-2</v>
      </c>
      <c r="Q66" s="14">
        <v>1.791283712939464E-3</v>
      </c>
      <c r="R66" s="15">
        <v>1.3391978234833136E-2</v>
      </c>
      <c r="S66" s="15">
        <v>0</v>
      </c>
      <c r="T66" s="15">
        <v>0</v>
      </c>
      <c r="U66" s="14">
        <v>9.0315686896702413E-3</v>
      </c>
      <c r="V66" s="16">
        <v>5.4686898303187579E-3</v>
      </c>
      <c r="W66" s="14">
        <v>1.5343640089109599E-3</v>
      </c>
      <c r="X66" s="15">
        <v>3.8450858860852402E-3</v>
      </c>
      <c r="Y66" s="16">
        <v>0</v>
      </c>
      <c r="Z66" s="14">
        <v>0.69538685441813897</v>
      </c>
      <c r="AA66" s="15">
        <v>0</v>
      </c>
      <c r="AB66" s="16">
        <v>0</v>
      </c>
      <c r="AC66" s="26">
        <f t="shared" si="1"/>
        <v>0.1596145498879746</v>
      </c>
    </row>
    <row r="67" spans="1:29" x14ac:dyDescent="0.3">
      <c r="A67" s="17" t="s">
        <v>49</v>
      </c>
      <c r="B67">
        <v>2002</v>
      </c>
      <c r="C67" s="18">
        <v>1551.1420000000001</v>
      </c>
      <c r="D67" s="14">
        <v>0.17536756789513799</v>
      </c>
      <c r="E67" s="16">
        <v>2.5846118537180999E-2</v>
      </c>
      <c r="F67" s="14">
        <v>0.120310713010156</v>
      </c>
      <c r="G67" s="16">
        <v>4.4027561628787001E-2</v>
      </c>
      <c r="H67" s="14">
        <v>1.3153534621588499E-2</v>
      </c>
      <c r="I67" s="16">
        <v>0</v>
      </c>
      <c r="J67" s="14">
        <v>1.5476339368026899E-2</v>
      </c>
      <c r="K67" s="15">
        <v>8.5665915822020194E-3</v>
      </c>
      <c r="L67" s="15">
        <v>1.3761473804461501E-2</v>
      </c>
      <c r="M67" s="15">
        <v>1.8824840021094101E-4</v>
      </c>
      <c r="N67" s="16">
        <v>1.7734030797953999E-2</v>
      </c>
      <c r="O67" s="14">
        <v>6.4468630209226499E-7</v>
      </c>
      <c r="P67" s="16">
        <v>3.6424776068213001E-3</v>
      </c>
      <c r="Q67" s="14">
        <v>0</v>
      </c>
      <c r="R67" s="15">
        <v>4.90864150413051E-3</v>
      </c>
      <c r="S67" s="15">
        <v>0</v>
      </c>
      <c r="T67" s="15">
        <v>0</v>
      </c>
      <c r="U67" s="14">
        <v>3.7269146093746985E-2</v>
      </c>
      <c r="V67" s="16">
        <v>4.857599252025481E-2</v>
      </c>
      <c r="W67" s="14">
        <v>3.5328809354656101E-4</v>
      </c>
      <c r="X67" s="15">
        <v>1.6117157552306601E-5</v>
      </c>
      <c r="Y67" s="16">
        <v>0</v>
      </c>
      <c r="Z67" s="14">
        <v>0.47080151269193898</v>
      </c>
      <c r="AA67" s="15">
        <v>0</v>
      </c>
      <c r="AB67" s="16">
        <v>0</v>
      </c>
      <c r="AC67" s="26">
        <f t="shared" si="1"/>
        <v>0.23686161550651025</v>
      </c>
    </row>
    <row r="68" spans="1:29" x14ac:dyDescent="0.3">
      <c r="A68" s="17" t="s">
        <v>49</v>
      </c>
      <c r="B68">
        <v>2003</v>
      </c>
      <c r="C68" s="18">
        <v>1885.817</v>
      </c>
      <c r="D68" s="14">
        <v>0.100259463139849</v>
      </c>
      <c r="E68" s="16">
        <v>2.3431223708345002E-2</v>
      </c>
      <c r="F68" s="14">
        <v>7.8108851495134496E-2</v>
      </c>
      <c r="G68" s="16">
        <v>2.5806851884355698E-2</v>
      </c>
      <c r="H68" s="14">
        <v>1.32568536607741E-5</v>
      </c>
      <c r="I68" s="16">
        <v>2.2160156579349999E-3</v>
      </c>
      <c r="J68" s="14">
        <v>4.00775897131058E-2</v>
      </c>
      <c r="K68" s="15">
        <v>2.20811457315317E-2</v>
      </c>
      <c r="L68" s="15">
        <v>7.5861019388413602E-3</v>
      </c>
      <c r="M68" s="15">
        <v>2.5405434355507501E-3</v>
      </c>
      <c r="N68" s="16">
        <v>4.50096695490602E-3</v>
      </c>
      <c r="O68" s="14">
        <v>0</v>
      </c>
      <c r="P68" s="16">
        <v>1.31322392363628E-2</v>
      </c>
      <c r="Q68" s="14">
        <v>1.2567442962893333E-2</v>
      </c>
      <c r="R68" s="15">
        <v>1.006755918001739E-2</v>
      </c>
      <c r="S68" s="15">
        <v>0</v>
      </c>
      <c r="T68" s="15">
        <v>6.1221643662267926E-4</v>
      </c>
      <c r="U68" s="14">
        <v>2.0395712569714307E-2</v>
      </c>
      <c r="V68" s="16">
        <v>2.4166405599758092E-2</v>
      </c>
      <c r="W68" s="14">
        <v>3.4595085313156001E-3</v>
      </c>
      <c r="X68" s="15">
        <v>4.5174054534453797E-3</v>
      </c>
      <c r="Y68" s="16">
        <v>0</v>
      </c>
      <c r="Z68" s="14">
        <v>0.60445949951665501</v>
      </c>
      <c r="AA68" s="15">
        <v>0</v>
      </c>
      <c r="AB68" s="16">
        <v>0</v>
      </c>
      <c r="AC68" s="26">
        <f t="shared" si="1"/>
        <v>0.19606356290138435</v>
      </c>
    </row>
    <row r="69" spans="1:29" x14ac:dyDescent="0.3">
      <c r="A69" s="17" t="s">
        <v>49</v>
      </c>
      <c r="B69">
        <v>2004</v>
      </c>
      <c r="C69" s="18">
        <v>1177.3030000000001</v>
      </c>
      <c r="D69" s="14">
        <v>0.17402232050712499</v>
      </c>
      <c r="E69" s="16">
        <v>2.2043603048662899E-2</v>
      </c>
      <c r="F69" s="14">
        <v>9.6810251906263703E-2</v>
      </c>
      <c r="G69" s="16">
        <v>4.9701733538434899E-2</v>
      </c>
      <c r="H69" s="14">
        <v>7.5137836223979704E-3</v>
      </c>
      <c r="I69" s="16">
        <v>1.1144114981444899E-3</v>
      </c>
      <c r="J69" s="14">
        <v>5.8149856069338096E-3</v>
      </c>
      <c r="K69" s="15">
        <v>1.3275257091844701E-2</v>
      </c>
      <c r="L69" s="15">
        <v>3.9536975612905097E-2</v>
      </c>
      <c r="M69" s="15">
        <v>0</v>
      </c>
      <c r="N69" s="16">
        <v>4.2909939072609198E-2</v>
      </c>
      <c r="O69" s="14">
        <v>0</v>
      </c>
      <c r="P69" s="16">
        <v>1.6987980154641599E-6</v>
      </c>
      <c r="Q69" s="14">
        <v>1.488271683905228E-2</v>
      </c>
      <c r="R69" s="15">
        <v>1.2095045045526321E-2</v>
      </c>
      <c r="S69" s="15">
        <v>0</v>
      </c>
      <c r="T69" s="15">
        <v>0</v>
      </c>
      <c r="U69" s="14">
        <v>8.3112731846358964E-2</v>
      </c>
      <c r="V69" s="16">
        <v>3.3215859858580041E-2</v>
      </c>
      <c r="W69" s="14">
        <v>2.9864869111859899E-3</v>
      </c>
      <c r="X69" s="15">
        <v>1.1045584696548E-2</v>
      </c>
      <c r="Y69" s="16">
        <v>0</v>
      </c>
      <c r="Z69" s="14">
        <v>0.38991661449941101</v>
      </c>
      <c r="AA69" s="15">
        <v>0</v>
      </c>
      <c r="AB69" s="16">
        <v>0</v>
      </c>
      <c r="AC69" s="26">
        <f t="shared" si="1"/>
        <v>0.25667903674754933</v>
      </c>
    </row>
    <row r="70" spans="1:29" x14ac:dyDescent="0.3">
      <c r="A70" s="17" t="s">
        <v>49</v>
      </c>
      <c r="B70">
        <v>2005</v>
      </c>
      <c r="C70" s="18">
        <v>1014.8390000000001</v>
      </c>
      <c r="D70" s="14">
        <v>0.117796024788168</v>
      </c>
      <c r="E70" s="16">
        <v>1.9077902997421299E-2</v>
      </c>
      <c r="F70" s="14">
        <v>9.8072699216328899E-2</v>
      </c>
      <c r="G70" s="16">
        <v>3.3331395423313502E-2</v>
      </c>
      <c r="H70" s="14">
        <v>3.4636035863816802E-3</v>
      </c>
      <c r="I70" s="16">
        <v>6.2736059611426004E-2</v>
      </c>
      <c r="J70" s="14">
        <v>5.0739082751057103E-2</v>
      </c>
      <c r="K70" s="15">
        <v>7.54119618974044E-2</v>
      </c>
      <c r="L70" s="15">
        <v>0.14641337197328799</v>
      </c>
      <c r="M70" s="15">
        <v>0</v>
      </c>
      <c r="N70" s="16">
        <v>1.2338903018114199E-2</v>
      </c>
      <c r="O70" s="14">
        <v>0</v>
      </c>
      <c r="P70" s="16">
        <v>0</v>
      </c>
      <c r="Q70" s="14">
        <v>1.7529290022679597E-2</v>
      </c>
      <c r="R70" s="15">
        <v>8.4064744219340872E-3</v>
      </c>
      <c r="S70" s="15">
        <v>0</v>
      </c>
      <c r="T70" s="15">
        <v>5.267214550084014E-3</v>
      </c>
      <c r="U70" s="14">
        <v>5.2253924783562571E-3</v>
      </c>
      <c r="V70" s="16">
        <v>5.3004533647856844E-2</v>
      </c>
      <c r="W70" s="14">
        <v>1.5559118244371801E-3</v>
      </c>
      <c r="X70" s="15">
        <v>3.1049260030408801E-3</v>
      </c>
      <c r="Y70" s="16">
        <v>0</v>
      </c>
      <c r="Z70" s="14">
        <v>0.28652525178870702</v>
      </c>
      <c r="AA70" s="15">
        <v>0</v>
      </c>
      <c r="AB70" s="16">
        <v>0</v>
      </c>
      <c r="AC70" s="26">
        <f t="shared" si="1"/>
        <v>0.48250707747731375</v>
      </c>
    </row>
    <row r="71" spans="1:29" x14ac:dyDescent="0.3">
      <c r="A71" s="17" t="s">
        <v>49</v>
      </c>
      <c r="B71">
        <v>2006</v>
      </c>
      <c r="C71" s="18">
        <v>1585.2380000000001</v>
      </c>
      <c r="D71" s="14">
        <v>9.8791474844786703E-2</v>
      </c>
      <c r="E71" s="16">
        <v>2.2833164483818801E-2</v>
      </c>
      <c r="F71" s="14">
        <v>0.105430856439222</v>
      </c>
      <c r="G71" s="16">
        <v>6.1530823762741001E-2</v>
      </c>
      <c r="H71" s="14">
        <v>2.6872936429734799E-3</v>
      </c>
      <c r="I71" s="16">
        <v>1.70289887070585E-2</v>
      </c>
      <c r="J71" s="14">
        <v>1.5129589373961499E-2</v>
      </c>
      <c r="K71" s="15">
        <v>4.8264046155845397E-2</v>
      </c>
      <c r="L71" s="15">
        <v>0.17430316457213399</v>
      </c>
      <c r="M71" s="15">
        <v>0</v>
      </c>
      <c r="N71" s="16">
        <v>2.1632713825936501E-2</v>
      </c>
      <c r="O71" s="14">
        <v>0</v>
      </c>
      <c r="P71" s="16">
        <v>0</v>
      </c>
      <c r="Q71" s="14">
        <v>2.1791488379669405E-2</v>
      </c>
      <c r="R71" s="15">
        <v>6.2080927557815954E-3</v>
      </c>
      <c r="S71" s="15">
        <v>0</v>
      </c>
      <c r="T71" s="15">
        <v>0</v>
      </c>
      <c r="U71" s="14">
        <v>2.2825797075374854E-2</v>
      </c>
      <c r="V71" s="16">
        <v>3.7299559495688882E-2</v>
      </c>
      <c r="W71" s="14">
        <v>2.1063083272038598E-3</v>
      </c>
      <c r="X71" s="15">
        <v>6.3750679708661998E-3</v>
      </c>
      <c r="Y71" s="16">
        <v>0</v>
      </c>
      <c r="Z71" s="14">
        <v>0.328519755393196</v>
      </c>
      <c r="AA71" s="15">
        <v>7.2418147937407503E-3</v>
      </c>
      <c r="AB71" s="16">
        <v>0</v>
      </c>
      <c r="AC71" s="26">
        <f t="shared" si="1"/>
        <v>0.44600747647987243</v>
      </c>
    </row>
    <row r="72" spans="1:29" x14ac:dyDescent="0.3">
      <c r="A72" s="17" t="s">
        <v>49</v>
      </c>
      <c r="B72">
        <v>2007</v>
      </c>
      <c r="C72" s="18">
        <v>567.98800000000006</v>
      </c>
      <c r="D72" s="14">
        <v>9.3491411790389903E-2</v>
      </c>
      <c r="E72" s="16">
        <v>5.3531060515363001E-2</v>
      </c>
      <c r="F72" s="14">
        <v>6.4177412198849301E-2</v>
      </c>
      <c r="G72" s="16">
        <v>7.1082487658190002E-2</v>
      </c>
      <c r="H72" s="14">
        <v>1.0299513370000801E-3</v>
      </c>
      <c r="I72" s="16">
        <v>2.96766833102108E-2</v>
      </c>
      <c r="J72" s="14">
        <v>2.9268223976562899E-2</v>
      </c>
      <c r="K72" s="15">
        <v>0</v>
      </c>
      <c r="L72" s="15">
        <v>7.0788467361986504E-2</v>
      </c>
      <c r="M72" s="15">
        <v>0</v>
      </c>
      <c r="N72" s="16">
        <v>0</v>
      </c>
      <c r="O72" s="14">
        <v>0</v>
      </c>
      <c r="P72" s="16">
        <v>0</v>
      </c>
      <c r="Q72" s="14">
        <v>3.0133400417025644E-2</v>
      </c>
      <c r="R72" s="15">
        <v>0</v>
      </c>
      <c r="S72" s="15">
        <v>0</v>
      </c>
      <c r="T72" s="15">
        <v>1.5820035218938464E-2</v>
      </c>
      <c r="U72" s="14">
        <v>3.491008762758905E-3</v>
      </c>
      <c r="V72" s="16">
        <v>4.469134720250801E-2</v>
      </c>
      <c r="W72" s="14">
        <v>5.0705296590773002E-4</v>
      </c>
      <c r="X72" s="15">
        <v>0</v>
      </c>
      <c r="Y72" s="16">
        <v>0</v>
      </c>
      <c r="Z72" s="14">
        <v>0.49231145728430897</v>
      </c>
      <c r="AA72" s="15">
        <v>0</v>
      </c>
      <c r="AB72" s="16">
        <v>0</v>
      </c>
      <c r="AC72" s="26">
        <f t="shared" si="1"/>
        <v>0.26602322584279958</v>
      </c>
    </row>
    <row r="73" spans="1:29" x14ac:dyDescent="0.3">
      <c r="A73" s="17" t="s">
        <v>49</v>
      </c>
      <c r="B73">
        <v>2008</v>
      </c>
      <c r="C73" s="18">
        <v>2556.6669999999999</v>
      </c>
      <c r="D73" s="14">
        <v>6.2291647680358803E-2</v>
      </c>
      <c r="E73" s="16">
        <v>7.2406770220760103E-3</v>
      </c>
      <c r="F73" s="14">
        <v>5.60522743086996E-2</v>
      </c>
      <c r="G73" s="16">
        <v>4.9550840997282797E-2</v>
      </c>
      <c r="H73" s="14">
        <v>8.4093861265467903E-5</v>
      </c>
      <c r="I73" s="16">
        <v>2.2126855003017601E-2</v>
      </c>
      <c r="J73" s="14">
        <v>2.72022128810674E-2</v>
      </c>
      <c r="K73" s="15">
        <v>9.83600914784757E-2</v>
      </c>
      <c r="L73" s="15">
        <v>0.22047454752613499</v>
      </c>
      <c r="M73" s="15">
        <v>0</v>
      </c>
      <c r="N73" s="16">
        <v>0</v>
      </c>
      <c r="O73" s="14">
        <v>0</v>
      </c>
      <c r="P73" s="16">
        <v>0</v>
      </c>
      <c r="Q73" s="14">
        <v>2.5113608709117956E-3</v>
      </c>
      <c r="R73" s="15">
        <v>1.5796459878035192E-2</v>
      </c>
      <c r="S73" s="15">
        <v>3.0513034581578316E-3</v>
      </c>
      <c r="T73" s="15">
        <v>4.6460176111868222E-4</v>
      </c>
      <c r="U73" s="14">
        <v>2.9159034661951364E-3</v>
      </c>
      <c r="V73" s="16">
        <v>1.6817601131783353E-2</v>
      </c>
      <c r="W73" s="14">
        <v>2.4915250988885102E-4</v>
      </c>
      <c r="X73" s="15">
        <v>0</v>
      </c>
      <c r="Y73" s="16">
        <v>0</v>
      </c>
      <c r="Z73" s="14">
        <v>0.41481037616553101</v>
      </c>
      <c r="AA73" s="15">
        <v>0</v>
      </c>
      <c r="AB73" s="16">
        <v>0</v>
      </c>
      <c r="AC73" s="26">
        <f t="shared" si="1"/>
        <v>0.47385091605594354</v>
      </c>
    </row>
    <row r="74" spans="1:29" x14ac:dyDescent="0.3">
      <c r="A74" s="17" t="s">
        <v>49</v>
      </c>
      <c r="B74">
        <v>2009</v>
      </c>
      <c r="C74" s="18">
        <v>2165.6550000000002</v>
      </c>
      <c r="D74" s="14">
        <v>7.1070876940232897E-2</v>
      </c>
      <c r="E74" s="16">
        <v>2.3452027215784599E-2</v>
      </c>
      <c r="F74" s="14">
        <v>5.4908561151245198E-2</v>
      </c>
      <c r="G74" s="16">
        <v>3.3591222978729303E-2</v>
      </c>
      <c r="H74" s="14">
        <v>6.0720659569506704E-3</v>
      </c>
      <c r="I74" s="16">
        <v>2.4982280187749201E-2</v>
      </c>
      <c r="J74" s="14">
        <v>4.5632383736098299E-2</v>
      </c>
      <c r="K74" s="15">
        <v>6.0015099357931E-2</v>
      </c>
      <c r="L74" s="15">
        <v>0.139266411316669</v>
      </c>
      <c r="M74" s="15">
        <v>0</v>
      </c>
      <c r="N74" s="16">
        <v>1.4848625473586501E-2</v>
      </c>
      <c r="O74" s="14">
        <v>1.98554248021961E-5</v>
      </c>
      <c r="P74" s="16">
        <v>0</v>
      </c>
      <c r="Q74" s="14">
        <v>7.4309067408897689E-3</v>
      </c>
      <c r="R74" s="15">
        <v>4.0944296142302626E-2</v>
      </c>
      <c r="S74" s="15">
        <v>0</v>
      </c>
      <c r="T74" s="15">
        <v>0</v>
      </c>
      <c r="U74" s="14">
        <v>9.7016971868574085E-3</v>
      </c>
      <c r="V74" s="16">
        <v>6.8667202753345438E-2</v>
      </c>
      <c r="W74" s="14">
        <v>1.6636998967979699E-3</v>
      </c>
      <c r="X74" s="15">
        <v>1.52378841505226E-5</v>
      </c>
      <c r="Y74" s="16">
        <v>7.65588240047468E-4</v>
      </c>
      <c r="Z74" s="14">
        <v>0.39516497318363297</v>
      </c>
      <c r="AA74" s="15">
        <v>1.78698823219765E-3</v>
      </c>
      <c r="AB74" s="16">
        <v>0</v>
      </c>
      <c r="AC74" s="26">
        <f t="shared" si="1"/>
        <v>0.37933650558376136</v>
      </c>
    </row>
    <row r="75" spans="1:29" x14ac:dyDescent="0.3">
      <c r="A75" s="17" t="s">
        <v>49</v>
      </c>
      <c r="B75">
        <v>2010</v>
      </c>
      <c r="C75" s="18">
        <v>2202.6709999999998</v>
      </c>
      <c r="D75" s="14">
        <v>8.6052342814700894E-2</v>
      </c>
      <c r="E75" s="16">
        <v>2.0191848896180999E-2</v>
      </c>
      <c r="F75" s="14">
        <v>8.9238928555376601E-2</v>
      </c>
      <c r="G75" s="16">
        <v>2.8639320170829E-2</v>
      </c>
      <c r="H75" s="14">
        <v>2.1383129845537499E-4</v>
      </c>
      <c r="I75" s="16">
        <v>5.3870959394298999E-3</v>
      </c>
      <c r="J75" s="14">
        <v>2.1044904118681401E-2</v>
      </c>
      <c r="K75" s="15">
        <v>3.9735393983032399E-2</v>
      </c>
      <c r="L75" s="15">
        <v>9.7852561730735102E-2</v>
      </c>
      <c r="M75" s="15">
        <v>0</v>
      </c>
      <c r="N75" s="16">
        <v>1.3233478808228699E-2</v>
      </c>
      <c r="O75" s="14">
        <v>1.5889799248276299E-5</v>
      </c>
      <c r="P75" s="16">
        <v>3.0735411688808702E-4</v>
      </c>
      <c r="Q75" s="14">
        <v>5.9552240509859865E-3</v>
      </c>
      <c r="R75" s="15">
        <v>1.2513262618153411E-2</v>
      </c>
      <c r="S75" s="15">
        <v>0</v>
      </c>
      <c r="T75" s="15">
        <v>0</v>
      </c>
      <c r="U75" s="14">
        <v>4.119233942796921E-2</v>
      </c>
      <c r="V75" s="16">
        <v>4.5660395274580524E-2</v>
      </c>
      <c r="W75" s="14">
        <v>3.2846485017508299E-3</v>
      </c>
      <c r="X75" s="15">
        <v>1.34550280091761E-2</v>
      </c>
      <c r="Y75" s="16">
        <v>1.0128612035115499E-3</v>
      </c>
      <c r="Z75" s="14">
        <v>0.46442160449744901</v>
      </c>
      <c r="AA75" s="15">
        <v>1.0591686184636699E-2</v>
      </c>
      <c r="AB75" s="16">
        <v>0</v>
      </c>
      <c r="AC75" s="26">
        <f t="shared" si="1"/>
        <v>0.2956687585209048</v>
      </c>
    </row>
    <row r="76" spans="1:29" x14ac:dyDescent="0.3">
      <c r="A76" s="17" t="s">
        <v>49</v>
      </c>
      <c r="B76">
        <v>2011</v>
      </c>
      <c r="C76" s="18">
        <v>2206.9430000000002</v>
      </c>
      <c r="D76" s="14">
        <v>7.3159116479220396E-2</v>
      </c>
      <c r="E76" s="16">
        <v>2.3725578775709199E-2</v>
      </c>
      <c r="F76" s="14">
        <v>6.3114906003462701E-2</v>
      </c>
      <c r="G76" s="16">
        <v>4.0986106120547698E-2</v>
      </c>
      <c r="H76" s="14">
        <v>1.07370240191976E-2</v>
      </c>
      <c r="I76" s="16">
        <v>8.1773747668154595E-3</v>
      </c>
      <c r="J76" s="14">
        <v>3.1040674815797201E-2</v>
      </c>
      <c r="K76" s="15">
        <v>3.3752117748396801E-2</v>
      </c>
      <c r="L76" s="15">
        <v>0.14499015153540401</v>
      </c>
      <c r="M76" s="15">
        <v>2.1477672962101901E-3</v>
      </c>
      <c r="N76" s="16">
        <v>0</v>
      </c>
      <c r="O76" s="14">
        <v>0</v>
      </c>
      <c r="P76" s="16">
        <v>1.8985537913756699E-4</v>
      </c>
      <c r="Q76" s="14">
        <v>1.0705726193034873E-2</v>
      </c>
      <c r="R76" s="15">
        <v>1.4410618249833208E-2</v>
      </c>
      <c r="S76" s="15">
        <v>0</v>
      </c>
      <c r="T76" s="15">
        <v>7.302678167145206E-4</v>
      </c>
      <c r="U76" s="14">
        <v>8.8822039280765999E-3</v>
      </c>
      <c r="V76" s="16">
        <v>8.0080673681358697E-2</v>
      </c>
      <c r="W76" s="14">
        <v>4.3050500171504203E-3</v>
      </c>
      <c r="X76" s="15">
        <v>2.2361248115606099E-3</v>
      </c>
      <c r="Y76" s="16">
        <v>1.70915152770144E-3</v>
      </c>
      <c r="Z76" s="14">
        <v>0.44446639537133498</v>
      </c>
      <c r="AA76" s="15">
        <v>4.5311546333548302E-4</v>
      </c>
      <c r="AB76" s="16">
        <v>0</v>
      </c>
      <c r="AC76" s="26">
        <f t="shared" si="1"/>
        <v>0.33513597768496922</v>
      </c>
    </row>
    <row r="77" spans="1:29" x14ac:dyDescent="0.3">
      <c r="A77" s="17" t="s">
        <v>49</v>
      </c>
      <c r="B77">
        <v>2012</v>
      </c>
      <c r="C77" s="18">
        <v>2346.665</v>
      </c>
      <c r="D77" s="14">
        <v>8.6149919140567605E-2</v>
      </c>
      <c r="E77" s="16">
        <v>4.1818921746393303E-2</v>
      </c>
      <c r="F77" s="14">
        <v>8.0453750322265899E-2</v>
      </c>
      <c r="G77" s="16">
        <v>5.3274327609607701E-2</v>
      </c>
      <c r="H77" s="14">
        <v>1.13825364932788E-2</v>
      </c>
      <c r="I77" s="16">
        <v>1.8826717916703099E-2</v>
      </c>
      <c r="J77" s="14">
        <v>3.55014456686404E-2</v>
      </c>
      <c r="K77" s="15">
        <v>3.0875306019393499E-2</v>
      </c>
      <c r="L77" s="15">
        <v>8.3777190182663497E-2</v>
      </c>
      <c r="M77" s="15">
        <v>2.6049734410322702E-3</v>
      </c>
      <c r="N77" s="16">
        <v>1.4775862766948001E-2</v>
      </c>
      <c r="O77" s="14">
        <v>0</v>
      </c>
      <c r="P77" s="16">
        <v>0</v>
      </c>
      <c r="Q77" s="14">
        <v>7.9557894614871814E-3</v>
      </c>
      <c r="R77" s="15">
        <v>3.3985007371465113E-2</v>
      </c>
      <c r="S77" s="15">
        <v>0</v>
      </c>
      <c r="T77" s="15">
        <v>0</v>
      </c>
      <c r="U77" s="14">
        <v>3.1253510650315506E-3</v>
      </c>
      <c r="V77" s="16">
        <v>3.7597973312329551E-2</v>
      </c>
      <c r="W77" s="14">
        <v>7.7429032264937697E-3</v>
      </c>
      <c r="X77" s="15">
        <v>4.6619351292152898E-4</v>
      </c>
      <c r="Y77" s="16">
        <v>1.20971676826475E-2</v>
      </c>
      <c r="Z77" s="14">
        <v>0.43758866306013</v>
      </c>
      <c r="AA77" s="15">
        <v>0</v>
      </c>
      <c r="AB77" s="16">
        <v>0</v>
      </c>
      <c r="AC77" s="26">
        <f t="shared" si="1"/>
        <v>0.33147211042053315</v>
      </c>
    </row>
    <row r="78" spans="1:29" x14ac:dyDescent="0.3">
      <c r="A78" s="17" t="s">
        <v>49</v>
      </c>
      <c r="B78">
        <v>2013</v>
      </c>
      <c r="C78" s="18">
        <v>8545.2829999999994</v>
      </c>
      <c r="D78" s="14">
        <v>6.9436319429093202E-2</v>
      </c>
      <c r="E78" s="16">
        <v>1.22054471455188E-2</v>
      </c>
      <c r="F78" s="14">
        <v>6.7285191139954098E-2</v>
      </c>
      <c r="G78" s="16">
        <v>4.0208381629958899E-2</v>
      </c>
      <c r="H78" s="14">
        <v>2.4511768656462298E-3</v>
      </c>
      <c r="I78" s="16">
        <v>1.0055723139889E-2</v>
      </c>
      <c r="J78" s="14">
        <v>3.8286034529225098E-2</v>
      </c>
      <c r="K78" s="15">
        <v>2.48293707768368E-2</v>
      </c>
      <c r="L78" s="15">
        <v>5.5765970536025597E-2</v>
      </c>
      <c r="M78" s="15">
        <v>1.1939920538617599E-3</v>
      </c>
      <c r="N78" s="16">
        <v>3.1953301019989602E-3</v>
      </c>
      <c r="O78" s="14">
        <v>0</v>
      </c>
      <c r="P78" s="16">
        <v>2.0104658909482601E-4</v>
      </c>
      <c r="Q78" s="14">
        <v>0</v>
      </c>
      <c r="R78" s="15">
        <v>1.924215540910288E-2</v>
      </c>
      <c r="S78" s="15">
        <v>4.3267572287952153E-4</v>
      </c>
      <c r="T78" s="15">
        <v>0</v>
      </c>
      <c r="U78" s="14">
        <v>1.0130753463393686E-2</v>
      </c>
      <c r="V78" s="16">
        <v>3.0318930882929314E-2</v>
      </c>
      <c r="W78" s="14">
        <v>6.6311437549815503E-3</v>
      </c>
      <c r="X78" s="15">
        <v>3.0872002717756701E-3</v>
      </c>
      <c r="Y78" s="16">
        <v>4.1180613912962299E-3</v>
      </c>
      <c r="Z78" s="14">
        <v>0.59219513268314194</v>
      </c>
      <c r="AA78" s="15">
        <v>8.7299624833958103E-3</v>
      </c>
      <c r="AB78" s="16">
        <v>0</v>
      </c>
      <c r="AC78" s="26">
        <f t="shared" si="1"/>
        <v>0.24347221736249131</v>
      </c>
    </row>
    <row r="79" spans="1:29" x14ac:dyDescent="0.3">
      <c r="A79" s="17" t="s">
        <v>49</v>
      </c>
      <c r="B79">
        <v>2014</v>
      </c>
      <c r="C79" s="18">
        <v>4768.7240000000002</v>
      </c>
      <c r="D79" s="14">
        <v>0.101784670280771</v>
      </c>
      <c r="E79" s="16">
        <v>2.5231068101236299E-2</v>
      </c>
      <c r="F79" s="14">
        <v>6.7554758883089094E-2</v>
      </c>
      <c r="G79" s="16">
        <v>3.0077647605522999E-2</v>
      </c>
      <c r="H79" s="14">
        <v>3.0587427580208E-2</v>
      </c>
      <c r="I79" s="16">
        <v>1.67281645991674E-2</v>
      </c>
      <c r="J79" s="14">
        <v>2.2706912792604499E-2</v>
      </c>
      <c r="K79" s="15">
        <v>7.32313298064639E-3</v>
      </c>
      <c r="L79" s="15">
        <v>3.0342708028395001E-2</v>
      </c>
      <c r="M79" s="15">
        <v>0</v>
      </c>
      <c r="N79" s="16">
        <v>4.1252125306476097E-3</v>
      </c>
      <c r="O79" s="14">
        <v>7.7431614830298402E-3</v>
      </c>
      <c r="P79" s="16">
        <v>5.9827324877682203E-4</v>
      </c>
      <c r="Q79" s="14">
        <v>4.2368182406982381E-3</v>
      </c>
      <c r="R79" s="15">
        <v>8.6928212117152667E-3</v>
      </c>
      <c r="S79" s="15">
        <v>4.3385018784749966E-3</v>
      </c>
      <c r="T79" s="15">
        <v>0</v>
      </c>
      <c r="U79" s="14">
        <v>1.3020329274011829E-2</v>
      </c>
      <c r="V79" s="16">
        <v>8.7506562196326951E-2</v>
      </c>
      <c r="W79" s="14">
        <v>1.9268676484527101E-2</v>
      </c>
      <c r="X79" s="15">
        <v>4.58403547783432E-3</v>
      </c>
      <c r="Y79" s="16">
        <v>8.3179483652230692E-3</v>
      </c>
      <c r="Z79" s="14">
        <v>0.49654750411221099</v>
      </c>
      <c r="AA79" s="15">
        <v>8.6836646448819402E-3</v>
      </c>
      <c r="AB79" s="16">
        <v>0</v>
      </c>
      <c r="AC79" s="26">
        <f t="shared" si="1"/>
        <v>0.21778739973208763</v>
      </c>
    </row>
    <row r="80" spans="1:29" x14ac:dyDescent="0.3">
      <c r="A80" s="17" t="s">
        <v>49</v>
      </c>
      <c r="B80">
        <v>2015</v>
      </c>
      <c r="C80" s="18">
        <v>5361.3760000000002</v>
      </c>
      <c r="D80" s="14">
        <v>6.4166736300531796E-2</v>
      </c>
      <c r="E80" s="16">
        <v>7.8496639668622394E-3</v>
      </c>
      <c r="F80" s="14">
        <v>3.7187468291722099E-2</v>
      </c>
      <c r="G80" s="16">
        <v>2.4221207391535299E-2</v>
      </c>
      <c r="H80" s="14">
        <v>5.2428704869794604E-3</v>
      </c>
      <c r="I80" s="16">
        <v>1.8731012337131401E-2</v>
      </c>
      <c r="J80" s="14">
        <v>2.7156834364909298E-2</v>
      </c>
      <c r="K80" s="15">
        <v>2.13736175190847E-2</v>
      </c>
      <c r="L80" s="15">
        <v>6.5475355580358496E-2</v>
      </c>
      <c r="M80" s="15">
        <v>1.2873560817223001E-3</v>
      </c>
      <c r="N80" s="16">
        <v>7.0157362587514802E-3</v>
      </c>
      <c r="O80" s="14">
        <v>1.5294581092615001E-5</v>
      </c>
      <c r="P80" s="16">
        <v>3.8796010576389298E-5</v>
      </c>
      <c r="Q80" s="14">
        <v>8.574967927190388E-3</v>
      </c>
      <c r="R80" s="15">
        <v>2.1711473463974909E-2</v>
      </c>
      <c r="S80" s="15">
        <v>0</v>
      </c>
      <c r="T80" s="15">
        <v>0</v>
      </c>
      <c r="U80" s="14">
        <v>4.3754647125853656E-3</v>
      </c>
      <c r="V80" s="16">
        <v>2.8547053685676529E-2</v>
      </c>
      <c r="W80" s="14">
        <v>1.9101626149704901E-2</v>
      </c>
      <c r="X80" s="15">
        <v>8.4465256680374603E-3</v>
      </c>
      <c r="Y80" s="16">
        <v>8.9299836459893894E-3</v>
      </c>
      <c r="Z80" s="14">
        <v>0.60786018365434502</v>
      </c>
      <c r="AA80" s="15">
        <v>1.26907719212381E-2</v>
      </c>
      <c r="AB80" s="16">
        <v>0</v>
      </c>
      <c r="AC80" s="26">
        <f t="shared" si="1"/>
        <v>0.20774554890386354</v>
      </c>
    </row>
    <row r="81" spans="1:29" x14ac:dyDescent="0.3">
      <c r="A81" s="17" t="s">
        <v>49</v>
      </c>
      <c r="B81">
        <v>2016</v>
      </c>
      <c r="C81" s="18">
        <v>2256.6729999999998</v>
      </c>
      <c r="D81" s="14">
        <v>9.9872245557951905E-2</v>
      </c>
      <c r="E81" s="16">
        <v>2.72919470388488E-2</v>
      </c>
      <c r="F81" s="14">
        <v>8.6448501843200104E-2</v>
      </c>
      <c r="G81" s="16">
        <v>3.4112164234694202E-2</v>
      </c>
      <c r="H81" s="14">
        <v>1.8443522832062999E-2</v>
      </c>
      <c r="I81" s="16">
        <v>6.27915519882588E-3</v>
      </c>
      <c r="J81" s="14">
        <v>6.7869824294436998E-3</v>
      </c>
      <c r="K81" s="15">
        <v>2.21866437893306E-2</v>
      </c>
      <c r="L81" s="15">
        <v>4.8708430508097499E-2</v>
      </c>
      <c r="M81" s="15">
        <v>0</v>
      </c>
      <c r="N81" s="16">
        <v>7.4951045189090302E-3</v>
      </c>
      <c r="O81" s="14">
        <v>8.8626043737838798E-7</v>
      </c>
      <c r="P81" s="16">
        <v>0</v>
      </c>
      <c r="Q81" s="14">
        <v>0</v>
      </c>
      <c r="R81" s="15">
        <v>1.9300093544789201E-2</v>
      </c>
      <c r="S81" s="15">
        <v>0</v>
      </c>
      <c r="T81" s="15">
        <v>0</v>
      </c>
      <c r="U81" s="14">
        <v>3.9408538990370438E-3</v>
      </c>
      <c r="V81" s="16">
        <v>2.5180334682560725E-2</v>
      </c>
      <c r="W81" s="14">
        <v>2.43367116104105E-3</v>
      </c>
      <c r="X81" s="15">
        <v>2.79881046124095E-3</v>
      </c>
      <c r="Y81" s="16">
        <v>2.9432709125336298E-3</v>
      </c>
      <c r="Z81" s="14">
        <v>0.58577738112699496</v>
      </c>
      <c r="AA81" s="15">
        <v>0</v>
      </c>
      <c r="AB81" s="16">
        <v>0</v>
      </c>
      <c r="AC81" s="26">
        <f t="shared" si="1"/>
        <v>0.2304613916150014</v>
      </c>
    </row>
    <row r="82" spans="1:29" x14ac:dyDescent="0.3">
      <c r="A82" s="17" t="s">
        <v>49</v>
      </c>
      <c r="B82">
        <v>2017</v>
      </c>
      <c r="C82" s="18">
        <v>3069.069</v>
      </c>
      <c r="D82" s="14">
        <v>0.111918956530466</v>
      </c>
      <c r="E82" s="16">
        <v>2.5925777491480301E-2</v>
      </c>
      <c r="F82" s="14">
        <v>6.71926893790918E-2</v>
      </c>
      <c r="G82" s="16">
        <v>3.5621225850575498E-2</v>
      </c>
      <c r="H82" s="14">
        <v>1.4316719500278401E-2</v>
      </c>
      <c r="I82" s="16">
        <v>2.12500924547477E-2</v>
      </c>
      <c r="J82" s="14">
        <v>3.9748210287875597E-2</v>
      </c>
      <c r="K82" s="15">
        <v>1.7492275344738101E-2</v>
      </c>
      <c r="L82" s="15">
        <v>5.3434445429542302E-2</v>
      </c>
      <c r="M82" s="15">
        <v>5.0575598007082901E-3</v>
      </c>
      <c r="N82" s="16">
        <v>0</v>
      </c>
      <c r="O82" s="14">
        <v>6.5166341975367797E-7</v>
      </c>
      <c r="P82" s="16">
        <v>8.5367907987731807E-5</v>
      </c>
      <c r="Q82" s="14">
        <v>0</v>
      </c>
      <c r="R82" s="15">
        <v>1.7413424070947901E-2</v>
      </c>
      <c r="S82" s="15">
        <v>0</v>
      </c>
      <c r="T82" s="15">
        <v>0</v>
      </c>
      <c r="U82" s="14">
        <v>2.5674082985583263E-3</v>
      </c>
      <c r="V82" s="16">
        <v>2.5343987632911479E-2</v>
      </c>
      <c r="W82" s="14">
        <v>2.7206947774716002E-3</v>
      </c>
      <c r="X82" s="15">
        <v>7.9046772816121101E-4</v>
      </c>
      <c r="Y82" s="16">
        <v>8.3689874681866106E-3</v>
      </c>
      <c r="Z82" s="14">
        <v>0.54602649858963703</v>
      </c>
      <c r="AA82" s="15">
        <v>4.7245597932141599E-3</v>
      </c>
      <c r="AB82" s="16">
        <v>0</v>
      </c>
      <c r="AC82" s="26">
        <f t="shared" si="1"/>
        <v>0.25419923761896512</v>
      </c>
    </row>
    <row r="83" spans="1:29" x14ac:dyDescent="0.3">
      <c r="A83" s="17" t="s">
        <v>49</v>
      </c>
      <c r="B83">
        <v>2018</v>
      </c>
      <c r="C83" s="18">
        <v>5217.1840000000002</v>
      </c>
      <c r="D83" s="14">
        <v>4.5200245956439303E-2</v>
      </c>
      <c r="E83" s="16">
        <v>1.11454761802536E-2</v>
      </c>
      <c r="F83" s="14">
        <v>2.7757694572397702E-2</v>
      </c>
      <c r="G83" s="16">
        <v>2.36723489146635E-2</v>
      </c>
      <c r="H83" s="14">
        <v>8.6333930334832002E-3</v>
      </c>
      <c r="I83" s="16">
        <v>2.3329826971791701E-2</v>
      </c>
      <c r="J83" s="14">
        <v>4.0238948827566699E-2</v>
      </c>
      <c r="K83" s="15">
        <v>3.6919341928519298E-2</v>
      </c>
      <c r="L83" s="15">
        <v>3.0918211816949499E-2</v>
      </c>
      <c r="M83" s="15">
        <v>1.2163649969025401E-3</v>
      </c>
      <c r="N83" s="16">
        <v>4.9082033526132102E-3</v>
      </c>
      <c r="O83" s="14">
        <v>6.0224059569300196E-4</v>
      </c>
      <c r="P83" s="16">
        <v>0</v>
      </c>
      <c r="Q83" s="14">
        <v>2.7144250629876701E-3</v>
      </c>
      <c r="R83" s="15">
        <v>2.2161268042764734E-2</v>
      </c>
      <c r="S83" s="15">
        <v>0</v>
      </c>
      <c r="T83" s="15">
        <v>2.0642015688119165E-4</v>
      </c>
      <c r="U83" s="14">
        <v>6.1124701799514063E-3</v>
      </c>
      <c r="V83" s="16">
        <v>5.6495059092544993E-2</v>
      </c>
      <c r="W83" s="14">
        <v>1.85138189490729E-3</v>
      </c>
      <c r="X83" s="15">
        <v>4.9373378435569803E-3</v>
      </c>
      <c r="Y83" s="16">
        <v>5.2982605175512301E-3</v>
      </c>
      <c r="Z83" s="14">
        <v>0.64359566386771105</v>
      </c>
      <c r="AA83" s="15">
        <v>2.0854161938701002E-3</v>
      </c>
      <c r="AB83" s="16">
        <v>0</v>
      </c>
      <c r="AC83" s="26">
        <f t="shared" si="1"/>
        <v>0.19819657501058036</v>
      </c>
    </row>
    <row r="84" spans="1:29" x14ac:dyDescent="0.3">
      <c r="A84" s="17" t="s">
        <v>49</v>
      </c>
      <c r="B84">
        <v>2019</v>
      </c>
      <c r="C84" s="18">
        <v>7137.9319999999998</v>
      </c>
      <c r="D84" s="14">
        <v>2.1920354522850599E-2</v>
      </c>
      <c r="E84" s="16">
        <v>2.0752789463390799E-2</v>
      </c>
      <c r="F84" s="14">
        <v>2.1869079167467602E-3</v>
      </c>
      <c r="G84" s="16">
        <v>1.7705968619482499E-2</v>
      </c>
      <c r="H84" s="14">
        <v>4.0445888248865402E-3</v>
      </c>
      <c r="I84" s="16">
        <v>3.2082121264254099E-3</v>
      </c>
      <c r="J84" s="14">
        <v>5.1227722539245301E-3</v>
      </c>
      <c r="K84" s="15">
        <v>6.5091682016584097E-3</v>
      </c>
      <c r="L84" s="15">
        <v>3.5201932436453601E-2</v>
      </c>
      <c r="M84" s="15">
        <v>4.5615452766991898E-3</v>
      </c>
      <c r="N84" s="16">
        <v>9.5743417000890493E-3</v>
      </c>
      <c r="O84" s="14">
        <v>4.8403375095195598E-4</v>
      </c>
      <c r="P84" s="16">
        <v>6.5285015323766001E-5</v>
      </c>
      <c r="Q84" s="14">
        <v>0</v>
      </c>
      <c r="R84" s="15">
        <v>2.59156293447458E-2</v>
      </c>
      <c r="S84" s="15">
        <v>0</v>
      </c>
      <c r="T84" s="15">
        <v>0</v>
      </c>
      <c r="U84" s="14">
        <v>4.3457810100851523E-3</v>
      </c>
      <c r="V84" s="16">
        <v>3.3179233237739018E-2</v>
      </c>
      <c r="W84" s="14">
        <v>2.1469803859157002E-3</v>
      </c>
      <c r="X84" s="15">
        <v>2.2845552465335902E-3</v>
      </c>
      <c r="Y84" s="16">
        <v>3.2914295064733002E-3</v>
      </c>
      <c r="Z84" s="14">
        <v>0.78870602858082695</v>
      </c>
      <c r="AA84" s="15">
        <v>8.7924625787973304E-3</v>
      </c>
      <c r="AB84" s="16">
        <v>0</v>
      </c>
      <c r="AC84" s="26">
        <f t="shared" si="1"/>
        <v>8.8664756122641714E-2</v>
      </c>
    </row>
    <row r="85" spans="1:29" x14ac:dyDescent="0.3">
      <c r="A85" s="17" t="s">
        <v>49</v>
      </c>
      <c r="B85">
        <v>2020</v>
      </c>
      <c r="C85" s="18">
        <v>7104.2139999999999</v>
      </c>
      <c r="D85" s="14">
        <v>4.4700089270959503E-2</v>
      </c>
      <c r="E85" s="16">
        <v>1.4723655565555899E-2</v>
      </c>
      <c r="F85" s="14">
        <v>1.37847761905821E-3</v>
      </c>
      <c r="G85" s="16">
        <v>6.2543161002751304E-3</v>
      </c>
      <c r="H85" s="14">
        <v>2.3752099810056401E-3</v>
      </c>
      <c r="I85" s="16">
        <v>7.0349795206056604E-3</v>
      </c>
      <c r="J85" s="14">
        <v>1.9974623512185902E-2</v>
      </c>
      <c r="K85" s="15">
        <v>5.00027166974418E-3</v>
      </c>
      <c r="L85" s="15">
        <v>2.5336793063947701E-2</v>
      </c>
      <c r="M85" s="15">
        <v>7.9699175728659101E-4</v>
      </c>
      <c r="N85" s="16">
        <v>9.1016402377518504E-4</v>
      </c>
      <c r="O85" s="14">
        <v>2.5759359163448601E-5</v>
      </c>
      <c r="P85" s="16">
        <v>1.8298998312832399E-6</v>
      </c>
      <c r="Q85" s="14">
        <v>0</v>
      </c>
      <c r="R85" s="15">
        <v>5.2169458859206701E-2</v>
      </c>
      <c r="S85" s="15">
        <v>0</v>
      </c>
      <c r="T85" s="15">
        <v>0</v>
      </c>
      <c r="U85" s="14">
        <v>8.7722942963198037E-3</v>
      </c>
      <c r="V85" s="16">
        <v>8.889551244486224E-2</v>
      </c>
      <c r="W85" s="14">
        <v>4.2411447628126102E-4</v>
      </c>
      <c r="X85" s="15">
        <v>8.4456915289995498E-7</v>
      </c>
      <c r="Y85" s="16">
        <v>1.9209725382709499E-3</v>
      </c>
      <c r="Z85" s="14">
        <v>0.70831438917802902</v>
      </c>
      <c r="AA85" s="15">
        <v>1.09892522944832E-2</v>
      </c>
      <c r="AB85" s="16">
        <v>0</v>
      </c>
      <c r="AC85" s="26">
        <f t="shared" si="1"/>
        <v>6.9089416506878928E-2</v>
      </c>
    </row>
    <row r="86" spans="1:29" x14ac:dyDescent="0.3">
      <c r="A86" s="17" t="s">
        <v>49</v>
      </c>
      <c r="B86">
        <v>2021</v>
      </c>
      <c r="C86" s="18">
        <v>5556.0820000000003</v>
      </c>
      <c r="D86" s="14">
        <v>4.1008754010470001E-2</v>
      </c>
      <c r="E86" s="16">
        <v>2.6188238402528999E-2</v>
      </c>
      <c r="F86" s="14">
        <v>1.6513435186881701E-3</v>
      </c>
      <c r="G86" s="16">
        <v>1.0614854136422E-2</v>
      </c>
      <c r="H86" s="14">
        <v>1.01717361262847E-2</v>
      </c>
      <c r="I86" s="16">
        <v>4.9360322615828898E-3</v>
      </c>
      <c r="J86" s="14">
        <v>8.6114639776734697E-3</v>
      </c>
      <c r="K86" s="15">
        <v>4.4983137397900204E-3</v>
      </c>
      <c r="L86" s="15">
        <v>2.2812298306612501E-2</v>
      </c>
      <c r="M86" s="15">
        <v>2.1092201303004499E-3</v>
      </c>
      <c r="N86" s="16">
        <v>7.8935120108018595E-3</v>
      </c>
      <c r="O86" s="14">
        <v>1.6432442861714401E-4</v>
      </c>
      <c r="P86" s="16">
        <v>0</v>
      </c>
      <c r="Q86" s="14">
        <v>0</v>
      </c>
      <c r="R86" s="15">
        <v>3.3570958815942603E-2</v>
      </c>
      <c r="S86" s="15">
        <v>0</v>
      </c>
      <c r="T86" s="15">
        <v>0</v>
      </c>
      <c r="U86" s="14">
        <v>7.2682045359202087E-3</v>
      </c>
      <c r="V86" s="16">
        <v>5.9059830219506351E-2</v>
      </c>
      <c r="W86" s="14">
        <v>3.7760421822428101E-4</v>
      </c>
      <c r="X86" s="15">
        <v>7.5772819767598804E-4</v>
      </c>
      <c r="Y86" s="16">
        <v>2.8815269465065499E-4</v>
      </c>
      <c r="Z86" s="14">
        <v>0.72774969843857595</v>
      </c>
      <c r="AA86" s="15">
        <v>3.02677318297318E-2</v>
      </c>
      <c r="AB86" s="16">
        <v>0</v>
      </c>
      <c r="AC86" s="26">
        <f t="shared" si="1"/>
        <v>7.3463098636773208E-2</v>
      </c>
    </row>
    <row r="87" spans="1:29" x14ac:dyDescent="0.3">
      <c r="A87" s="17" t="s">
        <v>49</v>
      </c>
      <c r="B87">
        <v>2022</v>
      </c>
      <c r="C87" s="18">
        <v>3223.7260000000001</v>
      </c>
      <c r="D87" s="14">
        <v>5.6587315423209002E-2</v>
      </c>
      <c r="E87" s="16">
        <v>1.8297460764345401E-2</v>
      </c>
      <c r="F87" s="14">
        <v>5.9403311571765095E-4</v>
      </c>
      <c r="G87" s="16">
        <v>2.9274510302674601E-2</v>
      </c>
      <c r="H87" s="14">
        <v>1.34316626164879E-4</v>
      </c>
      <c r="I87" s="16">
        <v>6.2530128180868999E-3</v>
      </c>
      <c r="J87" s="14">
        <v>4.3840574540143902E-2</v>
      </c>
      <c r="K87" s="15">
        <v>2.1186664127162201E-3</v>
      </c>
      <c r="L87" s="15">
        <v>5.4815452678050203E-3</v>
      </c>
      <c r="M87" s="15">
        <v>3.4571796734586E-3</v>
      </c>
      <c r="N87" s="16">
        <v>1.0720514088356101E-2</v>
      </c>
      <c r="O87" s="14">
        <v>6.8554213354360795E-4</v>
      </c>
      <c r="P87" s="16">
        <v>0</v>
      </c>
      <c r="Q87" s="14">
        <v>0</v>
      </c>
      <c r="R87" s="15">
        <v>5.1673436265985397E-2</v>
      </c>
      <c r="S87" s="15">
        <v>0</v>
      </c>
      <c r="T87" s="15">
        <v>0</v>
      </c>
      <c r="U87" s="14">
        <v>7.3246538747981961E-3</v>
      </c>
      <c r="V87" s="16">
        <v>6.3824072784973762E-2</v>
      </c>
      <c r="W87" s="14">
        <v>4.9951515730555299E-3</v>
      </c>
      <c r="X87" s="15">
        <v>1.0162153979587599E-3</v>
      </c>
      <c r="Y87" s="16">
        <v>8.7569477058534097E-4</v>
      </c>
      <c r="Z87" s="14">
        <v>0.68619541487086699</v>
      </c>
      <c r="AA87" s="15">
        <v>6.6506892955542803E-3</v>
      </c>
      <c r="AB87" s="16">
        <v>0</v>
      </c>
      <c r="AC87" s="26">
        <f t="shared" si="1"/>
        <v>0.10255989497866747</v>
      </c>
    </row>
    <row r="88" spans="1:29" x14ac:dyDescent="0.3">
      <c r="A88" s="17" t="s">
        <v>49</v>
      </c>
      <c r="B88">
        <v>2023</v>
      </c>
      <c r="C88" s="18">
        <v>1274.1679999999999</v>
      </c>
      <c r="D88" s="14">
        <v>1.5636085665312601E-2</v>
      </c>
      <c r="E88" s="16">
        <v>7.2721964450527697E-3</v>
      </c>
      <c r="F88" s="14">
        <v>4.3816827922220601E-3</v>
      </c>
      <c r="G88" s="16">
        <v>3.29273690753496E-2</v>
      </c>
      <c r="H88" s="14">
        <v>1.72661689824262E-5</v>
      </c>
      <c r="I88" s="16">
        <v>5.1162797998380097E-3</v>
      </c>
      <c r="J88" s="14">
        <v>2.9727634032560901E-2</v>
      </c>
      <c r="K88" s="15">
        <v>0</v>
      </c>
      <c r="L88" s="15">
        <v>1.9517049557044301E-2</v>
      </c>
      <c r="M88" s="15">
        <v>0</v>
      </c>
      <c r="N88" s="16">
        <v>6.8326939618637396E-3</v>
      </c>
      <c r="O88" s="14">
        <v>0</v>
      </c>
      <c r="P88" s="16">
        <v>0</v>
      </c>
      <c r="Q88" s="14">
        <v>0</v>
      </c>
      <c r="R88" s="15">
        <v>2.5833328101160902E-2</v>
      </c>
      <c r="S88" s="15">
        <v>0</v>
      </c>
      <c r="T88" s="15">
        <v>0</v>
      </c>
      <c r="U88" s="14">
        <v>1.2439795416346136E-2</v>
      </c>
      <c r="V88" s="16">
        <v>2.2112948020939962E-2</v>
      </c>
      <c r="W88" s="14">
        <v>1.31065919093871E-4</v>
      </c>
      <c r="X88" s="15">
        <v>0</v>
      </c>
      <c r="Y88" s="16">
        <v>1.0226280992773301E-3</v>
      </c>
      <c r="Z88" s="14">
        <v>0.80658594471058798</v>
      </c>
      <c r="AA88" s="15">
        <v>1.04460322343678E-2</v>
      </c>
      <c r="AB88" s="16">
        <v>0</v>
      </c>
      <c r="AC88" s="26">
        <f t="shared" si="1"/>
        <v>9.8519975387861045E-2</v>
      </c>
    </row>
    <row r="89" spans="1:29" ht="15" thickBot="1" x14ac:dyDescent="0.35">
      <c r="A89" s="4" t="s">
        <v>49</v>
      </c>
      <c r="B89" s="5">
        <v>2024</v>
      </c>
      <c r="C89" s="19">
        <v>2026.4010000000001</v>
      </c>
      <c r="D89" s="20">
        <v>2.5533976938969999E-2</v>
      </c>
      <c r="E89" s="21">
        <v>1.6022439916844301E-2</v>
      </c>
      <c r="F89" s="20">
        <v>7.2581041656038401E-3</v>
      </c>
      <c r="G89" s="21">
        <v>3.5506846671879699E-3</v>
      </c>
      <c r="H89" s="20">
        <v>3.35747695070578E-3</v>
      </c>
      <c r="I89" s="21">
        <v>1.09241220104878E-2</v>
      </c>
      <c r="J89" s="20">
        <v>3.74931402877553E-2</v>
      </c>
      <c r="K89" s="22">
        <v>2.6439884548394198E-2</v>
      </c>
      <c r="L89" s="22">
        <v>3.1594883289943199E-2</v>
      </c>
      <c r="M89" s="22">
        <v>3.57631426223153E-3</v>
      </c>
      <c r="N89" s="21">
        <v>3.5358983623551498E-3</v>
      </c>
      <c r="O89" s="20">
        <v>0</v>
      </c>
      <c r="P89" s="21">
        <v>0</v>
      </c>
      <c r="Q89" s="20">
        <v>0</v>
      </c>
      <c r="R89" s="22">
        <v>6.6495491463677198E-2</v>
      </c>
      <c r="S89" s="22">
        <v>0</v>
      </c>
      <c r="T89" s="22">
        <v>0</v>
      </c>
      <c r="U89" s="20">
        <v>4.5850283877507218E-3</v>
      </c>
      <c r="V89" s="21">
        <v>0.15425241538737436</v>
      </c>
      <c r="W89" s="20">
        <v>1.48898089666503E-3</v>
      </c>
      <c r="X89" s="22">
        <v>5.0597746059043202E-4</v>
      </c>
      <c r="Y89" s="21">
        <v>1.46379099217735E-3</v>
      </c>
      <c r="Z89" s="20">
        <v>0.59469088694803696</v>
      </c>
      <c r="AA89" s="22">
        <v>7.2305030632492402E-3</v>
      </c>
      <c r="AB89" s="21">
        <v>0</v>
      </c>
      <c r="AC89" s="27">
        <f t="shared" si="1"/>
        <v>0.12773050854466478</v>
      </c>
    </row>
    <row r="91" spans="1:29" x14ac:dyDescent="0.3">
      <c r="A91" s="23" t="s">
        <v>31</v>
      </c>
    </row>
    <row r="92" spans="1:29" x14ac:dyDescent="0.3">
      <c r="A92" t="s">
        <v>32</v>
      </c>
    </row>
    <row r="93" spans="1:29" x14ac:dyDescent="0.3">
      <c r="A93" t="s">
        <v>33</v>
      </c>
    </row>
    <row r="94" spans="1:29" x14ac:dyDescent="0.3">
      <c r="A94" t="s">
        <v>50</v>
      </c>
    </row>
    <row r="96" spans="1:29" ht="15" thickBot="1" x14ac:dyDescent="0.35">
      <c r="A96" t="s">
        <v>84</v>
      </c>
    </row>
    <row r="97" spans="1:29" ht="15" thickBot="1" x14ac:dyDescent="0.35">
      <c r="A97" s="1"/>
      <c r="B97" s="2"/>
      <c r="C97" s="3"/>
      <c r="D97" s="88" t="s">
        <v>2</v>
      </c>
      <c r="E97" s="89"/>
      <c r="F97" s="89"/>
      <c r="G97" s="89"/>
      <c r="H97" s="89"/>
      <c r="I97" s="90"/>
      <c r="J97" s="88" t="s">
        <v>3</v>
      </c>
      <c r="K97" s="89"/>
      <c r="L97" s="89"/>
      <c r="M97" s="89"/>
      <c r="N97" s="89"/>
      <c r="O97" s="89"/>
      <c r="P97" s="89"/>
      <c r="Q97" s="89"/>
      <c r="R97" s="89"/>
      <c r="S97" s="89"/>
      <c r="T97" s="89"/>
      <c r="U97" s="89"/>
      <c r="V97" s="89"/>
      <c r="W97" s="89"/>
      <c r="X97" s="89"/>
      <c r="Y97" s="90"/>
      <c r="Z97" s="91" t="s">
        <v>4</v>
      </c>
      <c r="AA97" s="92"/>
      <c r="AB97" s="93"/>
      <c r="AC97" s="97" t="s">
        <v>38</v>
      </c>
    </row>
    <row r="98" spans="1:29" ht="15" thickBot="1" x14ac:dyDescent="0.35">
      <c r="A98" s="4"/>
      <c r="B98" s="5"/>
      <c r="C98" s="6"/>
      <c r="D98" s="85" t="s">
        <v>5</v>
      </c>
      <c r="E98" s="86"/>
      <c r="F98" s="85" t="s">
        <v>6</v>
      </c>
      <c r="G98" s="86"/>
      <c r="H98" s="85" t="s">
        <v>7</v>
      </c>
      <c r="I98" s="86"/>
      <c r="J98" s="85" t="s">
        <v>8</v>
      </c>
      <c r="K98" s="87"/>
      <c r="L98" s="87"/>
      <c r="M98" s="87"/>
      <c r="N98" s="86"/>
      <c r="O98" s="85" t="s">
        <v>9</v>
      </c>
      <c r="P98" s="86"/>
      <c r="Q98" s="85" t="s">
        <v>10</v>
      </c>
      <c r="R98" s="87"/>
      <c r="S98" s="87"/>
      <c r="T98" s="87"/>
      <c r="U98" s="87"/>
      <c r="V98" s="86"/>
      <c r="W98" s="85" t="s">
        <v>11</v>
      </c>
      <c r="X98" s="87"/>
      <c r="Y98" s="86"/>
      <c r="Z98" s="94"/>
      <c r="AA98" s="95"/>
      <c r="AB98" s="96"/>
      <c r="AC98" s="98"/>
    </row>
    <row r="99" spans="1:29" ht="43.8" thickBot="1" x14ac:dyDescent="0.35">
      <c r="A99" s="7" t="s">
        <v>12</v>
      </c>
      <c r="B99" s="8" t="s">
        <v>27</v>
      </c>
      <c r="C99" s="9" t="s">
        <v>13</v>
      </c>
      <c r="D99" s="7" t="s">
        <v>14</v>
      </c>
      <c r="E99" s="9" t="s">
        <v>15</v>
      </c>
      <c r="F99" s="7" t="s">
        <v>16</v>
      </c>
      <c r="G99" s="9" t="s">
        <v>17</v>
      </c>
      <c r="H99" s="7" t="s">
        <v>18</v>
      </c>
      <c r="I99" s="9" t="s">
        <v>19</v>
      </c>
      <c r="J99" s="7" t="s">
        <v>20</v>
      </c>
      <c r="K99" s="8" t="s">
        <v>21</v>
      </c>
      <c r="L99" s="8" t="s">
        <v>22</v>
      </c>
      <c r="M99" s="8" t="s">
        <v>7</v>
      </c>
      <c r="N99" s="9" t="s">
        <v>6</v>
      </c>
      <c r="O99" s="31" t="s">
        <v>40</v>
      </c>
      <c r="P99" s="31" t="s">
        <v>42</v>
      </c>
      <c r="Q99" s="7" t="s">
        <v>23</v>
      </c>
      <c r="R99" s="8" t="s">
        <v>60</v>
      </c>
      <c r="S99" s="8" t="s">
        <v>24</v>
      </c>
      <c r="T99" s="8" t="s">
        <v>25</v>
      </c>
      <c r="U99" s="7" t="s">
        <v>44</v>
      </c>
      <c r="V99" s="31" t="s">
        <v>62</v>
      </c>
      <c r="W99" s="7" t="s">
        <v>36</v>
      </c>
      <c r="X99" s="8" t="s">
        <v>35</v>
      </c>
      <c r="Y99" s="9" t="s">
        <v>43</v>
      </c>
      <c r="Z99" s="7" t="s">
        <v>4</v>
      </c>
      <c r="AA99" s="8" t="s">
        <v>28</v>
      </c>
      <c r="AB99" s="9" t="s">
        <v>29</v>
      </c>
      <c r="AC99" s="30" t="s">
        <v>37</v>
      </c>
    </row>
    <row r="100" spans="1:29" x14ac:dyDescent="0.3">
      <c r="A100" s="1" t="s">
        <v>49</v>
      </c>
      <c r="B100" s="2">
        <v>1988</v>
      </c>
      <c r="C100" s="71">
        <f>C11-C53</f>
        <v>0</v>
      </c>
      <c r="D100" s="11">
        <f t="shared" ref="D100:AC100" si="2">D11-D53</f>
        <v>0</v>
      </c>
      <c r="E100" s="12">
        <f t="shared" si="2"/>
        <v>0</v>
      </c>
      <c r="F100" s="13">
        <f t="shared" si="2"/>
        <v>0</v>
      </c>
      <c r="G100" s="13">
        <f t="shared" si="2"/>
        <v>0</v>
      </c>
      <c r="H100" s="11">
        <f t="shared" si="2"/>
        <v>0</v>
      </c>
      <c r="I100" s="12">
        <f t="shared" si="2"/>
        <v>0</v>
      </c>
      <c r="J100" s="13">
        <f t="shared" si="2"/>
        <v>0</v>
      </c>
      <c r="K100" s="13">
        <f t="shared" si="2"/>
        <v>0</v>
      </c>
      <c r="L100" s="13">
        <f t="shared" si="2"/>
        <v>0</v>
      </c>
      <c r="M100" s="13">
        <f t="shared" si="2"/>
        <v>0</v>
      </c>
      <c r="N100" s="13">
        <f t="shared" si="2"/>
        <v>0</v>
      </c>
      <c r="O100" s="11">
        <f t="shared" si="2"/>
        <v>0</v>
      </c>
      <c r="P100" s="12">
        <f t="shared" si="2"/>
        <v>0</v>
      </c>
      <c r="Q100" s="13">
        <f t="shared" si="2"/>
        <v>0</v>
      </c>
      <c r="R100" s="13">
        <f t="shared" si="2"/>
        <v>0</v>
      </c>
      <c r="S100" s="13">
        <f t="shared" si="2"/>
        <v>0</v>
      </c>
      <c r="T100" s="13">
        <f t="shared" si="2"/>
        <v>0</v>
      </c>
      <c r="U100" s="11">
        <f t="shared" si="2"/>
        <v>0</v>
      </c>
      <c r="V100" s="12">
        <f t="shared" si="2"/>
        <v>0</v>
      </c>
      <c r="W100" s="13">
        <f t="shared" si="2"/>
        <v>0</v>
      </c>
      <c r="X100" s="13">
        <f t="shared" si="2"/>
        <v>0</v>
      </c>
      <c r="Y100" s="13">
        <f t="shared" si="2"/>
        <v>0</v>
      </c>
      <c r="Z100" s="11">
        <f t="shared" si="2"/>
        <v>0</v>
      </c>
      <c r="AA100" s="13">
        <f t="shared" si="2"/>
        <v>0</v>
      </c>
      <c r="AB100" s="12">
        <f t="shared" si="2"/>
        <v>0</v>
      </c>
      <c r="AC100" s="12">
        <f t="shared" si="2"/>
        <v>0</v>
      </c>
    </row>
    <row r="101" spans="1:29" x14ac:dyDescent="0.3">
      <c r="A101" s="17" t="s">
        <v>49</v>
      </c>
      <c r="B101" s="72">
        <v>1989</v>
      </c>
      <c r="C101" s="73">
        <f t="shared" ref="C101:AC101" si="3">C12-C54</f>
        <v>0</v>
      </c>
      <c r="D101" s="14">
        <f t="shared" si="3"/>
        <v>0</v>
      </c>
      <c r="E101" s="16">
        <f t="shared" si="3"/>
        <v>0</v>
      </c>
      <c r="F101" s="15">
        <f t="shared" si="3"/>
        <v>0</v>
      </c>
      <c r="G101" s="15">
        <f t="shared" si="3"/>
        <v>0</v>
      </c>
      <c r="H101" s="14">
        <f t="shared" si="3"/>
        <v>0</v>
      </c>
      <c r="I101" s="16">
        <f t="shared" si="3"/>
        <v>0</v>
      </c>
      <c r="J101" s="15">
        <f t="shared" si="3"/>
        <v>0</v>
      </c>
      <c r="K101" s="15">
        <f t="shared" si="3"/>
        <v>0</v>
      </c>
      <c r="L101" s="15">
        <f t="shared" si="3"/>
        <v>0</v>
      </c>
      <c r="M101" s="15">
        <f t="shared" si="3"/>
        <v>0</v>
      </c>
      <c r="N101" s="15">
        <f t="shared" si="3"/>
        <v>0</v>
      </c>
      <c r="O101" s="14">
        <f t="shared" si="3"/>
        <v>0</v>
      </c>
      <c r="P101" s="16">
        <f t="shared" si="3"/>
        <v>0</v>
      </c>
      <c r="Q101" s="15">
        <f t="shared" si="3"/>
        <v>0</v>
      </c>
      <c r="R101" s="15">
        <f t="shared" si="3"/>
        <v>0</v>
      </c>
      <c r="S101" s="15">
        <f t="shared" si="3"/>
        <v>0</v>
      </c>
      <c r="T101" s="15">
        <f t="shared" si="3"/>
        <v>0</v>
      </c>
      <c r="U101" s="14">
        <f t="shared" si="3"/>
        <v>0</v>
      </c>
      <c r="V101" s="16">
        <f t="shared" si="3"/>
        <v>0</v>
      </c>
      <c r="W101" s="15">
        <f t="shared" si="3"/>
        <v>0</v>
      </c>
      <c r="X101" s="15">
        <f t="shared" si="3"/>
        <v>0</v>
      </c>
      <c r="Y101" s="15">
        <f t="shared" si="3"/>
        <v>0</v>
      </c>
      <c r="Z101" s="14">
        <f t="shared" si="3"/>
        <v>0</v>
      </c>
      <c r="AA101" s="15">
        <f t="shared" si="3"/>
        <v>0</v>
      </c>
      <c r="AB101" s="16">
        <f t="shared" si="3"/>
        <v>0</v>
      </c>
      <c r="AC101" s="16">
        <f t="shared" si="3"/>
        <v>0</v>
      </c>
    </row>
    <row r="102" spans="1:29" x14ac:dyDescent="0.3">
      <c r="A102" s="17" t="s">
        <v>49</v>
      </c>
      <c r="B102" s="72">
        <v>1990</v>
      </c>
      <c r="C102" s="73">
        <f t="shared" ref="C102:AC102" si="4">C13-C55</f>
        <v>0</v>
      </c>
      <c r="D102" s="14">
        <f t="shared" si="4"/>
        <v>0</v>
      </c>
      <c r="E102" s="16">
        <f t="shared" si="4"/>
        <v>0</v>
      </c>
      <c r="F102" s="15">
        <f t="shared" si="4"/>
        <v>0</v>
      </c>
      <c r="G102" s="15">
        <f t="shared" si="4"/>
        <v>0</v>
      </c>
      <c r="H102" s="14">
        <f t="shared" si="4"/>
        <v>0</v>
      </c>
      <c r="I102" s="16">
        <f t="shared" si="4"/>
        <v>0</v>
      </c>
      <c r="J102" s="15">
        <f t="shared" si="4"/>
        <v>0</v>
      </c>
      <c r="K102" s="15">
        <f t="shared" si="4"/>
        <v>0</v>
      </c>
      <c r="L102" s="15">
        <f t="shared" si="4"/>
        <v>0</v>
      </c>
      <c r="M102" s="15">
        <f t="shared" si="4"/>
        <v>0</v>
      </c>
      <c r="N102" s="15">
        <f t="shared" si="4"/>
        <v>0</v>
      </c>
      <c r="O102" s="14">
        <f t="shared" si="4"/>
        <v>0</v>
      </c>
      <c r="P102" s="16">
        <f t="shared" si="4"/>
        <v>0</v>
      </c>
      <c r="Q102" s="15">
        <f t="shared" si="4"/>
        <v>0</v>
      </c>
      <c r="R102" s="15">
        <f t="shared" si="4"/>
        <v>0</v>
      </c>
      <c r="S102" s="15">
        <f t="shared" si="4"/>
        <v>0</v>
      </c>
      <c r="T102" s="15">
        <f t="shared" si="4"/>
        <v>0</v>
      </c>
      <c r="U102" s="14">
        <f t="shared" si="4"/>
        <v>0</v>
      </c>
      <c r="V102" s="16">
        <f t="shared" si="4"/>
        <v>0</v>
      </c>
      <c r="W102" s="15">
        <f t="shared" si="4"/>
        <v>0</v>
      </c>
      <c r="X102" s="15">
        <f t="shared" si="4"/>
        <v>0</v>
      </c>
      <c r="Y102" s="15">
        <f t="shared" si="4"/>
        <v>0</v>
      </c>
      <c r="Z102" s="14">
        <f t="shared" si="4"/>
        <v>0</v>
      </c>
      <c r="AA102" s="15">
        <f t="shared" si="4"/>
        <v>0</v>
      </c>
      <c r="AB102" s="16">
        <f t="shared" si="4"/>
        <v>0</v>
      </c>
      <c r="AC102" s="16">
        <f t="shared" si="4"/>
        <v>0</v>
      </c>
    </row>
    <row r="103" spans="1:29" x14ac:dyDescent="0.3">
      <c r="A103" s="17" t="s">
        <v>49</v>
      </c>
      <c r="B103" s="72">
        <v>1991</v>
      </c>
      <c r="C103" s="73">
        <f t="shared" ref="C103:AC103" si="5">C14-C56</f>
        <v>0</v>
      </c>
      <c r="D103" s="14">
        <f t="shared" si="5"/>
        <v>0</v>
      </c>
      <c r="E103" s="16">
        <f t="shared" si="5"/>
        <v>0</v>
      </c>
      <c r="F103" s="15">
        <f t="shared" si="5"/>
        <v>0</v>
      </c>
      <c r="G103" s="15">
        <f t="shared" si="5"/>
        <v>0</v>
      </c>
      <c r="H103" s="14">
        <f t="shared" si="5"/>
        <v>0</v>
      </c>
      <c r="I103" s="16">
        <f t="shared" si="5"/>
        <v>0</v>
      </c>
      <c r="J103" s="15">
        <f t="shared" si="5"/>
        <v>0</v>
      </c>
      <c r="K103" s="15">
        <f t="shared" si="5"/>
        <v>0</v>
      </c>
      <c r="L103" s="15">
        <f t="shared" si="5"/>
        <v>0</v>
      </c>
      <c r="M103" s="15">
        <f t="shared" si="5"/>
        <v>0</v>
      </c>
      <c r="N103" s="15">
        <f t="shared" si="5"/>
        <v>0</v>
      </c>
      <c r="O103" s="14">
        <f t="shared" si="5"/>
        <v>0</v>
      </c>
      <c r="P103" s="16">
        <f t="shared" si="5"/>
        <v>0</v>
      </c>
      <c r="Q103" s="15">
        <f t="shared" si="5"/>
        <v>0</v>
      </c>
      <c r="R103" s="15">
        <f t="shared" si="5"/>
        <v>0</v>
      </c>
      <c r="S103" s="15">
        <f t="shared" si="5"/>
        <v>0</v>
      </c>
      <c r="T103" s="15">
        <f t="shared" si="5"/>
        <v>0</v>
      </c>
      <c r="U103" s="14">
        <f t="shared" si="5"/>
        <v>0</v>
      </c>
      <c r="V103" s="16">
        <f t="shared" si="5"/>
        <v>0</v>
      </c>
      <c r="W103" s="15">
        <f t="shared" si="5"/>
        <v>0</v>
      </c>
      <c r="X103" s="15">
        <f t="shared" si="5"/>
        <v>0</v>
      </c>
      <c r="Y103" s="15">
        <f t="shared" si="5"/>
        <v>0</v>
      </c>
      <c r="Z103" s="14">
        <f t="shared" si="5"/>
        <v>0</v>
      </c>
      <c r="AA103" s="15">
        <f t="shared" si="5"/>
        <v>0</v>
      </c>
      <c r="AB103" s="16">
        <f t="shared" si="5"/>
        <v>0</v>
      </c>
      <c r="AC103" s="16">
        <f t="shared" si="5"/>
        <v>0</v>
      </c>
    </row>
    <row r="104" spans="1:29" x14ac:dyDescent="0.3">
      <c r="A104" s="17" t="s">
        <v>49</v>
      </c>
      <c r="B104" s="72">
        <v>1992</v>
      </c>
      <c r="C104" s="73">
        <f t="shared" ref="C104:AC104" si="6">C15-C57</f>
        <v>0</v>
      </c>
      <c r="D104" s="14">
        <f t="shared" si="6"/>
        <v>0</v>
      </c>
      <c r="E104" s="16">
        <f t="shared" si="6"/>
        <v>0</v>
      </c>
      <c r="F104" s="15">
        <f t="shared" si="6"/>
        <v>0</v>
      </c>
      <c r="G104" s="15">
        <f t="shared" si="6"/>
        <v>0</v>
      </c>
      <c r="H104" s="14">
        <f t="shared" si="6"/>
        <v>0</v>
      </c>
      <c r="I104" s="16">
        <f t="shared" si="6"/>
        <v>0</v>
      </c>
      <c r="J104" s="15">
        <f t="shared" si="6"/>
        <v>0</v>
      </c>
      <c r="K104" s="15">
        <f t="shared" si="6"/>
        <v>0</v>
      </c>
      <c r="L104" s="15">
        <f t="shared" si="6"/>
        <v>0</v>
      </c>
      <c r="M104" s="15">
        <f t="shared" si="6"/>
        <v>0</v>
      </c>
      <c r="N104" s="15">
        <f t="shared" si="6"/>
        <v>0</v>
      </c>
      <c r="O104" s="14">
        <f t="shared" si="6"/>
        <v>0</v>
      </c>
      <c r="P104" s="16">
        <f t="shared" si="6"/>
        <v>0</v>
      </c>
      <c r="Q104" s="15">
        <f t="shared" si="6"/>
        <v>0</v>
      </c>
      <c r="R104" s="15">
        <f t="shared" si="6"/>
        <v>0</v>
      </c>
      <c r="S104" s="15">
        <f t="shared" si="6"/>
        <v>0</v>
      </c>
      <c r="T104" s="15">
        <f t="shared" si="6"/>
        <v>0</v>
      </c>
      <c r="U104" s="14">
        <f t="shared" si="6"/>
        <v>0</v>
      </c>
      <c r="V104" s="16">
        <f t="shared" si="6"/>
        <v>0</v>
      </c>
      <c r="W104" s="15">
        <f t="shared" si="6"/>
        <v>0</v>
      </c>
      <c r="X104" s="15">
        <f t="shared" si="6"/>
        <v>0</v>
      </c>
      <c r="Y104" s="15">
        <f t="shared" si="6"/>
        <v>0</v>
      </c>
      <c r="Z104" s="14">
        <f t="shared" si="6"/>
        <v>0</v>
      </c>
      <c r="AA104" s="15">
        <f t="shared" si="6"/>
        <v>0</v>
      </c>
      <c r="AB104" s="16">
        <f t="shared" si="6"/>
        <v>0</v>
      </c>
      <c r="AC104" s="16">
        <f t="shared" si="6"/>
        <v>0</v>
      </c>
    </row>
    <row r="105" spans="1:29" x14ac:dyDescent="0.3">
      <c r="A105" s="17" t="s">
        <v>49</v>
      </c>
      <c r="B105" s="72">
        <v>1993</v>
      </c>
      <c r="C105" s="73">
        <f t="shared" ref="C105:AC105" si="7">C16-C58</f>
        <v>0</v>
      </c>
      <c r="D105" s="14">
        <f t="shared" si="7"/>
        <v>0</v>
      </c>
      <c r="E105" s="16">
        <f t="shared" si="7"/>
        <v>0</v>
      </c>
      <c r="F105" s="15">
        <f t="shared" si="7"/>
        <v>0</v>
      </c>
      <c r="G105" s="15">
        <f t="shared" si="7"/>
        <v>0</v>
      </c>
      <c r="H105" s="14">
        <f t="shared" si="7"/>
        <v>0</v>
      </c>
      <c r="I105" s="16">
        <f t="shared" si="7"/>
        <v>0</v>
      </c>
      <c r="J105" s="15">
        <f t="shared" si="7"/>
        <v>0</v>
      </c>
      <c r="K105" s="15">
        <f t="shared" si="7"/>
        <v>0</v>
      </c>
      <c r="L105" s="15">
        <f t="shared" si="7"/>
        <v>0</v>
      </c>
      <c r="M105" s="15">
        <f t="shared" si="7"/>
        <v>0</v>
      </c>
      <c r="N105" s="15">
        <f t="shared" si="7"/>
        <v>0</v>
      </c>
      <c r="O105" s="14">
        <f t="shared" si="7"/>
        <v>0</v>
      </c>
      <c r="P105" s="16">
        <f t="shared" si="7"/>
        <v>0</v>
      </c>
      <c r="Q105" s="15">
        <f t="shared" si="7"/>
        <v>0</v>
      </c>
      <c r="R105" s="15">
        <f t="shared" si="7"/>
        <v>0</v>
      </c>
      <c r="S105" s="15">
        <f t="shared" si="7"/>
        <v>0</v>
      </c>
      <c r="T105" s="15">
        <f t="shared" si="7"/>
        <v>0</v>
      </c>
      <c r="U105" s="14">
        <f t="shared" si="7"/>
        <v>0</v>
      </c>
      <c r="V105" s="16">
        <f t="shared" si="7"/>
        <v>0</v>
      </c>
      <c r="W105" s="15">
        <f t="shared" si="7"/>
        <v>0</v>
      </c>
      <c r="X105" s="15">
        <f t="shared" si="7"/>
        <v>0</v>
      </c>
      <c r="Y105" s="15">
        <f t="shared" si="7"/>
        <v>0</v>
      </c>
      <c r="Z105" s="14">
        <f t="shared" si="7"/>
        <v>0</v>
      </c>
      <c r="AA105" s="15">
        <f t="shared" si="7"/>
        <v>0</v>
      </c>
      <c r="AB105" s="16">
        <f t="shared" si="7"/>
        <v>0</v>
      </c>
      <c r="AC105" s="16">
        <f t="shared" si="7"/>
        <v>0</v>
      </c>
    </row>
    <row r="106" spans="1:29" x14ac:dyDescent="0.3">
      <c r="A106" s="17" t="s">
        <v>49</v>
      </c>
      <c r="B106" s="72">
        <v>1994</v>
      </c>
      <c r="C106" s="73">
        <f t="shared" ref="C106:AC106" si="8">C17-C59</f>
        <v>0</v>
      </c>
      <c r="D106" s="14">
        <f t="shared" si="8"/>
        <v>0</v>
      </c>
      <c r="E106" s="16">
        <f t="shared" si="8"/>
        <v>0</v>
      </c>
      <c r="F106" s="15">
        <f t="shared" si="8"/>
        <v>0</v>
      </c>
      <c r="G106" s="15">
        <f t="shared" si="8"/>
        <v>0</v>
      </c>
      <c r="H106" s="14">
        <f t="shared" si="8"/>
        <v>0</v>
      </c>
      <c r="I106" s="16">
        <f t="shared" si="8"/>
        <v>0</v>
      </c>
      <c r="J106" s="15">
        <f t="shared" si="8"/>
        <v>0</v>
      </c>
      <c r="K106" s="15">
        <f t="shared" si="8"/>
        <v>0</v>
      </c>
      <c r="L106" s="15">
        <f t="shared" si="8"/>
        <v>0</v>
      </c>
      <c r="M106" s="15">
        <f t="shared" si="8"/>
        <v>0</v>
      </c>
      <c r="N106" s="15">
        <f t="shared" si="8"/>
        <v>0</v>
      </c>
      <c r="O106" s="14">
        <f t="shared" si="8"/>
        <v>0</v>
      </c>
      <c r="P106" s="16">
        <f t="shared" si="8"/>
        <v>0</v>
      </c>
      <c r="Q106" s="15">
        <f t="shared" si="8"/>
        <v>0</v>
      </c>
      <c r="R106" s="15">
        <f t="shared" si="8"/>
        <v>0</v>
      </c>
      <c r="S106" s="15">
        <f t="shared" si="8"/>
        <v>0</v>
      </c>
      <c r="T106" s="15">
        <f t="shared" si="8"/>
        <v>0</v>
      </c>
      <c r="U106" s="14">
        <f t="shared" si="8"/>
        <v>0</v>
      </c>
      <c r="V106" s="16">
        <f t="shared" si="8"/>
        <v>0</v>
      </c>
      <c r="W106" s="15">
        <f t="shared" si="8"/>
        <v>0</v>
      </c>
      <c r="X106" s="15">
        <f t="shared" si="8"/>
        <v>0</v>
      </c>
      <c r="Y106" s="15">
        <f t="shared" si="8"/>
        <v>0</v>
      </c>
      <c r="Z106" s="14">
        <f t="shared" si="8"/>
        <v>0</v>
      </c>
      <c r="AA106" s="15">
        <f t="shared" si="8"/>
        <v>0</v>
      </c>
      <c r="AB106" s="16">
        <f t="shared" si="8"/>
        <v>0</v>
      </c>
      <c r="AC106" s="16">
        <f t="shared" si="8"/>
        <v>0</v>
      </c>
    </row>
    <row r="107" spans="1:29" x14ac:dyDescent="0.3">
      <c r="A107" s="17" t="s">
        <v>49</v>
      </c>
      <c r="B107" s="72">
        <v>1995</v>
      </c>
      <c r="C107" s="73">
        <f t="shared" ref="C107:AC107" si="9">C18-C60</f>
        <v>0</v>
      </c>
      <c r="D107" s="14">
        <f t="shared" si="9"/>
        <v>0</v>
      </c>
      <c r="E107" s="16">
        <f t="shared" si="9"/>
        <v>0</v>
      </c>
      <c r="F107" s="15">
        <f t="shared" si="9"/>
        <v>0</v>
      </c>
      <c r="G107" s="15">
        <f t="shared" si="9"/>
        <v>0</v>
      </c>
      <c r="H107" s="14">
        <f t="shared" si="9"/>
        <v>0</v>
      </c>
      <c r="I107" s="16">
        <f t="shared" si="9"/>
        <v>0</v>
      </c>
      <c r="J107" s="15">
        <f t="shared" si="9"/>
        <v>0</v>
      </c>
      <c r="K107" s="15">
        <f t="shared" si="9"/>
        <v>0</v>
      </c>
      <c r="L107" s="15">
        <f t="shared" si="9"/>
        <v>0</v>
      </c>
      <c r="M107" s="15">
        <f t="shared" si="9"/>
        <v>0</v>
      </c>
      <c r="N107" s="15">
        <f t="shared" si="9"/>
        <v>0</v>
      </c>
      <c r="O107" s="14">
        <f t="shared" si="9"/>
        <v>0</v>
      </c>
      <c r="P107" s="16">
        <f t="shared" si="9"/>
        <v>0</v>
      </c>
      <c r="Q107" s="15">
        <f t="shared" si="9"/>
        <v>0</v>
      </c>
      <c r="R107" s="15">
        <f t="shared" si="9"/>
        <v>0</v>
      </c>
      <c r="S107" s="15">
        <f t="shared" si="9"/>
        <v>0</v>
      </c>
      <c r="T107" s="15">
        <f t="shared" si="9"/>
        <v>0</v>
      </c>
      <c r="U107" s="14">
        <f t="shared" si="9"/>
        <v>0</v>
      </c>
      <c r="V107" s="16">
        <f t="shared" si="9"/>
        <v>0</v>
      </c>
      <c r="W107" s="15">
        <f t="shared" si="9"/>
        <v>0</v>
      </c>
      <c r="X107" s="15">
        <f t="shared" si="9"/>
        <v>0</v>
      </c>
      <c r="Y107" s="15">
        <f t="shared" si="9"/>
        <v>0</v>
      </c>
      <c r="Z107" s="14">
        <f t="shared" si="9"/>
        <v>0</v>
      </c>
      <c r="AA107" s="15">
        <f t="shared" si="9"/>
        <v>0</v>
      </c>
      <c r="AB107" s="16">
        <f t="shared" si="9"/>
        <v>0</v>
      </c>
      <c r="AC107" s="16">
        <f t="shared" si="9"/>
        <v>0</v>
      </c>
    </row>
    <row r="108" spans="1:29" x14ac:dyDescent="0.3">
      <c r="A108" s="17" t="s">
        <v>49</v>
      </c>
      <c r="B108" s="72">
        <v>1996</v>
      </c>
      <c r="C108" s="73">
        <f t="shared" ref="C108:AC108" si="10">C19-C61</f>
        <v>0</v>
      </c>
      <c r="D108" s="14">
        <f t="shared" si="10"/>
        <v>0</v>
      </c>
      <c r="E108" s="16">
        <f t="shared" si="10"/>
        <v>0</v>
      </c>
      <c r="F108" s="15">
        <f t="shared" si="10"/>
        <v>0</v>
      </c>
      <c r="G108" s="15">
        <f t="shared" si="10"/>
        <v>0</v>
      </c>
      <c r="H108" s="14">
        <f t="shared" si="10"/>
        <v>0</v>
      </c>
      <c r="I108" s="16">
        <f t="shared" si="10"/>
        <v>0</v>
      </c>
      <c r="J108" s="15">
        <f t="shared" si="10"/>
        <v>0</v>
      </c>
      <c r="K108" s="15">
        <f t="shared" si="10"/>
        <v>0</v>
      </c>
      <c r="L108" s="15">
        <f t="shared" si="10"/>
        <v>0</v>
      </c>
      <c r="M108" s="15">
        <f t="shared" si="10"/>
        <v>0</v>
      </c>
      <c r="N108" s="15">
        <f t="shared" si="10"/>
        <v>0</v>
      </c>
      <c r="O108" s="14">
        <f t="shared" si="10"/>
        <v>0</v>
      </c>
      <c r="P108" s="16">
        <f t="shared" si="10"/>
        <v>0</v>
      </c>
      <c r="Q108" s="15">
        <f t="shared" si="10"/>
        <v>0</v>
      </c>
      <c r="R108" s="15">
        <f t="shared" si="10"/>
        <v>0</v>
      </c>
      <c r="S108" s="15">
        <f t="shared" si="10"/>
        <v>0</v>
      </c>
      <c r="T108" s="15">
        <f t="shared" si="10"/>
        <v>0</v>
      </c>
      <c r="U108" s="14">
        <f t="shared" si="10"/>
        <v>0</v>
      </c>
      <c r="V108" s="16">
        <f t="shared" si="10"/>
        <v>0</v>
      </c>
      <c r="W108" s="15">
        <f t="shared" si="10"/>
        <v>0</v>
      </c>
      <c r="X108" s="15">
        <f t="shared" si="10"/>
        <v>0</v>
      </c>
      <c r="Y108" s="15">
        <f t="shared" si="10"/>
        <v>0</v>
      </c>
      <c r="Z108" s="14">
        <f t="shared" si="10"/>
        <v>0</v>
      </c>
      <c r="AA108" s="15">
        <f t="shared" si="10"/>
        <v>0</v>
      </c>
      <c r="AB108" s="16">
        <f t="shared" si="10"/>
        <v>0</v>
      </c>
      <c r="AC108" s="16">
        <f t="shared" si="10"/>
        <v>0</v>
      </c>
    </row>
    <row r="109" spans="1:29" x14ac:dyDescent="0.3">
      <c r="A109" s="17" t="s">
        <v>49</v>
      </c>
      <c r="B109" s="72">
        <v>1997</v>
      </c>
      <c r="C109" s="73">
        <f t="shared" ref="C109:AC109" si="11">C20-C62</f>
        <v>0</v>
      </c>
      <c r="D109" s="14">
        <f t="shared" si="11"/>
        <v>0</v>
      </c>
      <c r="E109" s="16">
        <f t="shared" si="11"/>
        <v>0</v>
      </c>
      <c r="F109" s="15">
        <f t="shared" si="11"/>
        <v>0</v>
      </c>
      <c r="G109" s="15">
        <f t="shared" si="11"/>
        <v>0</v>
      </c>
      <c r="H109" s="14">
        <f t="shared" si="11"/>
        <v>0</v>
      </c>
      <c r="I109" s="16">
        <f t="shared" si="11"/>
        <v>0</v>
      </c>
      <c r="J109" s="15">
        <f t="shared" si="11"/>
        <v>0</v>
      </c>
      <c r="K109" s="15">
        <f t="shared" si="11"/>
        <v>0</v>
      </c>
      <c r="L109" s="15">
        <f t="shared" si="11"/>
        <v>0</v>
      </c>
      <c r="M109" s="15">
        <f t="shared" si="11"/>
        <v>0</v>
      </c>
      <c r="N109" s="15">
        <f t="shared" si="11"/>
        <v>0</v>
      </c>
      <c r="O109" s="14">
        <f t="shared" si="11"/>
        <v>0</v>
      </c>
      <c r="P109" s="16">
        <f t="shared" si="11"/>
        <v>0</v>
      </c>
      <c r="Q109" s="15">
        <f t="shared" si="11"/>
        <v>0</v>
      </c>
      <c r="R109" s="15">
        <f t="shared" si="11"/>
        <v>0</v>
      </c>
      <c r="S109" s="15">
        <f t="shared" si="11"/>
        <v>0</v>
      </c>
      <c r="T109" s="15">
        <f t="shared" si="11"/>
        <v>0</v>
      </c>
      <c r="U109" s="14">
        <f t="shared" si="11"/>
        <v>0</v>
      </c>
      <c r="V109" s="16">
        <f t="shared" si="11"/>
        <v>0</v>
      </c>
      <c r="W109" s="15">
        <f t="shared" si="11"/>
        <v>0</v>
      </c>
      <c r="X109" s="15">
        <f t="shared" si="11"/>
        <v>0</v>
      </c>
      <c r="Y109" s="15">
        <f t="shared" si="11"/>
        <v>0</v>
      </c>
      <c r="Z109" s="14">
        <f t="shared" si="11"/>
        <v>0</v>
      </c>
      <c r="AA109" s="15">
        <f t="shared" si="11"/>
        <v>0</v>
      </c>
      <c r="AB109" s="16">
        <f t="shared" si="11"/>
        <v>0</v>
      </c>
      <c r="AC109" s="16">
        <f t="shared" si="11"/>
        <v>0</v>
      </c>
    </row>
    <row r="110" spans="1:29" x14ac:dyDescent="0.3">
      <c r="A110" s="17" t="s">
        <v>49</v>
      </c>
      <c r="B110" s="72">
        <v>1998</v>
      </c>
      <c r="C110" s="73">
        <f t="shared" ref="C110:AC110" si="12">C21-C63</f>
        <v>0</v>
      </c>
      <c r="D110" s="14">
        <f t="shared" si="12"/>
        <v>0</v>
      </c>
      <c r="E110" s="16">
        <f t="shared" si="12"/>
        <v>0</v>
      </c>
      <c r="F110" s="15">
        <f t="shared" si="12"/>
        <v>0</v>
      </c>
      <c r="G110" s="15">
        <f t="shared" si="12"/>
        <v>0</v>
      </c>
      <c r="H110" s="14">
        <f t="shared" si="12"/>
        <v>0</v>
      </c>
      <c r="I110" s="16">
        <f t="shared" si="12"/>
        <v>0</v>
      </c>
      <c r="J110" s="15">
        <f t="shared" si="12"/>
        <v>0</v>
      </c>
      <c r="K110" s="15">
        <f t="shared" si="12"/>
        <v>0</v>
      </c>
      <c r="L110" s="15">
        <f t="shared" si="12"/>
        <v>0</v>
      </c>
      <c r="M110" s="15">
        <f t="shared" si="12"/>
        <v>0</v>
      </c>
      <c r="N110" s="15">
        <f t="shared" si="12"/>
        <v>0</v>
      </c>
      <c r="O110" s="14">
        <f t="shared" si="12"/>
        <v>0</v>
      </c>
      <c r="P110" s="16">
        <f t="shared" si="12"/>
        <v>0</v>
      </c>
      <c r="Q110" s="15">
        <f t="shared" si="12"/>
        <v>0</v>
      </c>
      <c r="R110" s="15">
        <f t="shared" si="12"/>
        <v>0</v>
      </c>
      <c r="S110" s="15">
        <f t="shared" si="12"/>
        <v>0</v>
      </c>
      <c r="T110" s="15">
        <f t="shared" si="12"/>
        <v>0</v>
      </c>
      <c r="U110" s="14">
        <f t="shared" si="12"/>
        <v>0</v>
      </c>
      <c r="V110" s="16">
        <f t="shared" si="12"/>
        <v>0</v>
      </c>
      <c r="W110" s="15">
        <f t="shared" si="12"/>
        <v>0</v>
      </c>
      <c r="X110" s="15">
        <f t="shared" si="12"/>
        <v>0</v>
      </c>
      <c r="Y110" s="15">
        <f t="shared" si="12"/>
        <v>0</v>
      </c>
      <c r="Z110" s="14">
        <f t="shared" si="12"/>
        <v>0</v>
      </c>
      <c r="AA110" s="15">
        <f t="shared" si="12"/>
        <v>0</v>
      </c>
      <c r="AB110" s="16">
        <f t="shared" si="12"/>
        <v>0</v>
      </c>
      <c r="AC110" s="16">
        <f t="shared" si="12"/>
        <v>0</v>
      </c>
    </row>
    <row r="111" spans="1:29" x14ac:dyDescent="0.3">
      <c r="A111" s="17" t="s">
        <v>49</v>
      </c>
      <c r="B111" s="72">
        <v>1999</v>
      </c>
      <c r="C111" s="73">
        <f t="shared" ref="C111:AC111" si="13">C22-C64</f>
        <v>0</v>
      </c>
      <c r="D111" s="14">
        <f t="shared" si="13"/>
        <v>0</v>
      </c>
      <c r="E111" s="16">
        <f t="shared" si="13"/>
        <v>0</v>
      </c>
      <c r="F111" s="15">
        <f t="shared" si="13"/>
        <v>0</v>
      </c>
      <c r="G111" s="15">
        <f t="shared" si="13"/>
        <v>0</v>
      </c>
      <c r="H111" s="14">
        <f t="shared" si="13"/>
        <v>0</v>
      </c>
      <c r="I111" s="16">
        <f t="shared" si="13"/>
        <v>0</v>
      </c>
      <c r="J111" s="15">
        <f t="shared" si="13"/>
        <v>0</v>
      </c>
      <c r="K111" s="15">
        <f t="shared" si="13"/>
        <v>0</v>
      </c>
      <c r="L111" s="15">
        <f t="shared" si="13"/>
        <v>0</v>
      </c>
      <c r="M111" s="15">
        <f t="shared" si="13"/>
        <v>0</v>
      </c>
      <c r="N111" s="15">
        <f t="shared" si="13"/>
        <v>0</v>
      </c>
      <c r="O111" s="14">
        <f t="shared" si="13"/>
        <v>0</v>
      </c>
      <c r="P111" s="16">
        <f t="shared" si="13"/>
        <v>0</v>
      </c>
      <c r="Q111" s="15">
        <f t="shared" si="13"/>
        <v>0</v>
      </c>
      <c r="R111" s="15">
        <f t="shared" si="13"/>
        <v>0</v>
      </c>
      <c r="S111" s="15">
        <f t="shared" si="13"/>
        <v>0</v>
      </c>
      <c r="T111" s="15">
        <f t="shared" si="13"/>
        <v>0</v>
      </c>
      <c r="U111" s="14">
        <f t="shared" si="13"/>
        <v>0</v>
      </c>
      <c r="V111" s="16">
        <f t="shared" si="13"/>
        <v>0</v>
      </c>
      <c r="W111" s="15">
        <f t="shared" si="13"/>
        <v>0</v>
      </c>
      <c r="X111" s="15">
        <f t="shared" si="13"/>
        <v>0</v>
      </c>
      <c r="Y111" s="15">
        <f t="shared" si="13"/>
        <v>0</v>
      </c>
      <c r="Z111" s="14">
        <f t="shared" si="13"/>
        <v>0</v>
      </c>
      <c r="AA111" s="15">
        <f t="shared" si="13"/>
        <v>0</v>
      </c>
      <c r="AB111" s="16">
        <f t="shared" si="13"/>
        <v>0</v>
      </c>
      <c r="AC111" s="16">
        <f t="shared" si="13"/>
        <v>0</v>
      </c>
    </row>
    <row r="112" spans="1:29" x14ac:dyDescent="0.3">
      <c r="A112" s="17" t="s">
        <v>49</v>
      </c>
      <c r="B112" s="72">
        <v>2000</v>
      </c>
      <c r="C112" s="73">
        <f t="shared" ref="C112:AC112" si="14">C23-C65</f>
        <v>0</v>
      </c>
      <c r="D112" s="14">
        <f t="shared" si="14"/>
        <v>0</v>
      </c>
      <c r="E112" s="16">
        <f t="shared" si="14"/>
        <v>0</v>
      </c>
      <c r="F112" s="15">
        <f t="shared" si="14"/>
        <v>0</v>
      </c>
      <c r="G112" s="15">
        <f t="shared" si="14"/>
        <v>0</v>
      </c>
      <c r="H112" s="14">
        <f t="shared" si="14"/>
        <v>0</v>
      </c>
      <c r="I112" s="16">
        <f t="shared" si="14"/>
        <v>0</v>
      </c>
      <c r="J112" s="15">
        <f t="shared" si="14"/>
        <v>0</v>
      </c>
      <c r="K112" s="15">
        <f t="shared" si="14"/>
        <v>0</v>
      </c>
      <c r="L112" s="15">
        <f t="shared" si="14"/>
        <v>0</v>
      </c>
      <c r="M112" s="15">
        <f t="shared" si="14"/>
        <v>0</v>
      </c>
      <c r="N112" s="15">
        <f t="shared" si="14"/>
        <v>0</v>
      </c>
      <c r="O112" s="14">
        <f t="shared" si="14"/>
        <v>0</v>
      </c>
      <c r="P112" s="16">
        <f t="shared" si="14"/>
        <v>0</v>
      </c>
      <c r="Q112" s="15">
        <f t="shared" si="14"/>
        <v>0</v>
      </c>
      <c r="R112" s="15">
        <f t="shared" si="14"/>
        <v>0</v>
      </c>
      <c r="S112" s="15">
        <f t="shared" si="14"/>
        <v>0</v>
      </c>
      <c r="T112" s="15">
        <f t="shared" si="14"/>
        <v>0</v>
      </c>
      <c r="U112" s="14">
        <f t="shared" si="14"/>
        <v>0</v>
      </c>
      <c r="V112" s="16">
        <f t="shared" si="14"/>
        <v>0</v>
      </c>
      <c r="W112" s="15">
        <f t="shared" si="14"/>
        <v>0</v>
      </c>
      <c r="X112" s="15">
        <f t="shared" si="14"/>
        <v>0</v>
      </c>
      <c r="Y112" s="15">
        <f t="shared" si="14"/>
        <v>0</v>
      </c>
      <c r="Z112" s="14">
        <f t="shared" si="14"/>
        <v>0</v>
      </c>
      <c r="AA112" s="15">
        <f t="shared" si="14"/>
        <v>0</v>
      </c>
      <c r="AB112" s="16">
        <f t="shared" si="14"/>
        <v>0</v>
      </c>
      <c r="AC112" s="16">
        <f t="shared" si="14"/>
        <v>0</v>
      </c>
    </row>
    <row r="113" spans="1:29" x14ac:dyDescent="0.3">
      <c r="A113" s="17" t="s">
        <v>49</v>
      </c>
      <c r="B113" s="72">
        <v>2001</v>
      </c>
      <c r="C113" s="73">
        <f t="shared" ref="C113:AC113" si="15">C24-C66</f>
        <v>0</v>
      </c>
      <c r="D113" s="14">
        <f t="shared" si="15"/>
        <v>0</v>
      </c>
      <c r="E113" s="16">
        <f t="shared" si="15"/>
        <v>0</v>
      </c>
      <c r="F113" s="15">
        <f t="shared" si="15"/>
        <v>0</v>
      </c>
      <c r="G113" s="15">
        <f t="shared" si="15"/>
        <v>0</v>
      </c>
      <c r="H113" s="14">
        <f t="shared" si="15"/>
        <v>0</v>
      </c>
      <c r="I113" s="16">
        <f t="shared" si="15"/>
        <v>0</v>
      </c>
      <c r="J113" s="15">
        <f t="shared" si="15"/>
        <v>0</v>
      </c>
      <c r="K113" s="15">
        <f t="shared" si="15"/>
        <v>0</v>
      </c>
      <c r="L113" s="15">
        <f t="shared" si="15"/>
        <v>0</v>
      </c>
      <c r="M113" s="15">
        <f t="shared" si="15"/>
        <v>0</v>
      </c>
      <c r="N113" s="15">
        <f t="shared" si="15"/>
        <v>0</v>
      </c>
      <c r="O113" s="14">
        <f t="shared" si="15"/>
        <v>0</v>
      </c>
      <c r="P113" s="16">
        <f t="shared" si="15"/>
        <v>0</v>
      </c>
      <c r="Q113" s="15">
        <f t="shared" si="15"/>
        <v>0</v>
      </c>
      <c r="R113" s="15">
        <f t="shared" si="15"/>
        <v>0</v>
      </c>
      <c r="S113" s="15">
        <f t="shared" si="15"/>
        <v>0</v>
      </c>
      <c r="T113" s="15">
        <f t="shared" si="15"/>
        <v>0</v>
      </c>
      <c r="U113" s="14">
        <f t="shared" si="15"/>
        <v>0</v>
      </c>
      <c r="V113" s="16">
        <f t="shared" si="15"/>
        <v>0</v>
      </c>
      <c r="W113" s="15">
        <f t="shared" si="15"/>
        <v>0</v>
      </c>
      <c r="X113" s="15">
        <f t="shared" si="15"/>
        <v>0</v>
      </c>
      <c r="Y113" s="15">
        <f t="shared" si="15"/>
        <v>0</v>
      </c>
      <c r="Z113" s="14">
        <f t="shared" si="15"/>
        <v>0</v>
      </c>
      <c r="AA113" s="15">
        <f t="shared" si="15"/>
        <v>0</v>
      </c>
      <c r="AB113" s="16">
        <f t="shared" si="15"/>
        <v>0</v>
      </c>
      <c r="AC113" s="16">
        <f t="shared" si="15"/>
        <v>0</v>
      </c>
    </row>
    <row r="114" spans="1:29" x14ac:dyDescent="0.3">
      <c r="A114" s="17" t="s">
        <v>49</v>
      </c>
      <c r="B114" s="72">
        <v>2002</v>
      </c>
      <c r="C114" s="73">
        <f t="shared" ref="C114:AC114" si="16">C25-C67</f>
        <v>0</v>
      </c>
      <c r="D114" s="14">
        <f t="shared" si="16"/>
        <v>0</v>
      </c>
      <c r="E114" s="16">
        <f t="shared" si="16"/>
        <v>0</v>
      </c>
      <c r="F114" s="15">
        <f t="shared" si="16"/>
        <v>0</v>
      </c>
      <c r="G114" s="15">
        <f t="shared" si="16"/>
        <v>0</v>
      </c>
      <c r="H114" s="14">
        <f t="shared" si="16"/>
        <v>0</v>
      </c>
      <c r="I114" s="16">
        <f t="shared" si="16"/>
        <v>0</v>
      </c>
      <c r="J114" s="15">
        <f t="shared" si="16"/>
        <v>0</v>
      </c>
      <c r="K114" s="15">
        <f t="shared" si="16"/>
        <v>0</v>
      </c>
      <c r="L114" s="15">
        <f t="shared" si="16"/>
        <v>0</v>
      </c>
      <c r="M114" s="15">
        <f t="shared" si="16"/>
        <v>0</v>
      </c>
      <c r="N114" s="15">
        <f t="shared" si="16"/>
        <v>0</v>
      </c>
      <c r="O114" s="14">
        <f t="shared" si="16"/>
        <v>0</v>
      </c>
      <c r="P114" s="16">
        <f t="shared" si="16"/>
        <v>0</v>
      </c>
      <c r="Q114" s="15">
        <f t="shared" si="16"/>
        <v>0</v>
      </c>
      <c r="R114" s="15">
        <f t="shared" si="16"/>
        <v>0</v>
      </c>
      <c r="S114" s="15">
        <f t="shared" si="16"/>
        <v>0</v>
      </c>
      <c r="T114" s="15">
        <f t="shared" si="16"/>
        <v>0</v>
      </c>
      <c r="U114" s="14">
        <f t="shared" si="16"/>
        <v>0</v>
      </c>
      <c r="V114" s="16">
        <f t="shared" si="16"/>
        <v>0</v>
      </c>
      <c r="W114" s="15">
        <f t="shared" si="16"/>
        <v>0</v>
      </c>
      <c r="X114" s="15">
        <f t="shared" si="16"/>
        <v>0</v>
      </c>
      <c r="Y114" s="15">
        <f t="shared" si="16"/>
        <v>0</v>
      </c>
      <c r="Z114" s="14">
        <f t="shared" si="16"/>
        <v>0</v>
      </c>
      <c r="AA114" s="15">
        <f t="shared" si="16"/>
        <v>0</v>
      </c>
      <c r="AB114" s="16">
        <f t="shared" si="16"/>
        <v>0</v>
      </c>
      <c r="AC114" s="16">
        <f t="shared" si="16"/>
        <v>0</v>
      </c>
    </row>
    <row r="115" spans="1:29" x14ac:dyDescent="0.3">
      <c r="A115" s="17" t="s">
        <v>49</v>
      </c>
      <c r="B115" s="72">
        <v>2003</v>
      </c>
      <c r="C115" s="73">
        <f t="shared" ref="C115:AC115" si="17">C26-C68</f>
        <v>0</v>
      </c>
      <c r="D115" s="14">
        <f t="shared" si="17"/>
        <v>0</v>
      </c>
      <c r="E115" s="16">
        <f t="shared" si="17"/>
        <v>0</v>
      </c>
      <c r="F115" s="15">
        <f t="shared" si="17"/>
        <v>0</v>
      </c>
      <c r="G115" s="15">
        <f t="shared" si="17"/>
        <v>0</v>
      </c>
      <c r="H115" s="14">
        <f t="shared" si="17"/>
        <v>0</v>
      </c>
      <c r="I115" s="16">
        <f t="shared" si="17"/>
        <v>0</v>
      </c>
      <c r="J115" s="15">
        <f t="shared" si="17"/>
        <v>0</v>
      </c>
      <c r="K115" s="15">
        <f t="shared" si="17"/>
        <v>0</v>
      </c>
      <c r="L115" s="15">
        <f t="shared" si="17"/>
        <v>0</v>
      </c>
      <c r="M115" s="15">
        <f t="shared" si="17"/>
        <v>0</v>
      </c>
      <c r="N115" s="15">
        <f t="shared" si="17"/>
        <v>0</v>
      </c>
      <c r="O115" s="14">
        <f t="shared" si="17"/>
        <v>0</v>
      </c>
      <c r="P115" s="16">
        <f t="shared" si="17"/>
        <v>0</v>
      </c>
      <c r="Q115" s="15">
        <f t="shared" si="17"/>
        <v>0</v>
      </c>
      <c r="R115" s="15">
        <f t="shared" si="17"/>
        <v>0</v>
      </c>
      <c r="S115" s="15">
        <f t="shared" si="17"/>
        <v>0</v>
      </c>
      <c r="T115" s="15">
        <f t="shared" si="17"/>
        <v>0</v>
      </c>
      <c r="U115" s="14">
        <f t="shared" si="17"/>
        <v>0</v>
      </c>
      <c r="V115" s="16">
        <f t="shared" si="17"/>
        <v>0</v>
      </c>
      <c r="W115" s="15">
        <f t="shared" si="17"/>
        <v>0</v>
      </c>
      <c r="X115" s="15">
        <f t="shared" si="17"/>
        <v>0</v>
      </c>
      <c r="Y115" s="15">
        <f t="shared" si="17"/>
        <v>0</v>
      </c>
      <c r="Z115" s="14">
        <f t="shared" si="17"/>
        <v>0</v>
      </c>
      <c r="AA115" s="15">
        <f t="shared" si="17"/>
        <v>0</v>
      </c>
      <c r="AB115" s="16">
        <f t="shared" si="17"/>
        <v>0</v>
      </c>
      <c r="AC115" s="16">
        <f t="shared" si="17"/>
        <v>0</v>
      </c>
    </row>
    <row r="116" spans="1:29" x14ac:dyDescent="0.3">
      <c r="A116" s="17" t="s">
        <v>49</v>
      </c>
      <c r="B116" s="72">
        <v>2004</v>
      </c>
      <c r="C116" s="73">
        <f t="shared" ref="C116:AC116" si="18">C27-C69</f>
        <v>0</v>
      </c>
      <c r="D116" s="14">
        <f t="shared" si="18"/>
        <v>0</v>
      </c>
      <c r="E116" s="16">
        <f t="shared" si="18"/>
        <v>0</v>
      </c>
      <c r="F116" s="15">
        <f t="shared" si="18"/>
        <v>0</v>
      </c>
      <c r="G116" s="15">
        <f t="shared" si="18"/>
        <v>0</v>
      </c>
      <c r="H116" s="14">
        <f t="shared" si="18"/>
        <v>0</v>
      </c>
      <c r="I116" s="16">
        <f t="shared" si="18"/>
        <v>0</v>
      </c>
      <c r="J116" s="15">
        <f t="shared" si="18"/>
        <v>0</v>
      </c>
      <c r="K116" s="15">
        <f t="shared" si="18"/>
        <v>0</v>
      </c>
      <c r="L116" s="15">
        <f t="shared" si="18"/>
        <v>0</v>
      </c>
      <c r="M116" s="15">
        <f t="shared" si="18"/>
        <v>0</v>
      </c>
      <c r="N116" s="15">
        <f t="shared" si="18"/>
        <v>0</v>
      </c>
      <c r="O116" s="14">
        <f t="shared" si="18"/>
        <v>0</v>
      </c>
      <c r="P116" s="16">
        <f t="shared" si="18"/>
        <v>0</v>
      </c>
      <c r="Q116" s="15">
        <f t="shared" si="18"/>
        <v>0</v>
      </c>
      <c r="R116" s="15">
        <f t="shared" si="18"/>
        <v>0</v>
      </c>
      <c r="S116" s="15">
        <f t="shared" si="18"/>
        <v>0</v>
      </c>
      <c r="T116" s="15">
        <f t="shared" si="18"/>
        <v>0</v>
      </c>
      <c r="U116" s="14">
        <f t="shared" si="18"/>
        <v>0</v>
      </c>
      <c r="V116" s="16">
        <f t="shared" si="18"/>
        <v>0</v>
      </c>
      <c r="W116" s="15">
        <f t="shared" si="18"/>
        <v>0</v>
      </c>
      <c r="X116" s="15">
        <f t="shared" si="18"/>
        <v>0</v>
      </c>
      <c r="Y116" s="15">
        <f t="shared" si="18"/>
        <v>0</v>
      </c>
      <c r="Z116" s="14">
        <f t="shared" si="18"/>
        <v>0</v>
      </c>
      <c r="AA116" s="15">
        <f t="shared" si="18"/>
        <v>0</v>
      </c>
      <c r="AB116" s="16">
        <f t="shared" si="18"/>
        <v>0</v>
      </c>
      <c r="AC116" s="16">
        <f t="shared" si="18"/>
        <v>0</v>
      </c>
    </row>
    <row r="117" spans="1:29" x14ac:dyDescent="0.3">
      <c r="A117" s="17" t="s">
        <v>49</v>
      </c>
      <c r="B117" s="72">
        <v>2005</v>
      </c>
      <c r="C117" s="73">
        <f t="shared" ref="C117:AC117" si="19">C28-C70</f>
        <v>3.9999999999054126E-3</v>
      </c>
      <c r="D117" s="14">
        <f t="shared" si="19"/>
        <v>-4.6429260400215888E-7</v>
      </c>
      <c r="E117" s="16">
        <f t="shared" si="19"/>
        <v>-7.5195485397389072E-8</v>
      </c>
      <c r="F117" s="15">
        <f t="shared" si="19"/>
        <v>-3.8655318790326021E-7</v>
      </c>
      <c r="G117" s="15">
        <f t="shared" si="19"/>
        <v>-1.3137557410003442E-7</v>
      </c>
      <c r="H117" s="14">
        <f t="shared" si="19"/>
        <v>-1.3651780960029225E-8</v>
      </c>
      <c r="I117" s="16">
        <f t="shared" si="19"/>
        <v>-2.4727395110668571E-7</v>
      </c>
      <c r="J117" s="15">
        <f t="shared" si="19"/>
        <v>1.7707602741959261E-6</v>
      </c>
      <c r="K117" s="15">
        <f t="shared" si="19"/>
        <v>-3.253358251104066E-6</v>
      </c>
      <c r="L117" s="15">
        <f t="shared" si="19"/>
        <v>1.4203523612005275E-5</v>
      </c>
      <c r="M117" s="15">
        <f t="shared" si="19"/>
        <v>0</v>
      </c>
      <c r="N117" s="15">
        <f t="shared" si="19"/>
        <v>-4.863374139865706E-8</v>
      </c>
      <c r="O117" s="14">
        <f t="shared" si="19"/>
        <v>0</v>
      </c>
      <c r="P117" s="16">
        <f t="shared" si="19"/>
        <v>0</v>
      </c>
      <c r="Q117" s="15">
        <f t="shared" si="19"/>
        <v>-6.2265763221130976E-7</v>
      </c>
      <c r="R117" s="15">
        <f t="shared" si="19"/>
        <v>-2.9860624429361993E-7</v>
      </c>
      <c r="S117" s="15">
        <f t="shared" si="19"/>
        <v>0</v>
      </c>
      <c r="T117" s="15">
        <f t="shared" si="19"/>
        <v>-1.8709664429371331E-7</v>
      </c>
      <c r="U117" s="14">
        <f t="shared" si="19"/>
        <v>-1.9744535552975589E-7</v>
      </c>
      <c r="V117" s="16">
        <f t="shared" si="19"/>
        <v>-2.0028158715656996E-6</v>
      </c>
      <c r="W117" s="15">
        <f t="shared" si="19"/>
        <v>-6.1326208100447033E-9</v>
      </c>
      <c r="X117" s="15">
        <f t="shared" si="19"/>
        <v>-1.2238054570169049E-8</v>
      </c>
      <c r="Y117" s="15">
        <f t="shared" si="19"/>
        <v>0</v>
      </c>
      <c r="Z117" s="14">
        <f t="shared" si="19"/>
        <v>-8.0269568860091844E-6</v>
      </c>
      <c r="AA117" s="15">
        <f t="shared" si="19"/>
        <v>0</v>
      </c>
      <c r="AB117" s="16">
        <f t="shared" si="19"/>
        <v>0</v>
      </c>
      <c r="AC117" s="16">
        <f t="shared" si="19"/>
        <v>1.1893437399712603E-5</v>
      </c>
    </row>
    <row r="118" spans="1:29" x14ac:dyDescent="0.3">
      <c r="A118" s="17" t="s">
        <v>49</v>
      </c>
      <c r="B118" s="72">
        <v>2006</v>
      </c>
      <c r="C118" s="73">
        <f t="shared" ref="C118:AC118" si="20">C29-C71</f>
        <v>-8.0000000000381988E-3</v>
      </c>
      <c r="D118" s="14">
        <f t="shared" si="20"/>
        <v>-1.322635840017572E-7</v>
      </c>
      <c r="E118" s="16">
        <f t="shared" si="20"/>
        <v>1.1522953510118006E-7</v>
      </c>
      <c r="F118" s="15">
        <f t="shared" si="20"/>
        <v>-9.8757370989299709E-8</v>
      </c>
      <c r="G118" s="15">
        <f t="shared" si="20"/>
        <v>-9.5112596280172435E-7</v>
      </c>
      <c r="H118" s="14">
        <f t="shared" si="20"/>
        <v>1.3561659289920008E-8</v>
      </c>
      <c r="I118" s="16">
        <f t="shared" si="20"/>
        <v>8.5938261101120572E-8</v>
      </c>
      <c r="J118" s="15">
        <f t="shared" si="20"/>
        <v>7.6352778500751728E-8</v>
      </c>
      <c r="K118" s="15">
        <f t="shared" si="20"/>
        <v>2.4356867410479932E-7</v>
      </c>
      <c r="L118" s="15">
        <f t="shared" si="20"/>
        <v>2.4881267501886128E-7</v>
      </c>
      <c r="M118" s="15">
        <f t="shared" si="20"/>
        <v>0</v>
      </c>
      <c r="N118" s="15">
        <f t="shared" si="20"/>
        <v>1.0917135729801575E-7</v>
      </c>
      <c r="O118" s="14">
        <f t="shared" si="20"/>
        <v>0</v>
      </c>
      <c r="P118" s="16">
        <f t="shared" si="20"/>
        <v>0</v>
      </c>
      <c r="Q118" s="15">
        <f t="shared" si="20"/>
        <v>1.0997262666484486E-7</v>
      </c>
      <c r="R118" s="15">
        <f t="shared" si="20"/>
        <v>3.1329675836272441E-8</v>
      </c>
      <c r="S118" s="15">
        <f t="shared" si="20"/>
        <v>0</v>
      </c>
      <c r="T118" s="15">
        <f t="shared" si="20"/>
        <v>0</v>
      </c>
      <c r="U118" s="14">
        <f t="shared" si="20"/>
        <v>-1.242913700502668E-7</v>
      </c>
      <c r="V118" s="16">
        <f t="shared" si="20"/>
        <v>-2.0310411665697137E-7</v>
      </c>
      <c r="W118" s="15">
        <f t="shared" si="20"/>
        <v>1.0629666750104627E-8</v>
      </c>
      <c r="X118" s="15">
        <f t="shared" si="20"/>
        <v>3.2172330690152795E-8</v>
      </c>
      <c r="Y118" s="15">
        <f t="shared" si="20"/>
        <v>0</v>
      </c>
      <c r="Z118" s="14">
        <f t="shared" si="20"/>
        <v>3.9625672199061768E-7</v>
      </c>
      <c r="AA118" s="15">
        <f t="shared" si="20"/>
        <v>3.6546443319546151E-8</v>
      </c>
      <c r="AB118" s="16">
        <f t="shared" si="20"/>
        <v>0</v>
      </c>
      <c r="AC118" s="16">
        <f t="shared" si="20"/>
        <v>-2.7247792855344954E-7</v>
      </c>
    </row>
    <row r="119" spans="1:29" x14ac:dyDescent="0.3">
      <c r="A119" s="17" t="s">
        <v>49</v>
      </c>
      <c r="B119" s="72">
        <v>2007</v>
      </c>
      <c r="C119" s="73">
        <f t="shared" ref="C119:AC119" si="21">C30-C72</f>
        <v>3.5949999999999136</v>
      </c>
      <c r="D119" s="14">
        <f t="shared" si="21"/>
        <v>-5.880189323098084E-4</v>
      </c>
      <c r="E119" s="16">
        <f t="shared" si="21"/>
        <v>-3.366862949960997E-4</v>
      </c>
      <c r="F119" s="15">
        <f t="shared" si="21"/>
        <v>-4.0364705887839525E-4</v>
      </c>
      <c r="G119" s="15">
        <f t="shared" si="21"/>
        <v>-4.47076877953409E-4</v>
      </c>
      <c r="H119" s="14">
        <f t="shared" si="21"/>
        <v>-6.4779306881400118E-6</v>
      </c>
      <c r="I119" s="16">
        <f t="shared" si="21"/>
        <v>-1.8665299090460039E-4</v>
      </c>
      <c r="J119" s="15">
        <f t="shared" si="21"/>
        <v>5.7521083517919971E-4</v>
      </c>
      <c r="K119" s="15">
        <f t="shared" si="21"/>
        <v>1.14699002594549E-2</v>
      </c>
      <c r="L119" s="15">
        <f t="shared" si="21"/>
        <v>-4.8021816633160574E-4</v>
      </c>
      <c r="M119" s="15">
        <f t="shared" si="21"/>
        <v>0</v>
      </c>
      <c r="N119" s="15">
        <f t="shared" si="21"/>
        <v>4.6992300330835598E-3</v>
      </c>
      <c r="O119" s="14">
        <f t="shared" si="21"/>
        <v>0</v>
      </c>
      <c r="P119" s="16">
        <f t="shared" si="21"/>
        <v>0</v>
      </c>
      <c r="Q119" s="15">
        <f t="shared" si="21"/>
        <v>-2.0099784554190522E-4</v>
      </c>
      <c r="R119" s="15">
        <f t="shared" si="21"/>
        <v>0</v>
      </c>
      <c r="S119" s="15">
        <f t="shared" si="21"/>
        <v>0</v>
      </c>
      <c r="T119" s="15">
        <f t="shared" si="21"/>
        <v>-1.0552386890949964E-4</v>
      </c>
      <c r="U119" s="14">
        <f t="shared" si="21"/>
        <v>-2.2337156235525263E-5</v>
      </c>
      <c r="V119" s="16">
        <f t="shared" si="21"/>
        <v>-2.8595677429626987E-4</v>
      </c>
      <c r="W119" s="15">
        <f t="shared" si="21"/>
        <v>-3.1891351080040077E-6</v>
      </c>
      <c r="X119" s="15">
        <f t="shared" si="21"/>
        <v>0</v>
      </c>
      <c r="Y119" s="15">
        <f t="shared" si="21"/>
        <v>1.20542423410073E-3</v>
      </c>
      <c r="Z119" s="14">
        <f t="shared" si="21"/>
        <v>-1.4882982329664951E-2</v>
      </c>
      <c r="AA119" s="15">
        <f t="shared" si="21"/>
        <v>0</v>
      </c>
      <c r="AB119" s="16">
        <f t="shared" si="21"/>
        <v>0</v>
      </c>
      <c r="AC119" s="16">
        <f t="shared" si="21"/>
        <v>1.5220268102961509E-2</v>
      </c>
    </row>
    <row r="120" spans="1:29" x14ac:dyDescent="0.3">
      <c r="A120" s="17" t="s">
        <v>49</v>
      </c>
      <c r="B120" s="72">
        <v>2008</v>
      </c>
      <c r="C120" s="73">
        <f t="shared" ref="C120:AC120" si="22">C31-C73</f>
        <v>-0.40299999999979264</v>
      </c>
      <c r="D120" s="14">
        <f t="shared" si="22"/>
        <v>-4.4164634789199686E-5</v>
      </c>
      <c r="E120" s="16">
        <f t="shared" si="22"/>
        <v>-5.1176275846706587E-6</v>
      </c>
      <c r="F120" s="15">
        <f t="shared" si="22"/>
        <v>-4.1236325142399166E-5</v>
      </c>
      <c r="G120" s="15">
        <f t="shared" si="22"/>
        <v>-3.6393350247895806E-5</v>
      </c>
      <c r="H120" s="14">
        <f t="shared" si="22"/>
        <v>1.3257561069600745E-8</v>
      </c>
      <c r="I120" s="16">
        <f t="shared" si="22"/>
        <v>-1.6462649176200717E-5</v>
      </c>
      <c r="J120" s="15">
        <f t="shared" si="22"/>
        <v>-1.8836229388705002E-3</v>
      </c>
      <c r="K120" s="15">
        <f t="shared" si="22"/>
        <v>-7.8771552208298234E-5</v>
      </c>
      <c r="L120" s="15">
        <f t="shared" si="22"/>
        <v>-2.0152408254697773E-4</v>
      </c>
      <c r="M120" s="15">
        <f t="shared" si="22"/>
        <v>0</v>
      </c>
      <c r="N120" s="15">
        <f t="shared" si="22"/>
        <v>7.4209862518112395E-4</v>
      </c>
      <c r="O120" s="14">
        <f t="shared" si="22"/>
        <v>0</v>
      </c>
      <c r="P120" s="16">
        <f t="shared" si="22"/>
        <v>0</v>
      </c>
      <c r="Q120" s="15">
        <f t="shared" si="22"/>
        <v>-1.9899689139468886E-6</v>
      </c>
      <c r="R120" s="15">
        <f t="shared" si="22"/>
        <v>-1.251690446872622E-5</v>
      </c>
      <c r="S120" s="15">
        <f t="shared" si="22"/>
        <v>-2.4178122304454458E-6</v>
      </c>
      <c r="T120" s="15">
        <f t="shared" si="22"/>
        <v>-3.6814424908017656E-7</v>
      </c>
      <c r="U120" s="14">
        <f t="shared" si="22"/>
        <v>-2.488342281895678E-6</v>
      </c>
      <c r="V120" s="16">
        <f t="shared" si="22"/>
        <v>-1.4351623248653328E-5</v>
      </c>
      <c r="W120" s="15">
        <f t="shared" si="22"/>
        <v>3.9279378610975173E-8</v>
      </c>
      <c r="X120" s="15">
        <f t="shared" si="22"/>
        <v>0</v>
      </c>
      <c r="Y120" s="15">
        <f t="shared" si="22"/>
        <v>6.3764931947561001E-5</v>
      </c>
      <c r="Z120" s="14">
        <f t="shared" si="22"/>
        <v>1.5355098618899943E-3</v>
      </c>
      <c r="AA120" s="15">
        <f t="shared" si="22"/>
        <v>0</v>
      </c>
      <c r="AB120" s="16">
        <f t="shared" si="22"/>
        <v>0</v>
      </c>
      <c r="AC120" s="16">
        <f t="shared" si="22"/>
        <v>-1.5158990154500729E-3</v>
      </c>
    </row>
    <row r="121" spans="1:29" x14ac:dyDescent="0.3">
      <c r="A121" s="17" t="s">
        <v>49</v>
      </c>
      <c r="B121" s="72">
        <v>2009</v>
      </c>
      <c r="C121" s="73">
        <f t="shared" ref="C121:AC121" si="23">C32-C74</f>
        <v>4.13799999999992</v>
      </c>
      <c r="D121" s="14">
        <f t="shared" si="23"/>
        <v>-1.9960027927949653E-4</v>
      </c>
      <c r="E121" s="16">
        <f t="shared" si="23"/>
        <v>-6.5464534459699908E-5</v>
      </c>
      <c r="F121" s="15">
        <f t="shared" si="23"/>
        <v>-1.5310752041499537E-4</v>
      </c>
      <c r="G121" s="15">
        <f t="shared" si="23"/>
        <v>-9.1714039397304548E-5</v>
      </c>
      <c r="H121" s="14">
        <f t="shared" si="23"/>
        <v>-1.664961078308002E-5</v>
      </c>
      <c r="I121" s="16">
        <f t="shared" si="23"/>
        <v>-7.2991605843002183E-5</v>
      </c>
      <c r="J121" s="15">
        <f t="shared" si="23"/>
        <v>4.6141415153429927E-4</v>
      </c>
      <c r="K121" s="15">
        <f t="shared" si="23"/>
        <v>-2.568643557901984E-4</v>
      </c>
      <c r="L121" s="15">
        <f t="shared" si="23"/>
        <v>2.1553740794489906E-3</v>
      </c>
      <c r="M121" s="15">
        <f t="shared" si="23"/>
        <v>0</v>
      </c>
      <c r="N121" s="15">
        <f t="shared" si="23"/>
        <v>-4.4448300925301054E-5</v>
      </c>
      <c r="O121" s="14">
        <f t="shared" si="23"/>
        <v>-3.7866168722798814E-8</v>
      </c>
      <c r="P121" s="16">
        <f t="shared" si="23"/>
        <v>0</v>
      </c>
      <c r="Q121" s="15">
        <f t="shared" si="23"/>
        <v>-4.0790245226513325E-5</v>
      </c>
      <c r="R121" s="15">
        <f t="shared" si="23"/>
        <v>-2.2475425119808379E-4</v>
      </c>
      <c r="S121" s="15">
        <f t="shared" si="23"/>
        <v>0</v>
      </c>
      <c r="T121" s="15">
        <f t="shared" si="23"/>
        <v>0</v>
      </c>
      <c r="U121" s="14">
        <f t="shared" si="23"/>
        <v>-4.149479088039025E-5</v>
      </c>
      <c r="V121" s="16">
        <f t="shared" si="23"/>
        <v>-2.9369409946658487E-4</v>
      </c>
      <c r="W121" s="15">
        <f t="shared" si="23"/>
        <v>-4.0945796087299945E-6</v>
      </c>
      <c r="X121" s="15">
        <f t="shared" si="23"/>
        <v>-2.9060082973299411E-8</v>
      </c>
      <c r="Y121" s="15">
        <f t="shared" si="23"/>
        <v>1.2594897282195521E-3</v>
      </c>
      <c r="Z121" s="14">
        <f t="shared" si="23"/>
        <v>-2.3671348644939694E-3</v>
      </c>
      <c r="AA121" s="15">
        <f t="shared" si="23"/>
        <v>-3.4079551850499552E-6</v>
      </c>
      <c r="AB121" s="16">
        <f t="shared" si="23"/>
        <v>0</v>
      </c>
      <c r="AC121" s="16">
        <f t="shared" si="23"/>
        <v>1.9809749316606617E-3</v>
      </c>
    </row>
    <row r="122" spans="1:29" x14ac:dyDescent="0.3">
      <c r="A122" s="17" t="s">
        <v>49</v>
      </c>
      <c r="B122" s="72">
        <v>2010</v>
      </c>
      <c r="C122" s="73">
        <f t="shared" ref="C122:AC122" si="24">C33-C75</f>
        <v>0.58800000000019281</v>
      </c>
      <c r="D122" s="14">
        <f t="shared" si="24"/>
        <v>-1.5141151247999307E-4</v>
      </c>
      <c r="E122" s="16">
        <f t="shared" si="24"/>
        <v>-3.262113403409983E-5</v>
      </c>
      <c r="F122" s="15">
        <f t="shared" si="24"/>
        <v>-1.6996299118279823E-4</v>
      </c>
      <c r="G122" s="15">
        <f t="shared" si="24"/>
        <v>-5.0761131696500789E-5</v>
      </c>
      <c r="H122" s="14">
        <f t="shared" si="24"/>
        <v>-5.7066737723992719E-8</v>
      </c>
      <c r="I122" s="16">
        <f t="shared" si="24"/>
        <v>-1.2784521661949808E-5</v>
      </c>
      <c r="J122" s="15">
        <f t="shared" si="24"/>
        <v>-9.7100449998020061E-4</v>
      </c>
      <c r="K122" s="15">
        <f t="shared" si="24"/>
        <v>-1.1590303802769958E-4</v>
      </c>
      <c r="L122" s="15">
        <f t="shared" si="24"/>
        <v>1.3010103186699012E-3</v>
      </c>
      <c r="M122" s="15">
        <f t="shared" si="24"/>
        <v>9.3951732410942206E-5</v>
      </c>
      <c r="N122" s="15">
        <f t="shared" si="24"/>
        <v>-1.397079759539975E-5</v>
      </c>
      <c r="O122" s="14">
        <f t="shared" si="24"/>
        <v>-4.2406280686980698E-9</v>
      </c>
      <c r="P122" s="16">
        <f t="shared" si="24"/>
        <v>-5.3589896636301385E-7</v>
      </c>
      <c r="Q122" s="15">
        <f t="shared" si="24"/>
        <v>-1.1541309755281649E-5</v>
      </c>
      <c r="R122" s="15">
        <f t="shared" si="24"/>
        <v>-2.4250882702117962E-5</v>
      </c>
      <c r="S122" s="15">
        <f t="shared" si="24"/>
        <v>0</v>
      </c>
      <c r="T122" s="15">
        <f t="shared" si="24"/>
        <v>0</v>
      </c>
      <c r="U122" s="14">
        <f t="shared" si="24"/>
        <v>-7.3204026999867944E-5</v>
      </c>
      <c r="V122" s="16">
        <f t="shared" si="24"/>
        <v>-8.114433059452919E-5</v>
      </c>
      <c r="W122" s="15">
        <f t="shared" si="24"/>
        <v>-7.6846949537199942E-6</v>
      </c>
      <c r="X122" s="15">
        <f t="shared" si="24"/>
        <v>-4.3077802686499606E-5</v>
      </c>
      <c r="Y122" s="15">
        <f t="shared" si="24"/>
        <v>6.9506328471249002E-4</v>
      </c>
      <c r="Z122" s="14">
        <f t="shared" si="24"/>
        <v>-3.2727877360100299E-4</v>
      </c>
      <c r="AA122" s="15">
        <f t="shared" si="24"/>
        <v>-2.8266815097002795E-6</v>
      </c>
      <c r="AB122" s="16">
        <f t="shared" si="24"/>
        <v>0</v>
      </c>
      <c r="AC122" s="16">
        <f t="shared" si="24"/>
        <v>5.9977864604210396E-5</v>
      </c>
    </row>
    <row r="123" spans="1:29" x14ac:dyDescent="0.3">
      <c r="A123" s="17" t="s">
        <v>49</v>
      </c>
      <c r="B123" s="72">
        <v>2011</v>
      </c>
      <c r="C123" s="73">
        <f t="shared" ref="C123:AC123" si="25">C34-C76</f>
        <v>-3.43100000000004</v>
      </c>
      <c r="D123" s="14">
        <f t="shared" si="25"/>
        <v>-1.1708176372988988E-4</v>
      </c>
      <c r="E123" s="16">
        <f t="shared" si="25"/>
        <v>-4.2930349015798952E-5</v>
      </c>
      <c r="F123" s="15">
        <f t="shared" si="25"/>
        <v>-1.1592982361889603E-4</v>
      </c>
      <c r="G123" s="15">
        <f t="shared" si="25"/>
        <v>-6.6428805425296222E-5</v>
      </c>
      <c r="H123" s="14">
        <f t="shared" si="25"/>
        <v>-2.821008943459935E-5</v>
      </c>
      <c r="I123" s="16">
        <f t="shared" si="25"/>
        <v>-1.6765702739569843E-5</v>
      </c>
      <c r="J123" s="15">
        <f t="shared" si="25"/>
        <v>-1.9870549580427999E-3</v>
      </c>
      <c r="K123" s="15">
        <f t="shared" si="25"/>
        <v>3.4526860575059826E-4</v>
      </c>
      <c r="L123" s="15">
        <f t="shared" si="25"/>
        <v>-5.366609258680155E-4</v>
      </c>
      <c r="M123" s="15">
        <f t="shared" si="25"/>
        <v>1.0750972054100749E-6</v>
      </c>
      <c r="N123" s="15">
        <f t="shared" si="25"/>
        <v>4.8377317663802198E-4</v>
      </c>
      <c r="O123" s="14">
        <f t="shared" si="25"/>
        <v>0</v>
      </c>
      <c r="P123" s="16">
        <f t="shared" si="25"/>
        <v>-1.5820480858699478E-7</v>
      </c>
      <c r="Q123" s="15">
        <f t="shared" si="25"/>
        <v>-3.6339126568547125E-5</v>
      </c>
      <c r="R123" s="15">
        <f t="shared" si="25"/>
        <v>-4.8914877054523354E-5</v>
      </c>
      <c r="S123" s="15">
        <f t="shared" si="25"/>
        <v>0</v>
      </c>
      <c r="T123" s="15">
        <f t="shared" si="25"/>
        <v>-2.4787944453305783E-6</v>
      </c>
      <c r="U123" s="14">
        <f t="shared" si="25"/>
        <v>-3.6147087426120425E-5</v>
      </c>
      <c r="V123" s="16">
        <f t="shared" si="25"/>
        <v>-3.2589694361245813E-4</v>
      </c>
      <c r="W123" s="15">
        <f t="shared" si="25"/>
        <v>-1.0541977257740205E-5</v>
      </c>
      <c r="X123" s="15">
        <f t="shared" si="25"/>
        <v>1.2126751424402192E-6</v>
      </c>
      <c r="Y123" s="15">
        <f t="shared" si="25"/>
        <v>2.1751023361304802E-3</v>
      </c>
      <c r="Z123" s="14">
        <f t="shared" si="25"/>
        <v>3.644020102990253E-4</v>
      </c>
      <c r="AA123" s="15">
        <f t="shared" si="25"/>
        <v>7.0552788217296538E-7</v>
      </c>
      <c r="AB123" s="16">
        <f t="shared" si="25"/>
        <v>0</v>
      </c>
      <c r="AC123" s="16">
        <f t="shared" si="25"/>
        <v>-1.9210916303437076E-3</v>
      </c>
    </row>
    <row r="124" spans="1:29" x14ac:dyDescent="0.3">
      <c r="A124" s="17" t="s">
        <v>49</v>
      </c>
      <c r="B124" s="72">
        <v>2012</v>
      </c>
      <c r="C124" s="73">
        <f t="shared" ref="C124:AC124" si="26">C35-C77</f>
        <v>22.442000000000007</v>
      </c>
      <c r="D124" s="14">
        <f t="shared" si="26"/>
        <v>-9.380650537745977E-4</v>
      </c>
      <c r="E124" s="16">
        <f t="shared" si="26"/>
        <v>-4.5650122254190656E-4</v>
      </c>
      <c r="F124" s="15">
        <f t="shared" si="26"/>
        <v>-8.7819717080420134E-4</v>
      </c>
      <c r="G124" s="15">
        <f t="shared" si="26"/>
        <v>-5.8569851856200145E-4</v>
      </c>
      <c r="H124" s="14">
        <f t="shared" si="26"/>
        <v>-1.2133132187880022E-4</v>
      </c>
      <c r="I124" s="16">
        <f t="shared" si="26"/>
        <v>-1.9058202246109712E-4</v>
      </c>
      <c r="J124" s="15">
        <f t="shared" si="26"/>
        <v>-4.4688713667030006E-4</v>
      </c>
      <c r="K124" s="15">
        <f t="shared" si="26"/>
        <v>-4.6215878712409925E-4</v>
      </c>
      <c r="L124" s="15">
        <f t="shared" si="26"/>
        <v>7.0388852415363967E-3</v>
      </c>
      <c r="M124" s="15">
        <f t="shared" si="26"/>
        <v>-2.6786807840950382E-5</v>
      </c>
      <c r="N124" s="15">
        <f t="shared" si="26"/>
        <v>9.8703861319229987E-4</v>
      </c>
      <c r="O124" s="14">
        <f t="shared" si="26"/>
        <v>0</v>
      </c>
      <c r="P124" s="16">
        <f t="shared" si="26"/>
        <v>0</v>
      </c>
      <c r="Q124" s="15">
        <f t="shared" si="26"/>
        <v>-1.1739932986287727E-4</v>
      </c>
      <c r="R124" s="15">
        <f t="shared" si="26"/>
        <v>-5.0149857661632019E-4</v>
      </c>
      <c r="S124" s="15">
        <f t="shared" si="26"/>
        <v>0</v>
      </c>
      <c r="T124" s="15">
        <f t="shared" si="26"/>
        <v>0</v>
      </c>
      <c r="U124" s="14">
        <f t="shared" si="26"/>
        <v>-4.4312814643337507E-5</v>
      </c>
      <c r="V124" s="16">
        <f t="shared" si="26"/>
        <v>-5.3308316015934776E-4</v>
      </c>
      <c r="W124" s="15">
        <f t="shared" si="26"/>
        <v>-7.5457222577529452E-5</v>
      </c>
      <c r="X124" s="15">
        <f t="shared" si="26"/>
        <v>-4.4161427985249914E-6</v>
      </c>
      <c r="Y124" s="15">
        <f t="shared" si="26"/>
        <v>3.6095944011249985E-3</v>
      </c>
      <c r="Z124" s="14">
        <f t="shared" si="26"/>
        <v>-6.2531429675379835E-3</v>
      </c>
      <c r="AA124" s="15">
        <f t="shared" si="26"/>
        <v>0</v>
      </c>
      <c r="AB124" s="16">
        <f t="shared" si="26"/>
        <v>0</v>
      </c>
      <c r="AC124" s="16">
        <f t="shared" si="26"/>
        <v>5.3142820893872789E-3</v>
      </c>
    </row>
    <row r="125" spans="1:29" x14ac:dyDescent="0.3">
      <c r="A125" s="17" t="s">
        <v>49</v>
      </c>
      <c r="B125" s="72">
        <v>2013</v>
      </c>
      <c r="C125" s="73">
        <f t="shared" ref="C125:AC125" si="27">C36-C78</f>
        <v>-19.619999999998981</v>
      </c>
      <c r="D125" s="14">
        <f t="shared" si="27"/>
        <v>-5.2382334138068032E-6</v>
      </c>
      <c r="E125" s="16">
        <f t="shared" si="27"/>
        <v>6.4169472739974975E-7</v>
      </c>
      <c r="F125" s="15">
        <f t="shared" si="27"/>
        <v>-3.3599144540208403E-7</v>
      </c>
      <c r="G125" s="15">
        <f t="shared" si="27"/>
        <v>-8.9273470485970452E-6</v>
      </c>
      <c r="H125" s="14">
        <f t="shared" si="27"/>
        <v>-5.7566313564974547E-7</v>
      </c>
      <c r="I125" s="16">
        <f t="shared" si="27"/>
        <v>8.5181566383809963E-4</v>
      </c>
      <c r="J125" s="15">
        <f t="shared" si="27"/>
        <v>2.8538744725734033E-3</v>
      </c>
      <c r="K125" s="15">
        <f t="shared" si="27"/>
        <v>4.5818316129363004E-3</v>
      </c>
      <c r="L125" s="15">
        <f t="shared" si="27"/>
        <v>-3.2201450676719937E-3</v>
      </c>
      <c r="M125" s="15">
        <f t="shared" si="27"/>
        <v>1.6920823749200058E-6</v>
      </c>
      <c r="N125" s="15">
        <f t="shared" si="27"/>
        <v>2.4815575945251987E-4</v>
      </c>
      <c r="O125" s="14">
        <f t="shared" si="27"/>
        <v>0</v>
      </c>
      <c r="P125" s="16">
        <f t="shared" si="27"/>
        <v>1.1078717022198754E-7</v>
      </c>
      <c r="Q125" s="15">
        <f t="shared" si="27"/>
        <v>0</v>
      </c>
      <c r="R125" s="15">
        <f t="shared" si="27"/>
        <v>-3.3243758905052156E-6</v>
      </c>
      <c r="S125" s="15">
        <f t="shared" si="27"/>
        <v>-7.4751331696808546E-8</v>
      </c>
      <c r="T125" s="15">
        <f t="shared" si="27"/>
        <v>0</v>
      </c>
      <c r="U125" s="14">
        <f t="shared" si="27"/>
        <v>-7.1611396962670271E-7</v>
      </c>
      <c r="V125" s="16">
        <f t="shared" si="27"/>
        <v>-2.1431584558695427E-6</v>
      </c>
      <c r="W125" s="15">
        <f t="shared" si="27"/>
        <v>2.592530395899989E-6</v>
      </c>
      <c r="X125" s="15">
        <f t="shared" si="27"/>
        <v>-2.1616067475099636E-6</v>
      </c>
      <c r="Y125" s="15">
        <f t="shared" si="27"/>
        <v>2.5984837032025799E-3</v>
      </c>
      <c r="Z125" s="14">
        <f t="shared" si="27"/>
        <v>-7.9156461493679053E-3</v>
      </c>
      <c r="AA125" s="15">
        <f t="shared" si="27"/>
        <v>2.0090151806869544E-5</v>
      </c>
      <c r="AB125" s="16">
        <f t="shared" si="27"/>
        <v>0</v>
      </c>
      <c r="AC125" s="16">
        <f t="shared" si="27"/>
        <v>5.3074963090438132E-3</v>
      </c>
    </row>
    <row r="126" spans="1:29" x14ac:dyDescent="0.3">
      <c r="A126" s="17" t="s">
        <v>49</v>
      </c>
      <c r="B126" s="72">
        <v>2014</v>
      </c>
      <c r="C126" s="73">
        <f t="shared" ref="C126:AC126" si="28">C37-C79</f>
        <v>-5.7449999999998909</v>
      </c>
      <c r="D126" s="14">
        <f t="shared" si="28"/>
        <v>-5.9678421684000726E-5</v>
      </c>
      <c r="E126" s="16">
        <f t="shared" si="28"/>
        <v>-8.6180337470001533E-6</v>
      </c>
      <c r="F126" s="15">
        <f t="shared" si="28"/>
        <v>-2.0343971748992828E-5</v>
      </c>
      <c r="G126" s="15">
        <f t="shared" si="28"/>
        <v>-1.5159402236800124E-5</v>
      </c>
      <c r="H126" s="14">
        <f t="shared" si="28"/>
        <v>-1.9793332817898829E-5</v>
      </c>
      <c r="I126" s="16">
        <f t="shared" si="28"/>
        <v>4.2097672604100161E-4</v>
      </c>
      <c r="J126" s="15">
        <f t="shared" si="28"/>
        <v>8.8210576070010122E-4</v>
      </c>
      <c r="K126" s="15">
        <f t="shared" si="28"/>
        <v>2.8177142896783965E-4</v>
      </c>
      <c r="L126" s="15">
        <f t="shared" si="28"/>
        <v>7.0046894131239879E-4</v>
      </c>
      <c r="M126" s="15">
        <f t="shared" si="28"/>
        <v>2.0995263678466801E-7</v>
      </c>
      <c r="N126" s="15">
        <f t="shared" si="28"/>
        <v>1.2506864842120029E-4</v>
      </c>
      <c r="O126" s="14">
        <f t="shared" si="28"/>
        <v>9.3396302440198684E-6</v>
      </c>
      <c r="P126" s="16">
        <f t="shared" si="28"/>
        <v>7.2162396983497037E-7</v>
      </c>
      <c r="Q126" s="15">
        <f t="shared" si="28"/>
        <v>-2.8115431245322002E-5</v>
      </c>
      <c r="R126" s="15">
        <f t="shared" si="28"/>
        <v>-5.7685367467068954E-5</v>
      </c>
      <c r="S126" s="15">
        <f t="shared" si="28"/>
        <v>-2.8790201595210035E-5</v>
      </c>
      <c r="T126" s="15">
        <f t="shared" si="28"/>
        <v>0</v>
      </c>
      <c r="U126" s="14">
        <f t="shared" si="28"/>
        <v>-9.3258502267058382E-5</v>
      </c>
      <c r="V126" s="16">
        <f t="shared" si="28"/>
        <v>-6.267683986500433E-4</v>
      </c>
      <c r="W126" s="15">
        <f t="shared" si="28"/>
        <v>-1.182063863740257E-5</v>
      </c>
      <c r="X126" s="15">
        <f t="shared" si="28"/>
        <v>-2.0504964682780021E-5</v>
      </c>
      <c r="Y126" s="15">
        <f t="shared" si="28"/>
        <v>4.1179662168063305E-3</v>
      </c>
      <c r="Z126" s="14">
        <f t="shared" si="28"/>
        <v>-5.5585663066909929E-3</v>
      </c>
      <c r="AA126" s="15">
        <f t="shared" si="28"/>
        <v>1.0474044371149016E-5</v>
      </c>
      <c r="AB126" s="16">
        <f t="shared" si="28"/>
        <v>0</v>
      </c>
      <c r="AC126" s="16">
        <f t="shared" si="28"/>
        <v>2.3653660054894499E-3</v>
      </c>
    </row>
    <row r="127" spans="1:29" x14ac:dyDescent="0.3">
      <c r="A127" s="17" t="s">
        <v>49</v>
      </c>
      <c r="B127" s="72">
        <v>2015</v>
      </c>
      <c r="C127" s="73">
        <f t="shared" ref="C127:AC127" si="29">C38-C80</f>
        <v>2.3760000000002037</v>
      </c>
      <c r="D127" s="14">
        <f t="shared" si="29"/>
        <v>-4.818644960649654E-5</v>
      </c>
      <c r="E127" s="16">
        <f t="shared" si="29"/>
        <v>-1.3731209344738926E-5</v>
      </c>
      <c r="F127" s="15">
        <f t="shared" si="29"/>
        <v>-2.672707922760087E-5</v>
      </c>
      <c r="G127" s="15">
        <f t="shared" si="29"/>
        <v>1.0362989212100021E-3</v>
      </c>
      <c r="H127" s="14">
        <f t="shared" si="29"/>
        <v>-4.000382619680394E-6</v>
      </c>
      <c r="I127" s="16">
        <f t="shared" si="29"/>
        <v>8.4920987153500049E-5</v>
      </c>
      <c r="J127" s="15">
        <f t="shared" si="29"/>
        <v>-1.4925232632774996E-3</v>
      </c>
      <c r="K127" s="15">
        <f t="shared" si="29"/>
        <v>-7.9921363165659856E-4</v>
      </c>
      <c r="L127" s="15">
        <f t="shared" si="29"/>
        <v>1.2708325357213973E-3</v>
      </c>
      <c r="M127" s="15">
        <f t="shared" si="29"/>
        <v>9.0970134702319941E-5</v>
      </c>
      <c r="N127" s="15">
        <f t="shared" si="29"/>
        <v>8.9961851529474918E-4</v>
      </c>
      <c r="O127" s="14">
        <f t="shared" si="29"/>
        <v>-6.7750941273998463E-9</v>
      </c>
      <c r="P127" s="16">
        <f t="shared" si="29"/>
        <v>-1.7185604615800045E-8</v>
      </c>
      <c r="Q127" s="15">
        <f t="shared" si="29"/>
        <v>-6.2760013016955815E-5</v>
      </c>
      <c r="R127" s="15">
        <f t="shared" si="29"/>
        <v>-1.5890582551284296E-4</v>
      </c>
      <c r="S127" s="15">
        <f t="shared" si="29"/>
        <v>0</v>
      </c>
      <c r="T127" s="15">
        <f t="shared" si="29"/>
        <v>0</v>
      </c>
      <c r="U127" s="14">
        <f t="shared" si="29"/>
        <v>-3.6007666704053302E-5</v>
      </c>
      <c r="V127" s="16">
        <f t="shared" si="29"/>
        <v>-2.3492654198305901E-4</v>
      </c>
      <c r="W127" s="15">
        <f t="shared" si="29"/>
        <v>-1.5173233910099893E-5</v>
      </c>
      <c r="X127" s="15">
        <f t="shared" si="29"/>
        <v>-5.4638794818860983E-5</v>
      </c>
      <c r="Y127" s="15">
        <f t="shared" si="29"/>
        <v>3.9979071289756099E-3</v>
      </c>
      <c r="Z127" s="14">
        <f t="shared" si="29"/>
        <v>-4.4281084950160698E-3</v>
      </c>
      <c r="AA127" s="15">
        <f t="shared" si="29"/>
        <v>-5.6216756636993936E-6</v>
      </c>
      <c r="AB127" s="16">
        <f t="shared" si="29"/>
        <v>0</v>
      </c>
      <c r="AC127" s="16">
        <f t="shared" si="29"/>
        <v>1.060152776601847E-3</v>
      </c>
    </row>
    <row r="128" spans="1:29" x14ac:dyDescent="0.3">
      <c r="A128" s="17" t="s">
        <v>49</v>
      </c>
      <c r="B128" s="72">
        <v>2016</v>
      </c>
      <c r="C128" s="73">
        <f t="shared" ref="C128:AC128" si="30">C39-C81</f>
        <v>-1.2149999999996908</v>
      </c>
      <c r="D128" s="14">
        <f t="shared" si="30"/>
        <v>-1.1467968884680546E-4</v>
      </c>
      <c r="E128" s="16">
        <f t="shared" si="30"/>
        <v>-4.0719128597301035E-5</v>
      </c>
      <c r="F128" s="15">
        <f t="shared" si="30"/>
        <v>-9.4422095317403532E-5</v>
      </c>
      <c r="G128" s="15">
        <f t="shared" si="30"/>
        <v>2.2542928289729508E-4</v>
      </c>
      <c r="H128" s="14">
        <f t="shared" si="30"/>
        <v>-1.9326948122799087E-5</v>
      </c>
      <c r="I128" s="16">
        <f t="shared" si="30"/>
        <v>-6.001921846180043E-5</v>
      </c>
      <c r="J128" s="15">
        <f t="shared" si="30"/>
        <v>2.1602981906636027E-4</v>
      </c>
      <c r="K128" s="15">
        <f t="shared" si="30"/>
        <v>-3.3387597011159953E-4</v>
      </c>
      <c r="L128" s="15">
        <f t="shared" si="30"/>
        <v>-4.4639237659609837E-4</v>
      </c>
      <c r="M128" s="15">
        <f t="shared" si="30"/>
        <v>2.3808911538144401E-4</v>
      </c>
      <c r="N128" s="15">
        <f t="shared" si="30"/>
        <v>3.7957104587647925E-4</v>
      </c>
      <c r="O128" s="14">
        <f t="shared" si="30"/>
        <v>4.7742251525700453E-10</v>
      </c>
      <c r="P128" s="16">
        <f t="shared" si="30"/>
        <v>0</v>
      </c>
      <c r="Q128" s="15">
        <f t="shared" si="30"/>
        <v>0</v>
      </c>
      <c r="R128" s="15">
        <f t="shared" si="30"/>
        <v>-1.2438732458910223E-4</v>
      </c>
      <c r="S128" s="15">
        <f t="shared" si="30"/>
        <v>0</v>
      </c>
      <c r="T128" s="15">
        <f t="shared" si="30"/>
        <v>0</v>
      </c>
      <c r="U128" s="14">
        <f t="shared" si="30"/>
        <v>-3.0456731743257019E-5</v>
      </c>
      <c r="V128" s="16">
        <f t="shared" si="30"/>
        <v>-1.9460520950030646E-4</v>
      </c>
      <c r="W128" s="15">
        <f t="shared" si="30"/>
        <v>-9.0584242284008284E-7</v>
      </c>
      <c r="X128" s="15">
        <f t="shared" si="30"/>
        <v>1.7759351334011367E-7</v>
      </c>
      <c r="Y128" s="15">
        <f t="shared" si="30"/>
        <v>2.6866277599311202E-3</v>
      </c>
      <c r="Z128" s="14">
        <f t="shared" si="30"/>
        <v>-2.2861345597789962E-3</v>
      </c>
      <c r="AA128" s="15">
        <f t="shared" si="30"/>
        <v>0</v>
      </c>
      <c r="AB128" s="16">
        <f t="shared" si="30"/>
        <v>0</v>
      </c>
      <c r="AC128" s="16">
        <f t="shared" si="30"/>
        <v>1.0508313203438924E-4</v>
      </c>
    </row>
    <row r="129" spans="1:29" x14ac:dyDescent="0.3">
      <c r="A129" s="17" t="s">
        <v>49</v>
      </c>
      <c r="B129" s="72">
        <v>2017</v>
      </c>
      <c r="C129" s="73">
        <f t="shared" ref="C129:AC129" si="31">C40-C82</f>
        <v>5.4940000000001419</v>
      </c>
      <c r="D129" s="14">
        <f t="shared" si="31"/>
        <v>-2.7935116215800637E-4</v>
      </c>
      <c r="E129" s="16">
        <f t="shared" si="31"/>
        <v>-5.7060538859701054E-5</v>
      </c>
      <c r="F129" s="15">
        <f t="shared" si="31"/>
        <v>-1.6853017337699339E-4</v>
      </c>
      <c r="G129" s="15">
        <f t="shared" si="31"/>
        <v>5.4571322770674002E-3</v>
      </c>
      <c r="H129" s="14">
        <f t="shared" si="31"/>
        <v>-4.1845314906399991E-5</v>
      </c>
      <c r="I129" s="16">
        <f t="shared" si="31"/>
        <v>1.6108045014969971E-4</v>
      </c>
      <c r="J129" s="15">
        <f t="shared" si="31"/>
        <v>1.6885727606422013E-3</v>
      </c>
      <c r="K129" s="15">
        <f t="shared" si="31"/>
        <v>1.4704195162877007E-3</v>
      </c>
      <c r="L129" s="15">
        <f t="shared" si="31"/>
        <v>1.8585768345300013E-4</v>
      </c>
      <c r="M129" s="15">
        <f t="shared" si="31"/>
        <v>2.3099665430661998E-4</v>
      </c>
      <c r="N129" s="15">
        <f t="shared" si="31"/>
        <v>2.0718391524258899E-4</v>
      </c>
      <c r="O129" s="14">
        <f t="shared" si="31"/>
        <v>-1.1644707973549486E-9</v>
      </c>
      <c r="P129" s="16">
        <f t="shared" si="31"/>
        <v>-1.5254567445350663E-7</v>
      </c>
      <c r="Q129" s="15">
        <f t="shared" si="31"/>
        <v>0</v>
      </c>
      <c r="R129" s="15">
        <f t="shared" si="31"/>
        <v>-1.9178964680370211E-4</v>
      </c>
      <c r="S129" s="15">
        <f t="shared" si="31"/>
        <v>0</v>
      </c>
      <c r="T129" s="15">
        <f t="shared" si="31"/>
        <v>0</v>
      </c>
      <c r="U129" s="14">
        <f t="shared" si="31"/>
        <v>-3.6210893596776064E-5</v>
      </c>
      <c r="V129" s="16">
        <f t="shared" si="31"/>
        <v>-3.5745324964817429E-4</v>
      </c>
      <c r="W129" s="15">
        <f t="shared" si="31"/>
        <v>-1.6570646660160355E-5</v>
      </c>
      <c r="X129" s="15">
        <f t="shared" si="31"/>
        <v>-3.0387504495820545E-6</v>
      </c>
      <c r="Y129" s="15">
        <f t="shared" si="31"/>
        <v>2.5096317046844896E-3</v>
      </c>
      <c r="Z129" s="14">
        <f t="shared" si="31"/>
        <v>-1.075042846194707E-2</v>
      </c>
      <c r="AA129" s="15">
        <f t="shared" si="31"/>
        <v>-8.4424132808201546E-6</v>
      </c>
      <c r="AB129" s="16">
        <f t="shared" si="31"/>
        <v>0</v>
      </c>
      <c r="AC129" s="16">
        <f t="shared" si="31"/>
        <v>9.1907140587206282E-3</v>
      </c>
    </row>
    <row r="130" spans="1:29" x14ac:dyDescent="0.3">
      <c r="A130" s="17" t="s">
        <v>49</v>
      </c>
      <c r="B130" s="72">
        <v>2018</v>
      </c>
      <c r="C130" s="73">
        <f t="shared" ref="C130:AC130" si="32">C41-C83</f>
        <v>-2.7719999999999345</v>
      </c>
      <c r="D130" s="14">
        <f t="shared" si="32"/>
        <v>-7.6270328890105932E-5</v>
      </c>
      <c r="E130" s="16">
        <f t="shared" si="32"/>
        <v>-9.800671682399717E-6</v>
      </c>
      <c r="F130" s="15">
        <f t="shared" si="32"/>
        <v>-4.0667225881901164E-5</v>
      </c>
      <c r="G130" s="15">
        <f t="shared" si="32"/>
        <v>1.4010438283725002E-3</v>
      </c>
      <c r="H130" s="14">
        <f t="shared" si="32"/>
        <v>-1.0560775502819683E-5</v>
      </c>
      <c r="I130" s="16">
        <f t="shared" si="32"/>
        <v>-7.5239493855600026E-5</v>
      </c>
      <c r="J130" s="15">
        <f t="shared" si="32"/>
        <v>2.8316792700980031E-3</v>
      </c>
      <c r="K130" s="15">
        <f t="shared" si="32"/>
        <v>-2.2813041209965995E-3</v>
      </c>
      <c r="L130" s="15">
        <f t="shared" si="32"/>
        <v>3.9557773401039872E-4</v>
      </c>
      <c r="M130" s="15">
        <f t="shared" si="32"/>
        <v>1.4070956374649972E-5</v>
      </c>
      <c r="N130" s="15">
        <f t="shared" si="32"/>
        <v>2.9027348427655003E-4</v>
      </c>
      <c r="O130" s="14">
        <f t="shared" si="32"/>
        <v>3.2015324666703499E-7</v>
      </c>
      <c r="P130" s="16">
        <f t="shared" si="32"/>
        <v>0</v>
      </c>
      <c r="Q130" s="15">
        <f t="shared" si="32"/>
        <v>-1.7381165036612321E-5</v>
      </c>
      <c r="R130" s="15">
        <f t="shared" si="32"/>
        <v>-1.4190432534834027E-4</v>
      </c>
      <c r="S130" s="15">
        <f t="shared" si="32"/>
        <v>0</v>
      </c>
      <c r="T130" s="15">
        <f t="shared" si="32"/>
        <v>-1.3217615997424014E-6</v>
      </c>
      <c r="U130" s="14">
        <f t="shared" si="32"/>
        <v>-5.2359103728199727E-5</v>
      </c>
      <c r="V130" s="16">
        <f t="shared" si="32"/>
        <v>-4.8393375706920483E-4</v>
      </c>
      <c r="W130" s="15">
        <f t="shared" si="32"/>
        <v>-2.2759938009000134E-6</v>
      </c>
      <c r="X130" s="15">
        <f t="shared" si="32"/>
        <v>-1.8662449284340653E-5</v>
      </c>
      <c r="Y130" s="15">
        <f t="shared" si="32"/>
        <v>3.0821666523770403E-3</v>
      </c>
      <c r="Z130" s="14">
        <f t="shared" si="32"/>
        <v>-4.8045595207590885E-3</v>
      </c>
      <c r="AA130" s="15">
        <f t="shared" si="32"/>
        <v>1.1086146797399318E-6</v>
      </c>
      <c r="AB130" s="16">
        <f t="shared" si="32"/>
        <v>0</v>
      </c>
      <c r="AC130" s="16">
        <f t="shared" si="32"/>
        <v>2.5251938101418236E-3</v>
      </c>
    </row>
    <row r="131" spans="1:29" x14ac:dyDescent="0.3">
      <c r="A131" s="17" t="s">
        <v>49</v>
      </c>
      <c r="B131" s="72">
        <v>2019</v>
      </c>
      <c r="C131" s="73">
        <f t="shared" ref="C131:AC131" si="33">C42-C84</f>
        <v>8.4690000000000509</v>
      </c>
      <c r="D131" s="14">
        <f t="shared" si="33"/>
        <v>-5.1864355562199899E-5</v>
      </c>
      <c r="E131" s="16">
        <f t="shared" si="33"/>
        <v>-5.3279318354196997E-5</v>
      </c>
      <c r="F131" s="15">
        <f t="shared" si="33"/>
        <v>-3.0114351471403553E-6</v>
      </c>
      <c r="G131" s="15">
        <f t="shared" si="33"/>
        <v>6.8020926222329969E-4</v>
      </c>
      <c r="H131" s="14">
        <f t="shared" si="33"/>
        <v>-8.4313240690005176E-6</v>
      </c>
      <c r="I131" s="16">
        <f t="shared" si="33"/>
        <v>2.4191612694296006E-4</v>
      </c>
      <c r="J131" s="15">
        <f t="shared" si="33"/>
        <v>6.1095821768399582E-5</v>
      </c>
      <c r="K131" s="15">
        <f t="shared" si="33"/>
        <v>1.5376794353549605E-3</v>
      </c>
      <c r="L131" s="15">
        <f t="shared" si="33"/>
        <v>1.4755503972132961E-3</v>
      </c>
      <c r="M131" s="15">
        <f t="shared" si="33"/>
        <v>7.3235223303540209E-5</v>
      </c>
      <c r="N131" s="15">
        <f t="shared" si="33"/>
        <v>-4.0147272730120878E-4</v>
      </c>
      <c r="O131" s="14">
        <f t="shared" si="33"/>
        <v>-5.7361486387495298E-7</v>
      </c>
      <c r="P131" s="16">
        <f t="shared" si="33"/>
        <v>-7.7367446184000289E-8</v>
      </c>
      <c r="Q131" s="15">
        <f t="shared" si="33"/>
        <v>0</v>
      </c>
      <c r="R131" s="15">
        <f t="shared" si="33"/>
        <v>-1.3454037422759926E-4</v>
      </c>
      <c r="S131" s="15">
        <f t="shared" si="33"/>
        <v>0</v>
      </c>
      <c r="T131" s="15">
        <f t="shared" si="33"/>
        <v>0</v>
      </c>
      <c r="U131" s="14">
        <f t="shared" si="33"/>
        <v>-2.9036814086023932E-5</v>
      </c>
      <c r="V131" s="16">
        <f t="shared" si="33"/>
        <v>-2.2169069835900612E-4</v>
      </c>
      <c r="W131" s="15">
        <f t="shared" si="33"/>
        <v>-5.6227990688400079E-6</v>
      </c>
      <c r="X131" s="15">
        <f t="shared" si="33"/>
        <v>-4.2465988660403756E-6</v>
      </c>
      <c r="Y131" s="15">
        <f t="shared" si="33"/>
        <v>3.7572933401735596E-3</v>
      </c>
      <c r="Z131" s="14">
        <f t="shared" si="33"/>
        <v>-6.9027124780779436E-3</v>
      </c>
      <c r="AA131" s="15">
        <f t="shared" si="33"/>
        <v>-1.0419701550450772E-5</v>
      </c>
      <c r="AB131" s="16">
        <f t="shared" si="33"/>
        <v>0</v>
      </c>
      <c r="AC131" s="16">
        <f t="shared" si="33"/>
        <v>3.6561197979790294E-3</v>
      </c>
    </row>
    <row r="132" spans="1:29" x14ac:dyDescent="0.3">
      <c r="A132" s="17" t="s">
        <v>49</v>
      </c>
      <c r="B132" s="72">
        <v>2020</v>
      </c>
      <c r="C132" s="73">
        <f t="shared" ref="C132:AC132" si="34">C43-C85</f>
        <v>-9.7960000000002765</v>
      </c>
      <c r="D132" s="14">
        <f t="shared" si="34"/>
        <v>-8.5999714917003867E-5</v>
      </c>
      <c r="E132" s="16">
        <f t="shared" si="34"/>
        <v>-6.451138074998683E-6</v>
      </c>
      <c r="F132" s="15">
        <f t="shared" si="34"/>
        <v>1.621495485080093E-6</v>
      </c>
      <c r="G132" s="15">
        <f t="shared" si="34"/>
        <v>3.0182423428084994E-4</v>
      </c>
      <c r="H132" s="14">
        <f t="shared" si="34"/>
        <v>1.1653608476300086E-6</v>
      </c>
      <c r="I132" s="16">
        <f t="shared" si="34"/>
        <v>8.7272358893792507E-6</v>
      </c>
      <c r="J132" s="15">
        <f t="shared" si="34"/>
        <v>5.5968952096209848E-4</v>
      </c>
      <c r="K132" s="15">
        <f t="shared" si="34"/>
        <v>4.6512999554979874E-5</v>
      </c>
      <c r="L132" s="15">
        <f t="shared" si="34"/>
        <v>1.1610817441055979E-3</v>
      </c>
      <c r="M132" s="15">
        <f t="shared" si="34"/>
        <v>-3.2024144721331995E-5</v>
      </c>
      <c r="N132" s="15">
        <f t="shared" si="34"/>
        <v>7.8426672445532487E-4</v>
      </c>
      <c r="O132" s="14">
        <f t="shared" si="34"/>
        <v>3.5568623439599434E-8</v>
      </c>
      <c r="P132" s="16">
        <f t="shared" si="34"/>
        <v>2.5267328126501468E-9</v>
      </c>
      <c r="Q132" s="15">
        <f t="shared" si="34"/>
        <v>0</v>
      </c>
      <c r="R132" s="15">
        <f t="shared" si="34"/>
        <v>-2.2425348788519817E-4</v>
      </c>
      <c r="S132" s="15">
        <f t="shared" si="34"/>
        <v>0</v>
      </c>
      <c r="T132" s="15">
        <f t="shared" si="34"/>
        <v>0</v>
      </c>
      <c r="U132" s="14">
        <f t="shared" si="34"/>
        <v>-1.9601305504435285E-5</v>
      </c>
      <c r="V132" s="16">
        <f t="shared" si="34"/>
        <v>-1.9863310994205907E-4</v>
      </c>
      <c r="W132" s="15">
        <f t="shared" si="34"/>
        <v>-5.4202819602003176E-7</v>
      </c>
      <c r="X132" s="15">
        <f t="shared" si="34"/>
        <v>1.4212207392090609E-7</v>
      </c>
      <c r="Y132" s="15">
        <f t="shared" si="34"/>
        <v>1.2348888727708E-3</v>
      </c>
      <c r="Z132" s="14">
        <f t="shared" si="34"/>
        <v>-3.5476274789020268E-3</v>
      </c>
      <c r="AA132" s="15">
        <f t="shared" si="34"/>
        <v>1.5174002360300934E-5</v>
      </c>
      <c r="AB132" s="16">
        <f t="shared" si="34"/>
        <v>0</v>
      </c>
      <c r="AC132" s="16">
        <f t="shared" si="34"/>
        <v>2.8329032662158526E-3</v>
      </c>
    </row>
    <row r="133" spans="1:29" x14ac:dyDescent="0.3">
      <c r="A133" s="17" t="s">
        <v>49</v>
      </c>
      <c r="B133" s="72">
        <v>2021</v>
      </c>
      <c r="C133" s="73">
        <f t="shared" ref="C133:AC133" si="35">C44-C86</f>
        <v>0.38499999999930878</v>
      </c>
      <c r="D133" s="14">
        <f t="shared" si="35"/>
        <v>-1.2199905136497935E-5</v>
      </c>
      <c r="E133" s="16">
        <f t="shared" si="35"/>
        <v>-1.2072864247199971E-5</v>
      </c>
      <c r="F133" s="15">
        <f t="shared" si="35"/>
        <v>-1.1441933420999403E-7</v>
      </c>
      <c r="G133" s="15">
        <f t="shared" si="35"/>
        <v>-5.9931728539780113E-4</v>
      </c>
      <c r="H133" s="14">
        <f t="shared" si="35"/>
        <v>-3.5843132711009529E-6</v>
      </c>
      <c r="I133" s="16">
        <f t="shared" si="35"/>
        <v>7.3085942484550116E-5</v>
      </c>
      <c r="J133" s="15">
        <f t="shared" si="35"/>
        <v>7.79575328417971E-4</v>
      </c>
      <c r="K133" s="15">
        <f t="shared" si="35"/>
        <v>2.6874417668819924E-4</v>
      </c>
      <c r="L133" s="15">
        <f t="shared" si="35"/>
        <v>9.7979836200800044E-4</v>
      </c>
      <c r="M133" s="15">
        <f t="shared" si="35"/>
        <v>-2.2102542811849694E-5</v>
      </c>
      <c r="N133" s="15">
        <f t="shared" si="35"/>
        <v>1.7527254274840101E-3</v>
      </c>
      <c r="O133" s="14">
        <f t="shared" si="35"/>
        <v>-1.9135628899000895E-7</v>
      </c>
      <c r="P133" s="16">
        <f t="shared" si="35"/>
        <v>0</v>
      </c>
      <c r="Q133" s="15">
        <f t="shared" si="35"/>
        <v>0</v>
      </c>
      <c r="R133" s="15">
        <f t="shared" si="35"/>
        <v>-7.3594393549702986E-5</v>
      </c>
      <c r="S133" s="15">
        <f t="shared" si="35"/>
        <v>0</v>
      </c>
      <c r="T133" s="15">
        <f t="shared" si="35"/>
        <v>0</v>
      </c>
      <c r="U133" s="14">
        <f t="shared" si="35"/>
        <v>-1.5314154690359259E-5</v>
      </c>
      <c r="V133" s="16">
        <f t="shared" si="35"/>
        <v>-1.2443945014177504E-4</v>
      </c>
      <c r="W133" s="15">
        <f t="shared" si="35"/>
        <v>-2.616367990998774E-8</v>
      </c>
      <c r="X133" s="15">
        <f t="shared" si="35"/>
        <v>-7.7238384680504771E-7</v>
      </c>
      <c r="Y133" s="15">
        <f t="shared" si="35"/>
        <v>5.1181606247505096E-4</v>
      </c>
      <c r="Z133" s="14">
        <f t="shared" si="35"/>
        <v>-3.4999188574139639E-3</v>
      </c>
      <c r="AA133" s="15">
        <f t="shared" si="35"/>
        <v>-2.0972097476007479E-6</v>
      </c>
      <c r="AB133" s="16">
        <f t="shared" si="35"/>
        <v>0</v>
      </c>
      <c r="AC133" s="16">
        <f t="shared" si="35"/>
        <v>3.2286193199787677E-3</v>
      </c>
    </row>
    <row r="134" spans="1:29" x14ac:dyDescent="0.3">
      <c r="A134" s="17" t="s">
        <v>49</v>
      </c>
      <c r="B134" s="72">
        <v>2022</v>
      </c>
      <c r="C134" s="73">
        <f t="shared" ref="C134:AC134" si="36">C45-C87</f>
        <v>-1.2249999999999091</v>
      </c>
      <c r="D134" s="14">
        <f t="shared" si="36"/>
        <v>-6.6619231027804926E-5</v>
      </c>
      <c r="E134" s="16">
        <f t="shared" si="36"/>
        <v>-2.0973030129000508E-5</v>
      </c>
      <c r="F134" s="15">
        <f t="shared" si="36"/>
        <v>-3.9482049291690493E-7</v>
      </c>
      <c r="G134" s="15">
        <f t="shared" si="36"/>
        <v>8.8087257419298265E-5</v>
      </c>
      <c r="H134" s="14">
        <f t="shared" si="36"/>
        <v>5.105905849300341E-8</v>
      </c>
      <c r="I134" s="16">
        <f t="shared" si="36"/>
        <v>1.3922724638476026E-4</v>
      </c>
      <c r="J134" s="15">
        <f t="shared" si="36"/>
        <v>3.3134837518472987E-3</v>
      </c>
      <c r="K134" s="15">
        <f t="shared" si="36"/>
        <v>6.8144390445669736E-5</v>
      </c>
      <c r="L134" s="15">
        <f t="shared" si="36"/>
        <v>8.1728908476771944E-4</v>
      </c>
      <c r="M134" s="15">
        <f t="shared" si="36"/>
        <v>8.1996885369469991E-5</v>
      </c>
      <c r="N134" s="15">
        <f t="shared" si="36"/>
        <v>5.902659548463994E-4</v>
      </c>
      <c r="O134" s="14">
        <f t="shared" si="36"/>
        <v>-2.5322601564469176E-6</v>
      </c>
      <c r="P134" s="16">
        <f t="shared" si="36"/>
        <v>0</v>
      </c>
      <c r="Q134" s="15">
        <f t="shared" si="36"/>
        <v>0</v>
      </c>
      <c r="R134" s="15">
        <f t="shared" si="36"/>
        <v>-1.9633819836649413E-4</v>
      </c>
      <c r="S134" s="15">
        <f t="shared" si="36"/>
        <v>0</v>
      </c>
      <c r="T134" s="15">
        <f t="shared" si="36"/>
        <v>0</v>
      </c>
      <c r="U134" s="14">
        <f t="shared" si="36"/>
        <v>-2.9481844219839473E-5</v>
      </c>
      <c r="V134" s="16">
        <f t="shared" si="36"/>
        <v>-2.5689287213918888E-4</v>
      </c>
      <c r="W134" s="15">
        <f t="shared" si="36"/>
        <v>-5.5487769664097977E-6</v>
      </c>
      <c r="X134" s="15">
        <f t="shared" si="36"/>
        <v>-8.5496828006984167E-7</v>
      </c>
      <c r="Y134" s="15">
        <f t="shared" si="36"/>
        <v>1.5438545173745389E-3</v>
      </c>
      <c r="Z134" s="14">
        <f t="shared" si="36"/>
        <v>-6.0652923356060429E-3</v>
      </c>
      <c r="AA134" s="15">
        <f t="shared" si="36"/>
        <v>2.5281898708593917E-6</v>
      </c>
      <c r="AB134" s="16">
        <f t="shared" si="36"/>
        <v>0</v>
      </c>
      <c r="AC134" s="16">
        <f t="shared" si="36"/>
        <v>5.0956185494897832E-3</v>
      </c>
    </row>
    <row r="135" spans="1:29" x14ac:dyDescent="0.3">
      <c r="A135" s="17" t="s">
        <v>49</v>
      </c>
      <c r="B135" s="72">
        <v>2023</v>
      </c>
      <c r="C135" s="73">
        <f t="shared" ref="C135:AC135" si="37">C46-C88</f>
        <v>0.74700000000007094</v>
      </c>
      <c r="D135" s="14">
        <f t="shared" si="37"/>
        <v>-7.5832628835701896E-5</v>
      </c>
      <c r="E135" s="16">
        <f t="shared" si="37"/>
        <v>-2.54388180737199E-5</v>
      </c>
      <c r="F135" s="15">
        <f t="shared" si="37"/>
        <v>-6.489151861720395E-6</v>
      </c>
      <c r="G135" s="15">
        <f t="shared" si="37"/>
        <v>6.4192770129829768E-4</v>
      </c>
      <c r="H135" s="14">
        <f t="shared" si="37"/>
        <v>-1.0116618150901515E-8</v>
      </c>
      <c r="I135" s="16">
        <f t="shared" si="37"/>
        <v>4.2055991104468071E-4</v>
      </c>
      <c r="J135" s="15">
        <f t="shared" si="37"/>
        <v>1.4344434392705996E-3</v>
      </c>
      <c r="K135" s="15">
        <f t="shared" si="37"/>
        <v>2.6652757242639699E-3</v>
      </c>
      <c r="L135" s="15">
        <f t="shared" si="37"/>
        <v>2.1738082648497005E-3</v>
      </c>
      <c r="M135" s="15">
        <f t="shared" si="37"/>
        <v>1.56873203311593E-6</v>
      </c>
      <c r="N135" s="15">
        <f t="shared" si="37"/>
        <v>-2.0166365788268966E-4</v>
      </c>
      <c r="O135" s="14">
        <f t="shared" si="37"/>
        <v>0</v>
      </c>
      <c r="P135" s="16">
        <f t="shared" si="37"/>
        <v>0</v>
      </c>
      <c r="Q135" s="15">
        <f t="shared" si="37"/>
        <v>0</v>
      </c>
      <c r="R135" s="15">
        <f t="shared" si="37"/>
        <v>-1.3592866668880182E-4</v>
      </c>
      <c r="S135" s="15">
        <f t="shared" si="37"/>
        <v>0</v>
      </c>
      <c r="T135" s="15">
        <f t="shared" si="37"/>
        <v>0</v>
      </c>
      <c r="U135" s="14">
        <f t="shared" si="37"/>
        <v>-6.2637202709004899E-5</v>
      </c>
      <c r="V135" s="16">
        <f t="shared" si="37"/>
        <v>-1.1134372884149396E-4</v>
      </c>
      <c r="W135" s="15">
        <f t="shared" si="37"/>
        <v>-7.6794328691015849E-8</v>
      </c>
      <c r="X135" s="15">
        <f t="shared" si="37"/>
        <v>0</v>
      </c>
      <c r="Y135" s="15">
        <f t="shared" si="37"/>
        <v>2.64428302813116E-3</v>
      </c>
      <c r="Z135" s="14">
        <f t="shared" si="37"/>
        <v>-9.356325481071015E-3</v>
      </c>
      <c r="AA135" s="15">
        <f t="shared" si="37"/>
        <v>-6.120553981300153E-6</v>
      </c>
      <c r="AB135" s="16">
        <f t="shared" si="37"/>
        <v>0</v>
      </c>
      <c r="AC135" s="16">
        <f t="shared" si="37"/>
        <v>7.1294208463978104E-3</v>
      </c>
    </row>
    <row r="136" spans="1:29" ht="15" thickBot="1" x14ac:dyDescent="0.35">
      <c r="A136" s="4" t="s">
        <v>49</v>
      </c>
      <c r="B136" s="5">
        <v>2024</v>
      </c>
      <c r="C136" s="74">
        <f t="shared" ref="C136:AC136" si="38">C47-C89</f>
        <v>-3.5890000000001692</v>
      </c>
      <c r="D136" s="20">
        <f t="shared" si="38"/>
        <v>-1.0595036673809871E-4</v>
      </c>
      <c r="E136" s="21">
        <f t="shared" si="38"/>
        <v>-8.6294376441600762E-5</v>
      </c>
      <c r="F136" s="22">
        <f t="shared" si="38"/>
        <v>-9.2925580408602035E-6</v>
      </c>
      <c r="G136" s="22">
        <f t="shared" si="38"/>
        <v>3.8922980286393988E-4</v>
      </c>
      <c r="H136" s="20">
        <f t="shared" si="38"/>
        <v>-1.4071052821390106E-5</v>
      </c>
      <c r="I136" s="21">
        <f t="shared" si="38"/>
        <v>1.8375497139530052E-4</v>
      </c>
      <c r="J136" s="22">
        <f t="shared" si="38"/>
        <v>4.1752018984557021E-3</v>
      </c>
      <c r="K136" s="22">
        <f t="shared" si="38"/>
        <v>2.4661320871781009E-3</v>
      </c>
      <c r="L136" s="22">
        <f t="shared" si="38"/>
        <v>6.7852670149807018E-3</v>
      </c>
      <c r="M136" s="22">
        <f t="shared" si="38"/>
        <v>7.1261709229190114E-5</v>
      </c>
      <c r="N136" s="22">
        <f t="shared" si="38"/>
        <v>1.1611444972500036E-4</v>
      </c>
      <c r="O136" s="20">
        <f t="shared" si="38"/>
        <v>0</v>
      </c>
      <c r="P136" s="21">
        <f t="shared" si="38"/>
        <v>0</v>
      </c>
      <c r="Q136" s="22">
        <f t="shared" si="38"/>
        <v>0</v>
      </c>
      <c r="R136" s="22">
        <f t="shared" si="38"/>
        <v>-1.5732946886540256E-4</v>
      </c>
      <c r="S136" s="22">
        <f t="shared" si="38"/>
        <v>0</v>
      </c>
      <c r="T136" s="22">
        <f t="shared" si="38"/>
        <v>0</v>
      </c>
      <c r="U136" s="20">
        <f t="shared" si="38"/>
        <v>-2.2065530454508375E-6</v>
      </c>
      <c r="V136" s="21">
        <f t="shared" si="38"/>
        <v>-7.4234248549132076E-5</v>
      </c>
      <c r="W136" s="22">
        <f t="shared" si="38"/>
        <v>-6.5831474850900056E-6</v>
      </c>
      <c r="X136" s="22">
        <f t="shared" si="38"/>
        <v>-1.2035109298619718E-6</v>
      </c>
      <c r="Y136" s="22">
        <f t="shared" si="38"/>
        <v>1.5525266596266199E-3</v>
      </c>
      <c r="Z136" s="20">
        <f t="shared" si="38"/>
        <v>-1.5283870456956006E-2</v>
      </c>
      <c r="AA136" s="22">
        <f t="shared" si="38"/>
        <v>1.5471464181295372E-6</v>
      </c>
      <c r="AB136" s="21">
        <f t="shared" si="38"/>
        <v>0</v>
      </c>
      <c r="AC136" s="21">
        <f t="shared" si="38"/>
        <v>1.4163598322965681E-2</v>
      </c>
    </row>
  </sheetData>
  <mergeCells count="33">
    <mergeCell ref="J9:N9"/>
    <mergeCell ref="O9:P9"/>
    <mergeCell ref="Q9:V9"/>
    <mergeCell ref="W9:Y9"/>
    <mergeCell ref="AC8:AC9"/>
    <mergeCell ref="D50:I50"/>
    <mergeCell ref="J50:Y50"/>
    <mergeCell ref="Z50:AB51"/>
    <mergeCell ref="AC50:AC51"/>
    <mergeCell ref="D51:E51"/>
    <mergeCell ref="F51:G51"/>
    <mergeCell ref="H51:I51"/>
    <mergeCell ref="J51:N51"/>
    <mergeCell ref="O51:P51"/>
    <mergeCell ref="D8:I8"/>
    <mergeCell ref="J8:Y8"/>
    <mergeCell ref="Z8:AB9"/>
    <mergeCell ref="D9:E9"/>
    <mergeCell ref="F9:G9"/>
    <mergeCell ref="H9:I9"/>
    <mergeCell ref="D97:I97"/>
    <mergeCell ref="J97:Y97"/>
    <mergeCell ref="Z97:AB98"/>
    <mergeCell ref="AC97:AC98"/>
    <mergeCell ref="D98:E98"/>
    <mergeCell ref="F98:G98"/>
    <mergeCell ref="H98:I98"/>
    <mergeCell ref="J98:N98"/>
    <mergeCell ref="O98:P98"/>
    <mergeCell ref="Q98:V98"/>
    <mergeCell ref="W98:Y98"/>
    <mergeCell ref="Q51:V51"/>
    <mergeCell ref="W51:Y51"/>
  </mergeCells>
  <conditionalFormatting sqref="D100:AC136">
    <cfRule type="colorScale" priority="2">
      <colorScale>
        <cfvo type="min"/>
        <cfvo type="percentile" val="50"/>
        <cfvo type="max"/>
        <color rgb="FFF8696B"/>
        <color rgb="FFFCFCFF"/>
        <color rgb="FF63BE7B"/>
      </colorScale>
    </cfRule>
  </conditionalFormatting>
  <conditionalFormatting sqref="C100:C136">
    <cfRule type="colorScale" priority="1">
      <colorScale>
        <cfvo type="min"/>
        <cfvo type="percentile" val="50"/>
        <cfvo type="max"/>
        <color rgb="FFF8696B"/>
        <color rgb="FFFCFCFF"/>
        <color rgb="FF63BE7B"/>
      </colorScale>
    </cfRule>
  </conditionalFormatting>
  <pageMargins left="0.7" right="0.7" top="0.75" bottom="0.75" header="0.3" footer="0.3"/>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DEC7-9EF9-4505-B61C-C4F51BB81863}">
  <dimension ref="A1:AC133"/>
  <sheetViews>
    <sheetView zoomScale="70" zoomScaleNormal="70" workbookViewId="0"/>
  </sheetViews>
  <sheetFormatPr defaultRowHeight="14.4" x14ac:dyDescent="0.3"/>
  <cols>
    <col min="11" max="11" width="11.44140625" customWidth="1"/>
    <col min="17" max="17" width="10.5546875" customWidth="1"/>
    <col min="18" max="18" width="11.88671875" customWidth="1"/>
    <col min="19" max="19" width="11.109375" customWidth="1"/>
    <col min="20" max="20" width="11.33203125" customWidth="1"/>
    <col min="21" max="21" width="11.6640625" customWidth="1"/>
    <col min="26" max="26" width="12.77734375" customWidth="1"/>
    <col min="27" max="27" width="11.33203125" customWidth="1"/>
    <col min="29" max="29" width="11.6640625" customWidth="1"/>
  </cols>
  <sheetData>
    <row r="1" spans="1:29" x14ac:dyDescent="0.3">
      <c r="A1" t="s">
        <v>86</v>
      </c>
    </row>
    <row r="2" spans="1:29" x14ac:dyDescent="0.3">
      <c r="A2" t="s">
        <v>30</v>
      </c>
    </row>
    <row r="3" spans="1:29" x14ac:dyDescent="0.3">
      <c r="A3" t="s">
        <v>0</v>
      </c>
    </row>
    <row r="4" spans="1:29" x14ac:dyDescent="0.3">
      <c r="A4" t="s">
        <v>83</v>
      </c>
    </row>
    <row r="5" spans="1:29" x14ac:dyDescent="0.3">
      <c r="A5" t="s">
        <v>1</v>
      </c>
    </row>
    <row r="7" spans="1:29" ht="15" thickBot="1" x14ac:dyDescent="0.35">
      <c r="A7" t="s">
        <v>76</v>
      </c>
    </row>
    <row r="8" spans="1:29" ht="15" thickBot="1" x14ac:dyDescent="0.35">
      <c r="A8" s="1"/>
      <c r="B8" s="2"/>
      <c r="C8" s="3"/>
      <c r="D8" s="88" t="s">
        <v>2</v>
      </c>
      <c r="E8" s="89"/>
      <c r="F8" s="89"/>
      <c r="G8" s="89"/>
      <c r="H8" s="89"/>
      <c r="I8" s="90"/>
      <c r="J8" s="88" t="s">
        <v>3</v>
      </c>
      <c r="K8" s="89"/>
      <c r="L8" s="89"/>
      <c r="M8" s="89"/>
      <c r="N8" s="89"/>
      <c r="O8" s="89"/>
      <c r="P8" s="89"/>
      <c r="Q8" s="89"/>
      <c r="R8" s="89"/>
      <c r="S8" s="89"/>
      <c r="T8" s="89"/>
      <c r="U8" s="89"/>
      <c r="V8" s="89"/>
      <c r="W8" s="89"/>
      <c r="X8" s="89"/>
      <c r="Y8" s="90"/>
      <c r="Z8" s="91" t="s">
        <v>4</v>
      </c>
      <c r="AA8" s="92"/>
      <c r="AB8" s="93"/>
      <c r="AC8" s="97" t="s">
        <v>38</v>
      </c>
    </row>
    <row r="9" spans="1:29" ht="15" customHeight="1" thickBot="1" x14ac:dyDescent="0.35">
      <c r="A9" s="4"/>
      <c r="B9" s="5"/>
      <c r="C9" s="6"/>
      <c r="D9" s="85" t="s">
        <v>5</v>
      </c>
      <c r="E9" s="86"/>
      <c r="F9" s="85" t="s">
        <v>6</v>
      </c>
      <c r="G9" s="86"/>
      <c r="H9" s="85" t="s">
        <v>7</v>
      </c>
      <c r="I9" s="86"/>
      <c r="J9" s="85" t="s">
        <v>8</v>
      </c>
      <c r="K9" s="87"/>
      <c r="L9" s="87"/>
      <c r="M9" s="87"/>
      <c r="N9" s="86"/>
      <c r="O9" s="85" t="s">
        <v>9</v>
      </c>
      <c r="P9" s="86"/>
      <c r="Q9" s="85" t="s">
        <v>10</v>
      </c>
      <c r="R9" s="87"/>
      <c r="S9" s="87"/>
      <c r="T9" s="87"/>
      <c r="U9" s="87"/>
      <c r="V9" s="86"/>
      <c r="W9" s="85" t="s">
        <v>11</v>
      </c>
      <c r="X9" s="87"/>
      <c r="Y9" s="86"/>
      <c r="Z9" s="94"/>
      <c r="AA9" s="95"/>
      <c r="AB9" s="96"/>
      <c r="AC9" s="98"/>
    </row>
    <row r="10" spans="1:29" ht="43.8" thickBot="1" x14ac:dyDescent="0.35">
      <c r="A10" s="7" t="s">
        <v>12</v>
      </c>
      <c r="B10" s="8" t="s">
        <v>27</v>
      </c>
      <c r="C10" s="9" t="s">
        <v>13</v>
      </c>
      <c r="D10" s="7" t="s">
        <v>14</v>
      </c>
      <c r="E10" s="9" t="s">
        <v>15</v>
      </c>
      <c r="F10" s="7" t="s">
        <v>16</v>
      </c>
      <c r="G10" s="9" t="s">
        <v>17</v>
      </c>
      <c r="H10" s="7" t="s">
        <v>18</v>
      </c>
      <c r="I10" s="9" t="s">
        <v>19</v>
      </c>
      <c r="J10" s="7" t="s">
        <v>20</v>
      </c>
      <c r="K10" s="8" t="s">
        <v>21</v>
      </c>
      <c r="L10" s="8" t="s">
        <v>22</v>
      </c>
      <c r="M10" s="8" t="s">
        <v>7</v>
      </c>
      <c r="N10" s="9" t="s">
        <v>6</v>
      </c>
      <c r="O10" s="31" t="s">
        <v>40</v>
      </c>
      <c r="P10" s="31" t="s">
        <v>42</v>
      </c>
      <c r="Q10" s="7" t="s">
        <v>23</v>
      </c>
      <c r="R10" s="8" t="s">
        <v>60</v>
      </c>
      <c r="S10" s="8" t="s">
        <v>24</v>
      </c>
      <c r="T10" s="8" t="s">
        <v>25</v>
      </c>
      <c r="U10" s="7" t="s">
        <v>44</v>
      </c>
      <c r="V10" s="31" t="s">
        <v>62</v>
      </c>
      <c r="W10" s="7" t="s">
        <v>36</v>
      </c>
      <c r="X10" s="8" t="s">
        <v>35</v>
      </c>
      <c r="Y10" s="9" t="s">
        <v>43</v>
      </c>
      <c r="Z10" s="7" t="s">
        <v>4</v>
      </c>
      <c r="AA10" s="8" t="s">
        <v>28</v>
      </c>
      <c r="AB10" s="9" t="s">
        <v>29</v>
      </c>
      <c r="AC10" s="30" t="s">
        <v>37</v>
      </c>
    </row>
    <row r="11" spans="1:29" x14ac:dyDescent="0.3">
      <c r="A11" s="17" t="s">
        <v>51</v>
      </c>
      <c r="B11">
        <v>1989</v>
      </c>
      <c r="C11" s="18">
        <v>856.53300000000002</v>
      </c>
      <c r="D11" s="14">
        <v>4.4617078384603999E-2</v>
      </c>
      <c r="E11" s="16">
        <v>1.75684999877413E-2</v>
      </c>
      <c r="F11" s="14">
        <v>5.7314779465589799E-2</v>
      </c>
      <c r="G11" s="16">
        <v>1.8946146850150499E-2</v>
      </c>
      <c r="H11" s="14">
        <v>1.05985408618232E-2</v>
      </c>
      <c r="I11" s="16">
        <v>0</v>
      </c>
      <c r="J11" s="14">
        <v>1.1546548702735301E-2</v>
      </c>
      <c r="K11" s="15">
        <v>1.8261993408310001E-2</v>
      </c>
      <c r="L11" s="15">
        <v>8.4246608128349994E-3</v>
      </c>
      <c r="M11" s="15">
        <v>0</v>
      </c>
      <c r="N11" s="16">
        <v>3.5141669964846699E-4</v>
      </c>
      <c r="O11" s="14">
        <v>7.4603080091485098E-3</v>
      </c>
      <c r="P11" s="16">
        <v>1.7178555875839E-2</v>
      </c>
      <c r="Q11" s="14">
        <v>1.1233659415340699E-2</v>
      </c>
      <c r="R11" s="15">
        <v>0</v>
      </c>
      <c r="S11" s="15">
        <v>0</v>
      </c>
      <c r="T11" s="16">
        <v>0</v>
      </c>
      <c r="U11" s="15">
        <v>1.6671572738457697E-2</v>
      </c>
      <c r="V11" s="16">
        <v>2.0270646753956013E-3</v>
      </c>
      <c r="W11" s="14">
        <v>0</v>
      </c>
      <c r="X11" s="15">
        <v>3.0101583943642599E-2</v>
      </c>
      <c r="Y11" s="16">
        <v>5.4043451916038297E-3</v>
      </c>
      <c r="Z11" s="14">
        <v>0.72229324497713498</v>
      </c>
      <c r="AA11" s="15">
        <v>0</v>
      </c>
      <c r="AB11" s="16">
        <v>0</v>
      </c>
      <c r="AC11" s="26">
        <f t="shared" ref="AC11:AC46" si="0">SUM(F11:P11)</f>
        <v>0.1500829506860798</v>
      </c>
    </row>
    <row r="12" spans="1:29" x14ac:dyDescent="0.3">
      <c r="A12" s="17" t="s">
        <v>51</v>
      </c>
      <c r="B12">
        <v>1990</v>
      </c>
      <c r="C12" s="18">
        <v>416.73</v>
      </c>
      <c r="D12" s="14">
        <v>3.83413721114391E-2</v>
      </c>
      <c r="E12" s="16">
        <v>2.0792839488397798E-2</v>
      </c>
      <c r="F12" s="14">
        <v>0.10516881434022</v>
      </c>
      <c r="G12" s="16">
        <v>1.7531735176253199E-2</v>
      </c>
      <c r="H12" s="14">
        <v>8.2979387133155794E-2</v>
      </c>
      <c r="I12" s="16">
        <v>0</v>
      </c>
      <c r="J12" s="14">
        <v>1.5808797062846401E-2</v>
      </c>
      <c r="K12" s="15">
        <v>8.8786504451323405E-5</v>
      </c>
      <c r="L12" s="15">
        <v>2.5412137355121999E-2</v>
      </c>
      <c r="M12" s="15">
        <v>0</v>
      </c>
      <c r="N12" s="16">
        <v>7.0309312984426404E-4</v>
      </c>
      <c r="O12" s="14">
        <v>8.8810500803877795E-3</v>
      </c>
      <c r="P12" s="16">
        <v>2.00537518297219E-2</v>
      </c>
      <c r="Q12" s="14">
        <v>0</v>
      </c>
      <c r="R12" s="15">
        <v>1.42634319583423E-2</v>
      </c>
      <c r="S12" s="15">
        <v>0</v>
      </c>
      <c r="T12" s="16">
        <v>0</v>
      </c>
      <c r="U12" s="15">
        <v>1.2327732138203366E-2</v>
      </c>
      <c r="V12" s="16">
        <v>1.9760190497556E-2</v>
      </c>
      <c r="W12" s="14">
        <v>0</v>
      </c>
      <c r="X12" s="15">
        <v>0</v>
      </c>
      <c r="Y12" s="16">
        <v>9.0082307489261597E-3</v>
      </c>
      <c r="Z12" s="14">
        <v>0.60887865044513201</v>
      </c>
      <c r="AA12" s="15">
        <v>0</v>
      </c>
      <c r="AB12" s="16">
        <v>0</v>
      </c>
      <c r="AC12" s="26">
        <f t="shared" si="0"/>
        <v>0.27662755261200267</v>
      </c>
    </row>
    <row r="13" spans="1:29" x14ac:dyDescent="0.3">
      <c r="A13" s="17" t="s">
        <v>51</v>
      </c>
      <c r="B13">
        <v>1991</v>
      </c>
      <c r="C13" s="18">
        <v>869.48099999999999</v>
      </c>
      <c r="D13" s="14">
        <v>5.9878249208435798E-2</v>
      </c>
      <c r="E13" s="16">
        <v>5.1755012472957998E-5</v>
      </c>
      <c r="F13" s="14">
        <v>4.2036571241924801E-2</v>
      </c>
      <c r="G13" s="16">
        <v>4.33361971106902E-3</v>
      </c>
      <c r="H13" s="14">
        <v>3.0936846233557701E-2</v>
      </c>
      <c r="I13" s="16">
        <v>4.0943965423051199E-4</v>
      </c>
      <c r="J13" s="14">
        <v>3.5549943011980701E-3</v>
      </c>
      <c r="K13" s="15">
        <v>5.5170843296173198E-3</v>
      </c>
      <c r="L13" s="15">
        <v>3.0972499686594601E-2</v>
      </c>
      <c r="M13" s="15">
        <v>0</v>
      </c>
      <c r="N13" s="16">
        <v>5.4250754185542899E-3</v>
      </c>
      <c r="O13" s="14">
        <v>4.2094076811339197E-4</v>
      </c>
      <c r="P13" s="16">
        <v>3.5219861043542099E-2</v>
      </c>
      <c r="Q13" s="14">
        <v>6.3195720037765692E-3</v>
      </c>
      <c r="R13" s="15">
        <v>0.1079286178465992</v>
      </c>
      <c r="S13" s="15">
        <v>0</v>
      </c>
      <c r="T13" s="16">
        <v>1.4139120241912558E-3</v>
      </c>
      <c r="U13" s="15">
        <v>6.7156881121428563E-2</v>
      </c>
      <c r="V13" s="16">
        <v>5.5125261904123445E-2</v>
      </c>
      <c r="W13" s="14">
        <v>2.39223168763895E-4</v>
      </c>
      <c r="X13" s="15">
        <v>0</v>
      </c>
      <c r="Y13" s="16">
        <v>1.24798586743126E-2</v>
      </c>
      <c r="Z13" s="14">
        <v>0.53057973664749403</v>
      </c>
      <c r="AA13" s="15">
        <v>0</v>
      </c>
      <c r="AB13" s="16">
        <v>0</v>
      </c>
      <c r="AC13" s="26">
        <f t="shared" si="0"/>
        <v>0.15882693238840181</v>
      </c>
    </row>
    <row r="14" spans="1:29" x14ac:dyDescent="0.3">
      <c r="A14" s="17" t="s">
        <v>51</v>
      </c>
      <c r="B14">
        <v>1992</v>
      </c>
      <c r="C14" s="18">
        <v>745.04600000000005</v>
      </c>
      <c r="D14" s="14">
        <v>9.1248057166939997E-2</v>
      </c>
      <c r="E14" s="16">
        <v>2.5018589456221501E-3</v>
      </c>
      <c r="F14" s="14">
        <v>8.9766269465241105E-2</v>
      </c>
      <c r="G14" s="16">
        <v>2.24080123911812E-2</v>
      </c>
      <c r="H14" s="14">
        <v>4.1515557428668803E-2</v>
      </c>
      <c r="I14" s="16">
        <v>2.6843980103241899E-6</v>
      </c>
      <c r="J14" s="14">
        <v>8.7242935335536293E-5</v>
      </c>
      <c r="K14" s="15">
        <v>6.0506331152707302E-3</v>
      </c>
      <c r="L14" s="15">
        <v>2.5931284779731702E-2</v>
      </c>
      <c r="M14" s="15">
        <v>0</v>
      </c>
      <c r="N14" s="16">
        <v>5.9432571948577701E-3</v>
      </c>
      <c r="O14" s="14">
        <v>1.4079667564150401E-2</v>
      </c>
      <c r="P14" s="16">
        <v>7.0775495741202593E-2</v>
      </c>
      <c r="Q14" s="14">
        <v>1.0833209732631974E-2</v>
      </c>
      <c r="R14" s="15">
        <v>8.2540890658484828E-2</v>
      </c>
      <c r="S14" s="15">
        <v>0</v>
      </c>
      <c r="T14" s="16">
        <v>0</v>
      </c>
      <c r="U14" s="15">
        <v>1.0251604151511008E-2</v>
      </c>
      <c r="V14" s="16">
        <v>1.6491711026343794E-2</v>
      </c>
      <c r="W14" s="14">
        <v>3.9594870652281901E-4</v>
      </c>
      <c r="X14" s="15">
        <v>0</v>
      </c>
      <c r="Y14" s="16">
        <v>1.8353229196586499E-2</v>
      </c>
      <c r="Z14" s="14">
        <v>0.490823385401707</v>
      </c>
      <c r="AA14" s="15">
        <v>0</v>
      </c>
      <c r="AB14" s="16">
        <v>0</v>
      </c>
      <c r="AC14" s="26">
        <f t="shared" si="0"/>
        <v>0.27656010501365019</v>
      </c>
    </row>
    <row r="15" spans="1:29" x14ac:dyDescent="0.3">
      <c r="A15" s="17" t="s">
        <v>51</v>
      </c>
      <c r="B15">
        <v>1993</v>
      </c>
      <c r="C15" s="18">
        <v>496.57100000000003</v>
      </c>
      <c r="D15" s="14">
        <v>6.8697124882443797E-2</v>
      </c>
      <c r="E15" s="16">
        <v>2.3219237530987501E-3</v>
      </c>
      <c r="F15" s="14">
        <v>0.209826993521571</v>
      </c>
      <c r="G15" s="16">
        <v>4.3599001955410199E-3</v>
      </c>
      <c r="H15" s="14">
        <v>0.102466716743426</v>
      </c>
      <c r="I15" s="16">
        <v>1.9332582853207301E-2</v>
      </c>
      <c r="J15" s="14">
        <v>3.2492835868385403E-2</v>
      </c>
      <c r="K15" s="15">
        <v>4.7864253047399101E-2</v>
      </c>
      <c r="L15" s="15">
        <v>3.4637544278663099E-2</v>
      </c>
      <c r="M15" s="15">
        <v>0</v>
      </c>
      <c r="N15" s="16">
        <v>0</v>
      </c>
      <c r="O15" s="14">
        <v>2.00776928173413E-2</v>
      </c>
      <c r="P15" s="16">
        <v>5.2318802346492201E-2</v>
      </c>
      <c r="Q15" s="14">
        <v>0</v>
      </c>
      <c r="R15" s="15">
        <v>7.6357660838027197E-2</v>
      </c>
      <c r="S15" s="15">
        <v>0</v>
      </c>
      <c r="T15" s="16">
        <v>0</v>
      </c>
      <c r="U15" s="15">
        <v>5.389336598509939E-2</v>
      </c>
      <c r="V15" s="16">
        <v>1.6529594679135912E-2</v>
      </c>
      <c r="W15" s="14">
        <v>9.5414351623433497E-3</v>
      </c>
      <c r="X15" s="15">
        <v>0</v>
      </c>
      <c r="Y15" s="16">
        <v>3.6784266499654598E-2</v>
      </c>
      <c r="Z15" s="14">
        <v>0.21249730652817</v>
      </c>
      <c r="AA15" s="15">
        <v>0</v>
      </c>
      <c r="AB15" s="16">
        <v>0</v>
      </c>
      <c r="AC15" s="26">
        <f t="shared" si="0"/>
        <v>0.52337732167202644</v>
      </c>
    </row>
    <row r="16" spans="1:29" x14ac:dyDescent="0.3">
      <c r="A16" s="17" t="s">
        <v>51</v>
      </c>
      <c r="B16">
        <v>1994</v>
      </c>
      <c r="C16" s="18">
        <v>772.82899999999995</v>
      </c>
      <c r="D16" s="14">
        <v>4.7503393376801303E-2</v>
      </c>
      <c r="E16" s="16">
        <v>1.8751884310759599E-2</v>
      </c>
      <c r="F16" s="14">
        <v>5.3804916740960801E-2</v>
      </c>
      <c r="G16" s="16">
        <v>2.27385359503849E-2</v>
      </c>
      <c r="H16" s="14">
        <v>4.5967477928493899E-2</v>
      </c>
      <c r="I16" s="16">
        <v>0</v>
      </c>
      <c r="J16" s="14">
        <v>2.2443515965368799E-2</v>
      </c>
      <c r="K16" s="15">
        <v>2.1757723894936701E-2</v>
      </c>
      <c r="L16" s="15">
        <v>1.96692929483754E-2</v>
      </c>
      <c r="M16" s="15">
        <v>0</v>
      </c>
      <c r="N16" s="16">
        <v>1.8891630619451399E-4</v>
      </c>
      <c r="O16" s="14">
        <v>2.6008340784313203E-4</v>
      </c>
      <c r="P16" s="16">
        <v>5.0452299279659503E-2</v>
      </c>
      <c r="Q16" s="14">
        <v>7.7323664820199414E-3</v>
      </c>
      <c r="R16" s="15">
        <v>4.6182734188816722E-2</v>
      </c>
      <c r="S16" s="15">
        <v>0</v>
      </c>
      <c r="T16" s="16">
        <v>1.4800773051451409E-3</v>
      </c>
      <c r="U16" s="15">
        <v>1.5433718196392731E-2</v>
      </c>
      <c r="V16" s="16">
        <v>2.8143839064010273E-2</v>
      </c>
      <c r="W16" s="14">
        <v>3.8818419081064498E-6</v>
      </c>
      <c r="X16" s="15">
        <v>0</v>
      </c>
      <c r="Y16" s="16">
        <v>2.5878946054042999E-6</v>
      </c>
      <c r="Z16" s="14">
        <v>0.59748275491732294</v>
      </c>
      <c r="AA16" s="15">
        <v>0</v>
      </c>
      <c r="AB16" s="16">
        <v>0</v>
      </c>
      <c r="AC16" s="26">
        <f t="shared" si="0"/>
        <v>0.23728276242221766</v>
      </c>
    </row>
    <row r="17" spans="1:29" x14ac:dyDescent="0.3">
      <c r="A17" s="17" t="s">
        <v>51</v>
      </c>
      <c r="B17">
        <v>1995</v>
      </c>
      <c r="C17" s="18">
        <v>754.77599999999995</v>
      </c>
      <c r="D17" s="14">
        <v>5.0138054204161203E-2</v>
      </c>
      <c r="E17" s="16">
        <v>6.01502962468335E-3</v>
      </c>
      <c r="F17" s="14">
        <v>5.6726763967057801E-2</v>
      </c>
      <c r="G17" s="16">
        <v>4.9417310566313703E-2</v>
      </c>
      <c r="H17" s="14">
        <v>7.1214506025628801E-2</v>
      </c>
      <c r="I17" s="16">
        <v>3.0472617041347398E-4</v>
      </c>
      <c r="J17" s="14">
        <v>1.83882370398635E-2</v>
      </c>
      <c r="K17" s="15">
        <v>1.2034033938545999E-2</v>
      </c>
      <c r="L17" s="15">
        <v>2.6785430379344301E-2</v>
      </c>
      <c r="M17" s="15">
        <v>0</v>
      </c>
      <c r="N17" s="16">
        <v>4.4781498086849601E-4</v>
      </c>
      <c r="O17" s="14">
        <v>4.0014520864468398E-2</v>
      </c>
      <c r="P17" s="16">
        <v>4.36950830445059E-3</v>
      </c>
      <c r="Q17" s="14">
        <v>6.1326343035814903E-3</v>
      </c>
      <c r="R17" s="15">
        <v>9.6190439032083491E-2</v>
      </c>
      <c r="S17" s="15">
        <v>0</v>
      </c>
      <c r="T17" s="16">
        <v>0</v>
      </c>
      <c r="U17" s="15">
        <v>4.0655955884972526E-2</v>
      </c>
      <c r="V17" s="16">
        <v>6.749931137312748E-2</v>
      </c>
      <c r="W17" s="14">
        <v>7.4194198013715303E-5</v>
      </c>
      <c r="X17" s="15">
        <v>0</v>
      </c>
      <c r="Y17" s="16">
        <v>1.2798499157365901E-3</v>
      </c>
      <c r="Z17" s="14">
        <v>0.45231167922668403</v>
      </c>
      <c r="AA17" s="15">
        <v>0</v>
      </c>
      <c r="AB17" s="16">
        <v>0</v>
      </c>
      <c r="AC17" s="26">
        <f t="shared" si="0"/>
        <v>0.27970285223695507</v>
      </c>
    </row>
    <row r="18" spans="1:29" x14ac:dyDescent="0.3">
      <c r="A18" s="17" t="s">
        <v>51</v>
      </c>
      <c r="B18">
        <v>1996</v>
      </c>
      <c r="C18" s="18">
        <v>736.44899999999996</v>
      </c>
      <c r="D18" s="14">
        <v>5.0091723934719203E-2</v>
      </c>
      <c r="E18" s="16">
        <v>1.31848912823563E-3</v>
      </c>
      <c r="F18" s="14">
        <v>8.1485615432976399E-3</v>
      </c>
      <c r="G18" s="16">
        <v>3.3946681983409602E-5</v>
      </c>
      <c r="H18" s="14">
        <v>3.66216805237023E-3</v>
      </c>
      <c r="I18" s="16">
        <v>4.9059744802423498E-3</v>
      </c>
      <c r="J18" s="14">
        <v>2.52033745717626E-2</v>
      </c>
      <c r="K18" s="15">
        <v>7.9774702661012508E-3</v>
      </c>
      <c r="L18" s="15">
        <v>1.5673862005379902E-2</v>
      </c>
      <c r="M18" s="15">
        <v>1.0604943451617201E-3</v>
      </c>
      <c r="N18" s="16">
        <v>8.6740561804008205E-3</v>
      </c>
      <c r="O18" s="14">
        <v>9.5879008593941998E-3</v>
      </c>
      <c r="P18" s="16">
        <v>5.2413676982384402E-4</v>
      </c>
      <c r="Q18" s="14">
        <v>2.2325094975061757E-2</v>
      </c>
      <c r="R18" s="15">
        <v>8.3058984574235231E-2</v>
      </c>
      <c r="S18" s="15">
        <v>0</v>
      </c>
      <c r="T18" s="16">
        <v>0</v>
      </c>
      <c r="U18" s="15">
        <v>2.7320247226895567E-2</v>
      </c>
      <c r="V18" s="16">
        <v>2.1550754023700231E-2</v>
      </c>
      <c r="W18" s="14">
        <v>1.90101419107094E-5</v>
      </c>
      <c r="X18" s="15">
        <v>0</v>
      </c>
      <c r="Y18" s="16">
        <v>4.9847307824438603E-3</v>
      </c>
      <c r="Z18" s="14">
        <v>0.70387901945688003</v>
      </c>
      <c r="AA18" s="15">
        <v>0</v>
      </c>
      <c r="AB18" s="16">
        <v>0</v>
      </c>
      <c r="AC18" s="26">
        <f t="shared" si="0"/>
        <v>8.5451945755917955E-2</v>
      </c>
    </row>
    <row r="19" spans="1:29" x14ac:dyDescent="0.3">
      <c r="A19" s="17" t="s">
        <v>51</v>
      </c>
      <c r="B19">
        <v>1997</v>
      </c>
      <c r="C19" s="18">
        <v>895.37800000000004</v>
      </c>
      <c r="D19" s="14">
        <v>1.7047548633091301E-2</v>
      </c>
      <c r="E19" s="16">
        <v>5.4423941620187202E-3</v>
      </c>
      <c r="F19" s="14">
        <v>1.7344629865822001E-2</v>
      </c>
      <c r="G19" s="16">
        <v>3.1139920793229199E-2</v>
      </c>
      <c r="H19" s="14">
        <v>0</v>
      </c>
      <c r="I19" s="16">
        <v>1.50774309844557E-4</v>
      </c>
      <c r="J19" s="14">
        <v>1.1168467395893099E-6</v>
      </c>
      <c r="K19" s="15">
        <v>9.6216346615619307E-3</v>
      </c>
      <c r="L19" s="15">
        <v>1.46094722005678E-2</v>
      </c>
      <c r="M19" s="15">
        <v>0</v>
      </c>
      <c r="N19" s="16">
        <v>4.5343977627326098E-4</v>
      </c>
      <c r="O19" s="14">
        <v>3.00331256742962E-2</v>
      </c>
      <c r="P19" s="16">
        <v>4.5913569464516701E-3</v>
      </c>
      <c r="Q19" s="14">
        <v>0</v>
      </c>
      <c r="R19" s="15">
        <v>4.01874962306423E-2</v>
      </c>
      <c r="S19" s="15">
        <v>0</v>
      </c>
      <c r="T19" s="16">
        <v>0</v>
      </c>
      <c r="U19" s="15">
        <v>2.7141454435782125E-2</v>
      </c>
      <c r="V19" s="16">
        <v>2.5208781209704757E-3</v>
      </c>
      <c r="W19" s="14">
        <v>2.5676306543158298E-3</v>
      </c>
      <c r="X19" s="15">
        <v>0</v>
      </c>
      <c r="Y19" s="16">
        <v>6.9021128506619605E-4</v>
      </c>
      <c r="Z19" s="14">
        <v>0.79645691540332697</v>
      </c>
      <c r="AA19" s="15">
        <v>0</v>
      </c>
      <c r="AB19" s="16">
        <v>0</v>
      </c>
      <c r="AC19" s="26">
        <f t="shared" si="0"/>
        <v>0.10794547107478622</v>
      </c>
    </row>
    <row r="20" spans="1:29" x14ac:dyDescent="0.3">
      <c r="A20" s="17" t="s">
        <v>51</v>
      </c>
      <c r="B20">
        <v>1998</v>
      </c>
      <c r="C20" s="18">
        <v>724.81200000000001</v>
      </c>
      <c r="D20" s="14">
        <v>2.5002345435781999E-2</v>
      </c>
      <c r="E20" s="16">
        <v>1.8535841018084701E-2</v>
      </c>
      <c r="F20" s="14">
        <v>1.5907573274173199E-2</v>
      </c>
      <c r="G20" s="16">
        <v>4.9654255172375704E-3</v>
      </c>
      <c r="H20" s="14">
        <v>0</v>
      </c>
      <c r="I20" s="16">
        <v>1.37966810704017E-6</v>
      </c>
      <c r="J20" s="14">
        <v>2.9524897490659598E-3</v>
      </c>
      <c r="K20" s="15">
        <v>1.5430208109137301E-2</v>
      </c>
      <c r="L20" s="15">
        <v>2.3466774832646298E-2</v>
      </c>
      <c r="M20" s="15">
        <v>0</v>
      </c>
      <c r="N20" s="16">
        <v>5.9781019078050598E-3</v>
      </c>
      <c r="O20" s="14">
        <v>6.0650209985485901E-3</v>
      </c>
      <c r="P20" s="16">
        <v>0</v>
      </c>
      <c r="Q20" s="14">
        <v>1.244779769757407E-2</v>
      </c>
      <c r="R20" s="15">
        <v>1.6475564498416025E-2</v>
      </c>
      <c r="S20" s="15">
        <v>0</v>
      </c>
      <c r="T20" s="16">
        <v>0</v>
      </c>
      <c r="U20" s="15">
        <v>1.0832518652473724E-2</v>
      </c>
      <c r="V20" s="16">
        <v>9.5548369652588751E-3</v>
      </c>
      <c r="W20" s="14">
        <v>1.7935685391522199E-4</v>
      </c>
      <c r="X20" s="15">
        <v>2.7593362140803401E-6</v>
      </c>
      <c r="Y20" s="16">
        <v>1.25549797740655E-4</v>
      </c>
      <c r="Z20" s="14">
        <v>0.83207645568781996</v>
      </c>
      <c r="AA20" s="15">
        <v>0</v>
      </c>
      <c r="AB20" s="16">
        <v>0</v>
      </c>
      <c r="AC20" s="26">
        <f t="shared" si="0"/>
        <v>7.4766974056721017E-2</v>
      </c>
    </row>
    <row r="21" spans="1:29" x14ac:dyDescent="0.3">
      <c r="A21" s="17" t="s">
        <v>51</v>
      </c>
      <c r="B21">
        <v>1999</v>
      </c>
      <c r="C21" s="18">
        <v>754.34400000000005</v>
      </c>
      <c r="D21" s="14">
        <v>9.6123254112182199E-2</v>
      </c>
      <c r="E21" s="16">
        <v>4.2780216983233102E-2</v>
      </c>
      <c r="F21" s="14">
        <v>1.69683857762506E-4</v>
      </c>
      <c r="G21" s="16">
        <v>8.6471159046800902E-2</v>
      </c>
      <c r="H21" s="14">
        <v>0</v>
      </c>
      <c r="I21" s="16">
        <v>4.9751837358022301E-3</v>
      </c>
      <c r="J21" s="14">
        <v>1.22318199654269E-2</v>
      </c>
      <c r="K21" s="15">
        <v>2.2741613905592099E-2</v>
      </c>
      <c r="L21" s="15">
        <v>3.1247017275937799E-2</v>
      </c>
      <c r="M21" s="15">
        <v>0</v>
      </c>
      <c r="N21" s="16">
        <v>7.0577879588092397E-3</v>
      </c>
      <c r="O21" s="14">
        <v>0</v>
      </c>
      <c r="P21" s="16">
        <v>0</v>
      </c>
      <c r="Q21" s="14">
        <v>1.7232059529511304E-2</v>
      </c>
      <c r="R21" s="15">
        <v>1.9043167687779489E-2</v>
      </c>
      <c r="S21" s="15">
        <v>0</v>
      </c>
      <c r="T21" s="16">
        <v>0</v>
      </c>
      <c r="U21" s="15">
        <v>2.7458039955653773E-3</v>
      </c>
      <c r="V21" s="16">
        <v>2.4194159734510022E-2</v>
      </c>
      <c r="W21" s="14">
        <v>2.90583606418292E-3</v>
      </c>
      <c r="X21" s="15">
        <v>0</v>
      </c>
      <c r="Y21" s="16">
        <v>4.6238851240282897E-3</v>
      </c>
      <c r="Z21" s="14">
        <v>0.62545735102287503</v>
      </c>
      <c r="AA21" s="15">
        <v>0</v>
      </c>
      <c r="AB21" s="16">
        <v>0</v>
      </c>
      <c r="AC21" s="26">
        <f t="shared" si="0"/>
        <v>0.16489426574613167</v>
      </c>
    </row>
    <row r="22" spans="1:29" x14ac:dyDescent="0.3">
      <c r="A22" s="17" t="s">
        <v>51</v>
      </c>
      <c r="B22">
        <v>2000</v>
      </c>
      <c r="C22" s="18">
        <v>1044.5050000000001</v>
      </c>
      <c r="D22" s="14">
        <v>1.8516905136883002E-2</v>
      </c>
      <c r="E22" s="16">
        <v>4.4451678067601403E-3</v>
      </c>
      <c r="F22" s="14">
        <v>1.2142593860249601E-2</v>
      </c>
      <c r="G22" s="16">
        <v>3.6806908535622102E-2</v>
      </c>
      <c r="H22" s="14">
        <v>1.11344608211545E-3</v>
      </c>
      <c r="I22" s="16">
        <v>9.5739130018525492E-7</v>
      </c>
      <c r="J22" s="14">
        <v>4.8491869354383198E-3</v>
      </c>
      <c r="K22" s="15">
        <v>2.5266513803189099E-2</v>
      </c>
      <c r="L22" s="15">
        <v>2.5008018152138999E-2</v>
      </c>
      <c r="M22" s="15">
        <v>3.4370347676650702E-4</v>
      </c>
      <c r="N22" s="16">
        <v>1.67064781882327E-3</v>
      </c>
      <c r="O22" s="14">
        <v>0</v>
      </c>
      <c r="P22" s="16">
        <v>0</v>
      </c>
      <c r="Q22" s="14">
        <v>5.0560210163846549E-3</v>
      </c>
      <c r="R22" s="15">
        <v>5.3421439598930746E-2</v>
      </c>
      <c r="S22" s="15">
        <v>0</v>
      </c>
      <c r="T22" s="16">
        <v>0</v>
      </c>
      <c r="U22" s="15">
        <v>1.611643859632619E-2</v>
      </c>
      <c r="V22" s="16">
        <v>2.3576047318054311E-2</v>
      </c>
      <c r="W22" s="14">
        <v>5.6677564970967099E-4</v>
      </c>
      <c r="X22" s="15">
        <v>2.1751930340209E-3</v>
      </c>
      <c r="Y22" s="16">
        <v>0</v>
      </c>
      <c r="Z22" s="14">
        <v>0.76892403578728696</v>
      </c>
      <c r="AA22" s="15">
        <v>0</v>
      </c>
      <c r="AB22" s="16">
        <v>0</v>
      </c>
      <c r="AC22" s="26">
        <f t="shared" si="0"/>
        <v>0.10720197605564354</v>
      </c>
    </row>
    <row r="23" spans="1:29" x14ac:dyDescent="0.3">
      <c r="A23" s="17" t="s">
        <v>51</v>
      </c>
      <c r="B23">
        <v>2001</v>
      </c>
      <c r="C23" s="18">
        <v>1349.9549999999999</v>
      </c>
      <c r="D23" s="14">
        <v>2.4667488916297199E-2</v>
      </c>
      <c r="E23" s="16">
        <v>6.5779970443459197E-4</v>
      </c>
      <c r="F23" s="14">
        <v>1.4226400139263899E-2</v>
      </c>
      <c r="G23" s="16">
        <v>1.0959624580078599E-2</v>
      </c>
      <c r="H23" s="14">
        <v>5.0372049438685003E-5</v>
      </c>
      <c r="I23" s="16">
        <v>4.49052005437218E-3</v>
      </c>
      <c r="J23" s="14">
        <v>1.00225563074325E-2</v>
      </c>
      <c r="K23" s="15">
        <v>1.05996125796786E-2</v>
      </c>
      <c r="L23" s="15">
        <v>4.5488923704864202E-2</v>
      </c>
      <c r="M23" s="15">
        <v>1.4815308658436799E-6</v>
      </c>
      <c r="N23" s="16">
        <v>3.8104973869499399E-3</v>
      </c>
      <c r="O23" s="14">
        <v>0</v>
      </c>
      <c r="P23" s="16">
        <v>2.6371249412017402E-4</v>
      </c>
      <c r="Q23" s="14">
        <v>3.3259163133404785E-3</v>
      </c>
      <c r="R23" s="15">
        <v>0.16398114207008752</v>
      </c>
      <c r="S23" s="15">
        <v>0</v>
      </c>
      <c r="T23" s="16">
        <v>0</v>
      </c>
      <c r="U23" s="15">
        <v>8.8490129158151354E-3</v>
      </c>
      <c r="V23" s="16">
        <v>4.3736500618396642E-3</v>
      </c>
      <c r="W23" s="14">
        <v>3.6816042016215401E-4</v>
      </c>
      <c r="X23" s="15">
        <v>0</v>
      </c>
      <c r="Y23" s="16">
        <v>7.9891551940620194E-3</v>
      </c>
      <c r="Z23" s="14">
        <v>0.68587397357689694</v>
      </c>
      <c r="AA23" s="15">
        <v>0</v>
      </c>
      <c r="AB23" s="16">
        <v>0</v>
      </c>
      <c r="AC23" s="26">
        <f t="shared" si="0"/>
        <v>9.9913700827064619E-2</v>
      </c>
    </row>
    <row r="24" spans="1:29" x14ac:dyDescent="0.3">
      <c r="A24" s="17" t="s">
        <v>51</v>
      </c>
      <c r="B24">
        <v>2002</v>
      </c>
      <c r="C24" s="18">
        <v>2268.4090000000001</v>
      </c>
      <c r="D24" s="14">
        <v>1.9069753294048801E-2</v>
      </c>
      <c r="E24" s="16">
        <v>1.4741609647995601E-3</v>
      </c>
      <c r="F24" s="14">
        <v>7.3895404223841499E-2</v>
      </c>
      <c r="G24" s="16">
        <v>8.2639418200156998E-3</v>
      </c>
      <c r="H24" s="14">
        <v>9.9889393843879092E-3</v>
      </c>
      <c r="I24" s="16">
        <v>0</v>
      </c>
      <c r="J24" s="14">
        <v>2.7367198772355402E-3</v>
      </c>
      <c r="K24" s="15">
        <v>1.6504519246749599E-2</v>
      </c>
      <c r="L24" s="15">
        <v>8.3340349998611406E-3</v>
      </c>
      <c r="M24" s="15">
        <v>0</v>
      </c>
      <c r="N24" s="16">
        <v>7.3536121572432504E-3</v>
      </c>
      <c r="O24" s="14">
        <v>5.8631402009073303E-5</v>
      </c>
      <c r="P24" s="16">
        <v>2.0520990703175698E-3</v>
      </c>
      <c r="Q24" s="14">
        <v>0</v>
      </c>
      <c r="R24" s="15">
        <v>5.7250257779791897E-2</v>
      </c>
      <c r="S24" s="15">
        <v>0</v>
      </c>
      <c r="T24" s="16">
        <v>0</v>
      </c>
      <c r="U24" s="15">
        <v>6.6344201662221405E-3</v>
      </c>
      <c r="V24" s="16">
        <v>2.0686490657178761E-2</v>
      </c>
      <c r="W24" s="14">
        <v>3.4169323080626098E-3</v>
      </c>
      <c r="X24" s="15">
        <v>8.4244067097247503E-4</v>
      </c>
      <c r="Y24" s="16">
        <v>8.5103700434974502E-3</v>
      </c>
      <c r="Z24" s="14">
        <v>0.75292727193376496</v>
      </c>
      <c r="AA24" s="15">
        <v>0</v>
      </c>
      <c r="AB24" s="16">
        <v>0</v>
      </c>
      <c r="AC24" s="26">
        <f t="shared" si="0"/>
        <v>0.12918790218166129</v>
      </c>
    </row>
    <row r="25" spans="1:29" x14ac:dyDescent="0.3">
      <c r="A25" s="17" t="s">
        <v>51</v>
      </c>
      <c r="B25">
        <v>2003</v>
      </c>
      <c r="C25" s="18">
        <v>1458.451</v>
      </c>
      <c r="D25" s="14">
        <v>3.0085343971103601E-2</v>
      </c>
      <c r="E25" s="16">
        <v>6.89567218919251E-3</v>
      </c>
      <c r="F25" s="14">
        <v>6.05354585104333E-2</v>
      </c>
      <c r="G25" s="16">
        <v>1.6276172459685E-2</v>
      </c>
      <c r="H25" s="14">
        <v>4.3539344139775701E-4</v>
      </c>
      <c r="I25" s="16">
        <v>0</v>
      </c>
      <c r="J25" s="14">
        <v>3.5192131926269701E-2</v>
      </c>
      <c r="K25" s="15">
        <v>4.0349658644685399E-2</v>
      </c>
      <c r="L25" s="15">
        <v>3.9850498919744301E-3</v>
      </c>
      <c r="M25" s="15">
        <v>3.8650595734789901E-3</v>
      </c>
      <c r="N25" s="16">
        <v>3.5654266067217902E-4</v>
      </c>
      <c r="O25" s="14">
        <v>1.10322527119526E-3</v>
      </c>
      <c r="P25" s="16">
        <v>2.67406995504134E-5</v>
      </c>
      <c r="Q25" s="14">
        <v>1.4864591548124854E-2</v>
      </c>
      <c r="R25" s="15">
        <v>6.4153317253307071E-2</v>
      </c>
      <c r="S25" s="15">
        <v>6.4721076612397664E-3</v>
      </c>
      <c r="T25" s="16">
        <v>0</v>
      </c>
      <c r="U25" s="15">
        <v>1.2258319049696258E-2</v>
      </c>
      <c r="V25" s="16">
        <v>1.7137252004799246E-2</v>
      </c>
      <c r="W25" s="14">
        <v>0</v>
      </c>
      <c r="X25" s="15">
        <v>0</v>
      </c>
      <c r="Y25" s="16">
        <v>5.9240934388608195E-4</v>
      </c>
      <c r="Z25" s="14">
        <v>0.68541555389930797</v>
      </c>
      <c r="AA25" s="15">
        <v>0</v>
      </c>
      <c r="AB25" s="16">
        <v>0</v>
      </c>
      <c r="AC25" s="26">
        <f t="shared" si="0"/>
        <v>0.16212543307934243</v>
      </c>
    </row>
    <row r="26" spans="1:29" x14ac:dyDescent="0.3">
      <c r="A26" s="17" t="s">
        <v>51</v>
      </c>
      <c r="B26">
        <v>2004</v>
      </c>
      <c r="C26" s="18">
        <v>863.91</v>
      </c>
      <c r="D26" s="14">
        <v>4.9934599668946998E-2</v>
      </c>
      <c r="E26" s="16">
        <v>8.1258464423377395E-4</v>
      </c>
      <c r="F26" s="14">
        <v>6.3875866699077397E-2</v>
      </c>
      <c r="G26" s="16">
        <v>5.3304163628155703E-2</v>
      </c>
      <c r="H26" s="14">
        <v>9.0472387169959808E-3</v>
      </c>
      <c r="I26" s="16">
        <v>0</v>
      </c>
      <c r="J26" s="14">
        <v>2.5312821937470299E-2</v>
      </c>
      <c r="K26" s="15">
        <v>4.2840110659675197E-2</v>
      </c>
      <c r="L26" s="15">
        <v>3.0027433413202801E-2</v>
      </c>
      <c r="M26" s="15">
        <v>0</v>
      </c>
      <c r="N26" s="16">
        <v>1.4325566320565799E-2</v>
      </c>
      <c r="O26" s="14">
        <v>1.15752798323899E-6</v>
      </c>
      <c r="P26" s="16">
        <v>1.15752798323899E-6</v>
      </c>
      <c r="Q26" s="14">
        <v>5.7538505506921104E-3</v>
      </c>
      <c r="R26" s="15">
        <v>4.2484970622809794E-2</v>
      </c>
      <c r="S26" s="15">
        <v>0</v>
      </c>
      <c r="T26" s="16">
        <v>0</v>
      </c>
      <c r="U26" s="15">
        <v>5.5650873990568853E-2</v>
      </c>
      <c r="V26" s="16">
        <v>4.4344495897498143E-2</v>
      </c>
      <c r="W26" s="14">
        <v>0</v>
      </c>
      <c r="X26" s="15">
        <v>1.3774583000544E-3</v>
      </c>
      <c r="Y26" s="16">
        <v>5.0213563912907596E-3</v>
      </c>
      <c r="Z26" s="14">
        <v>0.555884293502795</v>
      </c>
      <c r="AA26" s="15">
        <v>0</v>
      </c>
      <c r="AB26" s="16">
        <v>0</v>
      </c>
      <c r="AC26" s="26">
        <f t="shared" si="0"/>
        <v>0.23873551643110966</v>
      </c>
    </row>
    <row r="27" spans="1:29" x14ac:dyDescent="0.3">
      <c r="A27" s="17" t="s">
        <v>51</v>
      </c>
      <c r="B27">
        <v>2005</v>
      </c>
      <c r="C27" s="18">
        <v>1037.1379999999999</v>
      </c>
      <c r="D27" s="14">
        <v>4.1165206558818598E-2</v>
      </c>
      <c r="E27" s="16">
        <v>7.8610560986098303E-3</v>
      </c>
      <c r="F27" s="14">
        <v>9.1698501067360397E-2</v>
      </c>
      <c r="G27" s="16">
        <v>3.1103864673746401E-2</v>
      </c>
      <c r="H27" s="14">
        <v>9.9061069982972396E-3</v>
      </c>
      <c r="I27" s="16">
        <v>0</v>
      </c>
      <c r="J27" s="14">
        <v>1.6513713700587601E-2</v>
      </c>
      <c r="K27" s="15">
        <v>9.54135322396827E-2</v>
      </c>
      <c r="L27" s="15">
        <v>0.10083036201546999</v>
      </c>
      <c r="M27" s="15">
        <v>0</v>
      </c>
      <c r="N27" s="16">
        <v>6.7618773972219701E-3</v>
      </c>
      <c r="O27" s="14">
        <v>0</v>
      </c>
      <c r="P27" s="16">
        <v>0</v>
      </c>
      <c r="Q27" s="14">
        <v>0</v>
      </c>
      <c r="R27" s="15">
        <v>6.4701129454325296E-2</v>
      </c>
      <c r="S27" s="15">
        <v>0</v>
      </c>
      <c r="T27" s="16">
        <v>0</v>
      </c>
      <c r="U27" s="15">
        <v>2.0874882310588905E-3</v>
      </c>
      <c r="V27" s="16">
        <v>3.1856885613116108E-2</v>
      </c>
      <c r="W27" s="14">
        <v>0</v>
      </c>
      <c r="X27" s="15">
        <v>0</v>
      </c>
      <c r="Y27" s="16">
        <v>1.9283836866453598E-6</v>
      </c>
      <c r="Z27" s="14">
        <v>0.50009834756801896</v>
      </c>
      <c r="AA27" s="15">
        <v>0</v>
      </c>
      <c r="AB27" s="16">
        <v>0</v>
      </c>
      <c r="AC27" s="26">
        <f t="shared" si="0"/>
        <v>0.35222795809236623</v>
      </c>
    </row>
    <row r="28" spans="1:29" x14ac:dyDescent="0.3">
      <c r="A28" s="17" t="s">
        <v>51</v>
      </c>
      <c r="B28">
        <v>2006</v>
      </c>
      <c r="C28" s="18"/>
      <c r="D28" s="14"/>
      <c r="E28" s="16"/>
      <c r="F28" s="14"/>
      <c r="G28" s="16"/>
      <c r="H28" s="14"/>
      <c r="I28" s="16"/>
      <c r="J28" s="14"/>
      <c r="K28" s="15"/>
      <c r="L28" s="15"/>
      <c r="M28" s="15"/>
      <c r="N28" s="16"/>
      <c r="O28" s="14"/>
      <c r="P28" s="16"/>
      <c r="Q28" s="14"/>
      <c r="R28" s="15"/>
      <c r="S28" s="15"/>
      <c r="T28" s="16"/>
      <c r="U28" s="15"/>
      <c r="V28" s="16"/>
      <c r="W28" s="14"/>
      <c r="X28" s="15"/>
      <c r="Y28" s="16"/>
      <c r="Z28" s="14"/>
      <c r="AA28" s="15"/>
      <c r="AB28" s="16"/>
      <c r="AC28" s="26"/>
    </row>
    <row r="29" spans="1:29" x14ac:dyDescent="0.3">
      <c r="A29" s="17" t="s">
        <v>51</v>
      </c>
      <c r="B29">
        <v>2007</v>
      </c>
      <c r="C29" s="37"/>
      <c r="D29" s="33"/>
      <c r="E29" s="38"/>
      <c r="F29" s="33"/>
      <c r="G29" s="38"/>
      <c r="H29" s="33"/>
      <c r="I29" s="38"/>
      <c r="J29" s="33"/>
      <c r="K29" s="34"/>
      <c r="L29" s="34"/>
      <c r="M29" s="34"/>
      <c r="N29" s="38"/>
      <c r="O29" s="33"/>
      <c r="P29" s="38"/>
      <c r="Q29" s="33"/>
      <c r="R29" s="34"/>
      <c r="S29" s="34"/>
      <c r="T29" s="38"/>
      <c r="U29" s="34"/>
      <c r="V29" s="38"/>
      <c r="W29" s="33"/>
      <c r="X29" s="34"/>
      <c r="Y29" s="38"/>
      <c r="Z29" s="33"/>
      <c r="AA29" s="34"/>
      <c r="AB29" s="38"/>
      <c r="AC29" s="26"/>
    </row>
    <row r="30" spans="1:29" x14ac:dyDescent="0.3">
      <c r="A30" s="17" t="s">
        <v>51</v>
      </c>
      <c r="B30">
        <v>2008</v>
      </c>
      <c r="C30" s="37"/>
      <c r="D30" s="33"/>
      <c r="E30" s="38"/>
      <c r="F30" s="33"/>
      <c r="G30" s="38"/>
      <c r="H30" s="33"/>
      <c r="I30" s="38"/>
      <c r="J30" s="33"/>
      <c r="K30" s="34"/>
      <c r="L30" s="34"/>
      <c r="M30" s="34"/>
      <c r="N30" s="38"/>
      <c r="O30" s="33"/>
      <c r="P30" s="38"/>
      <c r="Q30" s="33"/>
      <c r="R30" s="34"/>
      <c r="S30" s="34"/>
      <c r="T30" s="38"/>
      <c r="U30" s="34"/>
      <c r="V30" s="38"/>
      <c r="W30" s="33"/>
      <c r="X30" s="34"/>
      <c r="Y30" s="38"/>
      <c r="Z30" s="33"/>
      <c r="AA30" s="34"/>
      <c r="AB30" s="38"/>
      <c r="AC30" s="26"/>
    </row>
    <row r="31" spans="1:29" x14ac:dyDescent="0.3">
      <c r="A31" s="17" t="s">
        <v>51</v>
      </c>
      <c r="B31">
        <v>2009</v>
      </c>
      <c r="C31" s="37"/>
      <c r="D31" s="33"/>
      <c r="E31" s="38"/>
      <c r="F31" s="33"/>
      <c r="G31" s="38"/>
      <c r="H31" s="33"/>
      <c r="I31" s="38"/>
      <c r="J31" s="33"/>
      <c r="K31" s="34"/>
      <c r="L31" s="34"/>
      <c r="M31" s="34"/>
      <c r="N31" s="38"/>
      <c r="O31" s="33"/>
      <c r="P31" s="38"/>
      <c r="Q31" s="33"/>
      <c r="R31" s="34"/>
      <c r="S31" s="34"/>
      <c r="T31" s="38"/>
      <c r="U31" s="34"/>
      <c r="V31" s="38"/>
      <c r="W31" s="33"/>
      <c r="X31" s="34"/>
      <c r="Y31" s="38"/>
      <c r="Z31" s="33"/>
      <c r="AA31" s="34"/>
      <c r="AB31" s="38"/>
      <c r="AC31" s="26"/>
    </row>
    <row r="32" spans="1:29" x14ac:dyDescent="0.3">
      <c r="A32" s="17" t="s">
        <v>51</v>
      </c>
      <c r="B32">
        <v>2010</v>
      </c>
      <c r="C32" s="18"/>
      <c r="D32" s="14"/>
      <c r="E32" s="16"/>
      <c r="F32" s="14"/>
      <c r="G32" s="16"/>
      <c r="H32" s="14"/>
      <c r="I32" s="16"/>
      <c r="J32" s="14"/>
      <c r="K32" s="15"/>
      <c r="L32" s="15"/>
      <c r="M32" s="15"/>
      <c r="N32" s="16"/>
      <c r="O32" s="14"/>
      <c r="P32" s="16"/>
      <c r="Q32" s="14"/>
      <c r="R32" s="15"/>
      <c r="S32" s="15"/>
      <c r="T32" s="16"/>
      <c r="U32" s="15"/>
      <c r="V32" s="16"/>
      <c r="W32" s="14"/>
      <c r="X32" s="15"/>
      <c r="Y32" s="16"/>
      <c r="Z32" s="14"/>
      <c r="AA32" s="15"/>
      <c r="AB32" s="16"/>
      <c r="AC32" s="26"/>
    </row>
    <row r="33" spans="1:29" x14ac:dyDescent="0.3">
      <c r="A33" s="17" t="s">
        <v>51</v>
      </c>
      <c r="B33">
        <v>2011</v>
      </c>
      <c r="C33" s="18">
        <v>73.858999999999995</v>
      </c>
      <c r="D33" s="14">
        <v>7.4560987828159106E-2</v>
      </c>
      <c r="E33" s="16">
        <v>2.0322506397324601E-2</v>
      </c>
      <c r="F33" s="14">
        <v>4.8538431335382298E-2</v>
      </c>
      <c r="G33" s="16">
        <v>3.23318756008069E-2</v>
      </c>
      <c r="H33" s="14">
        <v>1.2185380251560401E-4</v>
      </c>
      <c r="I33" s="16">
        <v>0</v>
      </c>
      <c r="J33" s="14">
        <v>0</v>
      </c>
      <c r="K33" s="15">
        <v>3.8316251235462201E-3</v>
      </c>
      <c r="L33" s="15">
        <v>0.20212837975060599</v>
      </c>
      <c r="M33" s="15">
        <v>0</v>
      </c>
      <c r="N33" s="16">
        <v>2.93803057176512E-3</v>
      </c>
      <c r="O33" s="14">
        <v>0</v>
      </c>
      <c r="P33" s="16">
        <v>9.0713386317171896E-4</v>
      </c>
      <c r="Q33" s="14">
        <v>0</v>
      </c>
      <c r="R33" s="15">
        <v>2.1419190619965101E-2</v>
      </c>
      <c r="S33" s="15">
        <v>0</v>
      </c>
      <c r="T33" s="16">
        <v>0</v>
      </c>
      <c r="U33" s="15">
        <v>1.8864360124385922E-2</v>
      </c>
      <c r="V33" s="16">
        <v>0.21111438315673067</v>
      </c>
      <c r="W33" s="14">
        <v>5.5511176701552997E-3</v>
      </c>
      <c r="X33" s="15">
        <v>0</v>
      </c>
      <c r="Y33" s="16">
        <v>7.4466212648424701E-4</v>
      </c>
      <c r="Z33" s="14">
        <v>0.35662546202900097</v>
      </c>
      <c r="AA33" s="15">
        <v>0</v>
      </c>
      <c r="AB33" s="16">
        <v>0</v>
      </c>
      <c r="AC33" s="26">
        <f t="shared" si="0"/>
        <v>0.29079733004779384</v>
      </c>
    </row>
    <row r="34" spans="1:29" x14ac:dyDescent="0.3">
      <c r="A34" s="17" t="s">
        <v>51</v>
      </c>
      <c r="B34">
        <v>2012</v>
      </c>
      <c r="C34" s="18">
        <v>341.45400000000001</v>
      </c>
      <c r="D34" s="14">
        <v>7.17461210001933E-2</v>
      </c>
      <c r="E34" s="16">
        <v>3.0337907888031802E-2</v>
      </c>
      <c r="F34" s="14">
        <v>8.6035014965412604E-2</v>
      </c>
      <c r="G34" s="16">
        <v>0.12585004129399599</v>
      </c>
      <c r="H34" s="14">
        <v>1.5767863313945699E-2</v>
      </c>
      <c r="I34" s="16">
        <v>3.4616668716723198E-3</v>
      </c>
      <c r="J34" s="14">
        <v>4.8097254681450499E-2</v>
      </c>
      <c r="K34" s="15">
        <v>1.8608655924370499E-2</v>
      </c>
      <c r="L34" s="15">
        <v>0.145346078827602</v>
      </c>
      <c r="M34" s="15">
        <v>3.5143826108348402E-4</v>
      </c>
      <c r="N34" s="16">
        <v>2.5918571754907E-3</v>
      </c>
      <c r="O34" s="14">
        <v>0</v>
      </c>
      <c r="P34" s="16">
        <v>0</v>
      </c>
      <c r="Q34" s="14">
        <v>0</v>
      </c>
      <c r="R34" s="15">
        <v>2.63022251899231E-2</v>
      </c>
      <c r="S34" s="15">
        <v>0</v>
      </c>
      <c r="T34" s="16">
        <v>0</v>
      </c>
      <c r="U34" s="15">
        <v>5.8753776528074394E-3</v>
      </c>
      <c r="V34" s="16">
        <v>8.2666563575000671E-2</v>
      </c>
      <c r="W34" s="14">
        <v>1.8251360358935601E-2</v>
      </c>
      <c r="X34" s="15">
        <v>0</v>
      </c>
      <c r="Y34" s="16">
        <v>4.4954810896928998E-3</v>
      </c>
      <c r="Z34" s="14">
        <v>0.303964809315457</v>
      </c>
      <c r="AA34" s="15">
        <v>1.0250282614935E-2</v>
      </c>
      <c r="AB34" s="16">
        <v>0</v>
      </c>
      <c r="AC34" s="26">
        <f t="shared" si="0"/>
        <v>0.44610987131502383</v>
      </c>
    </row>
    <row r="35" spans="1:29" x14ac:dyDescent="0.3">
      <c r="A35" s="17" t="s">
        <v>51</v>
      </c>
      <c r="B35">
        <v>2013</v>
      </c>
      <c r="C35" s="18">
        <v>1779.816</v>
      </c>
      <c r="D35" s="14">
        <v>2.9287858969691299E-2</v>
      </c>
      <c r="E35" s="16">
        <v>9.3301779509792002E-3</v>
      </c>
      <c r="F35" s="14">
        <v>6.76154164250687E-2</v>
      </c>
      <c r="G35" s="16">
        <v>5.5129856119958499E-2</v>
      </c>
      <c r="H35" s="14">
        <v>3.20370195570778E-3</v>
      </c>
      <c r="I35" s="16">
        <v>3.5492432925650699E-3</v>
      </c>
      <c r="J35" s="14">
        <v>6.1740089986830102E-2</v>
      </c>
      <c r="K35" s="15">
        <v>4.6225564889853799E-2</v>
      </c>
      <c r="L35" s="15">
        <v>5.04125145520661E-2</v>
      </c>
      <c r="M35" s="15">
        <v>1.32878904336179E-3</v>
      </c>
      <c r="N35" s="16">
        <v>2.04965007618765E-3</v>
      </c>
      <c r="O35" s="14">
        <v>0</v>
      </c>
      <c r="P35" s="16">
        <v>3.0003101444194197E-4</v>
      </c>
      <c r="Q35" s="14">
        <v>0</v>
      </c>
      <c r="R35" s="15">
        <v>3.4945185345002003E-2</v>
      </c>
      <c r="S35" s="15">
        <v>0</v>
      </c>
      <c r="T35" s="16">
        <v>0</v>
      </c>
      <c r="U35" s="15">
        <v>4.9132536615938529E-3</v>
      </c>
      <c r="V35" s="16">
        <v>3.5134144496418045E-2</v>
      </c>
      <c r="W35" s="14">
        <v>2.78849049564674E-3</v>
      </c>
      <c r="X35" s="15">
        <v>5.6185583228828104E-7</v>
      </c>
      <c r="Y35" s="16">
        <v>2.4114852321812999E-3</v>
      </c>
      <c r="Z35" s="14">
        <v>0.57757093991738495</v>
      </c>
      <c r="AA35" s="15">
        <v>1.20630447192294E-2</v>
      </c>
      <c r="AB35" s="16">
        <v>0</v>
      </c>
      <c r="AC35" s="26">
        <f t="shared" si="0"/>
        <v>0.29155485735604142</v>
      </c>
    </row>
    <row r="36" spans="1:29" x14ac:dyDescent="0.3">
      <c r="A36" s="17" t="s">
        <v>51</v>
      </c>
      <c r="B36">
        <v>2014</v>
      </c>
      <c r="C36" s="18">
        <v>1259.6980000000001</v>
      </c>
      <c r="D36" s="14">
        <v>8.4427378625670596E-2</v>
      </c>
      <c r="E36" s="16">
        <v>1.80916378370054E-2</v>
      </c>
      <c r="F36" s="14">
        <v>6.1227373545087803E-2</v>
      </c>
      <c r="G36" s="16">
        <v>5.9426942013085703E-2</v>
      </c>
      <c r="H36" s="14">
        <v>2.9111739480415101E-2</v>
      </c>
      <c r="I36" s="16">
        <v>2.0491419371944701E-2</v>
      </c>
      <c r="J36" s="14">
        <v>3.28499370484037E-2</v>
      </c>
      <c r="K36" s="15">
        <v>9.9118995187735502E-3</v>
      </c>
      <c r="L36" s="15">
        <v>4.7145426919785502E-2</v>
      </c>
      <c r="M36" s="15">
        <v>0</v>
      </c>
      <c r="N36" s="16">
        <v>8.3583525575177502E-3</v>
      </c>
      <c r="O36" s="14">
        <v>0</v>
      </c>
      <c r="P36" s="16">
        <v>7.7320119584217803E-4</v>
      </c>
      <c r="Q36" s="14">
        <v>0</v>
      </c>
      <c r="R36" s="15">
        <v>4.7234337118896803E-2</v>
      </c>
      <c r="S36" s="15">
        <v>0</v>
      </c>
      <c r="T36" s="16">
        <v>0</v>
      </c>
      <c r="U36" s="15">
        <v>9.682976377458791E-3</v>
      </c>
      <c r="V36" s="16">
        <v>4.2481907586793002E-2</v>
      </c>
      <c r="W36" s="14">
        <v>8.3670848092161805E-3</v>
      </c>
      <c r="X36" s="15">
        <v>3.17536425397198E-6</v>
      </c>
      <c r="Y36" s="16">
        <v>2.9419749813050398E-3</v>
      </c>
      <c r="Z36" s="14">
        <v>0.51263080516123705</v>
      </c>
      <c r="AA36" s="15">
        <v>4.8424304873072796E-3</v>
      </c>
      <c r="AB36" s="16">
        <v>0</v>
      </c>
      <c r="AC36" s="26">
        <f t="shared" si="0"/>
        <v>0.269296291650856</v>
      </c>
    </row>
    <row r="37" spans="1:29" x14ac:dyDescent="0.3">
      <c r="A37" s="17" t="s">
        <v>51</v>
      </c>
      <c r="B37">
        <v>2015</v>
      </c>
      <c r="C37" s="18">
        <v>2212.643</v>
      </c>
      <c r="D37" s="14">
        <v>4.0131191520728797E-2</v>
      </c>
      <c r="E37" s="16">
        <v>7.0793164554788096E-3</v>
      </c>
      <c r="F37" s="14">
        <v>2.0871871332157999E-2</v>
      </c>
      <c r="G37" s="16">
        <v>2.4186911309235198E-2</v>
      </c>
      <c r="H37" s="14">
        <v>1.4752944781422E-2</v>
      </c>
      <c r="I37" s="16">
        <v>1.27440350747952E-2</v>
      </c>
      <c r="J37" s="14">
        <v>6.2153270997625902E-2</v>
      </c>
      <c r="K37" s="15">
        <v>1.6935402593188299E-2</v>
      </c>
      <c r="L37" s="15">
        <v>0.103071304317958</v>
      </c>
      <c r="M37" s="15">
        <v>0</v>
      </c>
      <c r="N37" s="16">
        <v>3.4167283199323202E-3</v>
      </c>
      <c r="O37" s="14">
        <v>0</v>
      </c>
      <c r="P37" s="16">
        <v>2.8924684189903198E-5</v>
      </c>
      <c r="Q37" s="14">
        <v>1.4252397809056966E-2</v>
      </c>
      <c r="R37" s="15">
        <v>1.716568454765403E-2</v>
      </c>
      <c r="S37" s="15">
        <v>0</v>
      </c>
      <c r="T37" s="16">
        <v>0</v>
      </c>
      <c r="U37" s="15">
        <v>6.4438869914698865E-3</v>
      </c>
      <c r="V37" s="16">
        <v>1.6307636864841296E-2</v>
      </c>
      <c r="W37" s="14">
        <v>1.4319074518573499E-2</v>
      </c>
      <c r="X37" s="15">
        <v>1.80372522815475E-3</v>
      </c>
      <c r="Y37" s="16">
        <v>1.0603608444742301E-2</v>
      </c>
      <c r="Z37" s="14">
        <v>0.56909768091824997</v>
      </c>
      <c r="AA37" s="15">
        <v>4.4634403290544397E-2</v>
      </c>
      <c r="AB37" s="16">
        <v>0</v>
      </c>
      <c r="AC37" s="26">
        <f t="shared" si="0"/>
        <v>0.25816139341050481</v>
      </c>
    </row>
    <row r="38" spans="1:29" x14ac:dyDescent="0.3">
      <c r="A38" s="17" t="s">
        <v>51</v>
      </c>
      <c r="B38">
        <v>2016</v>
      </c>
      <c r="C38" s="18">
        <v>426.91500000000002</v>
      </c>
      <c r="D38" s="14">
        <v>4.2797746624035203E-2</v>
      </c>
      <c r="E38" s="16">
        <v>1.23162690465315E-2</v>
      </c>
      <c r="F38" s="14">
        <v>6.0513216916716399E-2</v>
      </c>
      <c r="G38" s="16">
        <v>5.2349999414403298E-2</v>
      </c>
      <c r="H38" s="14">
        <v>9.5545951770258705E-3</v>
      </c>
      <c r="I38" s="16">
        <v>4.4481922630968699E-3</v>
      </c>
      <c r="J38" s="14">
        <v>9.1008748814166707E-2</v>
      </c>
      <c r="K38" s="15">
        <v>1.5157584062401201E-2</v>
      </c>
      <c r="L38" s="15">
        <v>3.5749505170818499E-2</v>
      </c>
      <c r="M38" s="15">
        <v>0</v>
      </c>
      <c r="N38" s="16">
        <v>1.3628005574880199E-2</v>
      </c>
      <c r="O38" s="14">
        <v>0</v>
      </c>
      <c r="P38" s="16">
        <v>0</v>
      </c>
      <c r="Q38" s="14">
        <v>0</v>
      </c>
      <c r="R38" s="15">
        <v>8.6644882470749401E-3</v>
      </c>
      <c r="S38" s="15">
        <v>0</v>
      </c>
      <c r="T38" s="16">
        <v>0</v>
      </c>
      <c r="U38" s="15">
        <v>5.9266212759274631E-3</v>
      </c>
      <c r="V38" s="16">
        <v>0.11186497658313085</v>
      </c>
      <c r="W38" s="14">
        <v>7.6080718644226603E-3</v>
      </c>
      <c r="X38" s="15">
        <v>7.02715997329679E-6</v>
      </c>
      <c r="Y38" s="16">
        <v>9.36954663106239E-6</v>
      </c>
      <c r="Z38" s="14">
        <v>0.482601923099446</v>
      </c>
      <c r="AA38" s="15">
        <v>3.9117857184685504E-3</v>
      </c>
      <c r="AB38" s="16">
        <v>4.1881873440848899E-2</v>
      </c>
      <c r="AC38" s="26">
        <f t="shared" si="0"/>
        <v>0.28240984739350905</v>
      </c>
    </row>
    <row r="39" spans="1:29" x14ac:dyDescent="0.3">
      <c r="A39" s="17" t="s">
        <v>51</v>
      </c>
      <c r="B39">
        <v>2017</v>
      </c>
      <c r="C39" s="18">
        <v>495.61399999999998</v>
      </c>
      <c r="D39" s="14">
        <v>5.8255012973806197E-2</v>
      </c>
      <c r="E39" s="16">
        <v>2.8945913553693001E-2</v>
      </c>
      <c r="F39" s="14">
        <v>5.7591189917960299E-2</v>
      </c>
      <c r="G39" s="16">
        <v>1.8968390723425901E-2</v>
      </c>
      <c r="H39" s="14">
        <v>1.3447965553838301E-2</v>
      </c>
      <c r="I39" s="16">
        <v>2.0176992578902101E-5</v>
      </c>
      <c r="J39" s="14">
        <v>4.8168534383613099E-2</v>
      </c>
      <c r="K39" s="15">
        <v>5.5543225171201797E-2</v>
      </c>
      <c r="L39" s="15">
        <v>7.0456040386268307E-2</v>
      </c>
      <c r="M39" s="15">
        <v>0</v>
      </c>
      <c r="N39" s="16">
        <v>3.37016307045402E-2</v>
      </c>
      <c r="O39" s="14">
        <v>0</v>
      </c>
      <c r="P39" s="16">
        <v>1.49309745083876E-4</v>
      </c>
      <c r="Q39" s="14">
        <v>0</v>
      </c>
      <c r="R39" s="15">
        <v>3.5890834399351097E-2</v>
      </c>
      <c r="S39" s="15">
        <v>0</v>
      </c>
      <c r="T39" s="16">
        <v>0</v>
      </c>
      <c r="U39" s="15">
        <v>0</v>
      </c>
      <c r="V39" s="16">
        <v>3.749894070788963E-2</v>
      </c>
      <c r="W39" s="14">
        <v>3.7932746048336E-3</v>
      </c>
      <c r="X39" s="15">
        <v>5.0160003551150698E-3</v>
      </c>
      <c r="Y39" s="16">
        <v>2.0176992578902099E-6</v>
      </c>
      <c r="Z39" s="14">
        <v>0.52589313457650499</v>
      </c>
      <c r="AA39" s="15">
        <v>6.6584075510376997E-3</v>
      </c>
      <c r="AB39" s="16">
        <v>0</v>
      </c>
      <c r="AC39" s="26">
        <f t="shared" si="0"/>
        <v>0.29804646357851067</v>
      </c>
    </row>
    <row r="40" spans="1:29" x14ac:dyDescent="0.3">
      <c r="A40" s="17" t="s">
        <v>51</v>
      </c>
      <c r="B40">
        <v>2018</v>
      </c>
      <c r="C40" s="18">
        <v>1399.989</v>
      </c>
      <c r="D40" s="14">
        <v>1.16808060634762E-2</v>
      </c>
      <c r="E40" s="16">
        <v>5.4021853028845199E-3</v>
      </c>
      <c r="F40" s="14">
        <v>1.3358676389600199E-2</v>
      </c>
      <c r="G40" s="16">
        <v>1.08093706450551E-2</v>
      </c>
      <c r="H40" s="14">
        <v>1.2222953180346399E-2</v>
      </c>
      <c r="I40" s="16">
        <v>4.12531812749957E-2</v>
      </c>
      <c r="J40" s="14">
        <v>6.8173392790943393E-2</v>
      </c>
      <c r="K40" s="15">
        <v>4.9331816178555699E-2</v>
      </c>
      <c r="L40" s="15">
        <v>6.0888335551207901E-2</v>
      </c>
      <c r="M40" s="15">
        <v>0</v>
      </c>
      <c r="N40" s="16">
        <v>3.5714566328735398E-6</v>
      </c>
      <c r="O40" s="14">
        <v>0</v>
      </c>
      <c r="P40" s="16">
        <v>0</v>
      </c>
      <c r="Q40" s="14">
        <v>0</v>
      </c>
      <c r="R40" s="15">
        <v>1.6046554651500799E-2</v>
      </c>
      <c r="S40" s="15">
        <v>0</v>
      </c>
      <c r="T40" s="16">
        <v>0</v>
      </c>
      <c r="U40" s="15">
        <v>4.7385548033870113E-3</v>
      </c>
      <c r="V40" s="16">
        <v>6.9173454505257581E-2</v>
      </c>
      <c r="W40" s="14">
        <v>3.06788124763837E-3</v>
      </c>
      <c r="X40" s="15">
        <v>9.4929317301778796E-4</v>
      </c>
      <c r="Y40" s="16">
        <v>6.2357632809972104E-4</v>
      </c>
      <c r="Z40" s="14">
        <v>0.62443347769161095</v>
      </c>
      <c r="AA40" s="15">
        <v>7.8429187657903E-3</v>
      </c>
      <c r="AB40" s="16">
        <v>0</v>
      </c>
      <c r="AC40" s="26">
        <f t="shared" si="0"/>
        <v>0.25604129746733728</v>
      </c>
    </row>
    <row r="41" spans="1:29" x14ac:dyDescent="0.3">
      <c r="A41" s="17" t="s">
        <v>51</v>
      </c>
      <c r="B41">
        <v>2019</v>
      </c>
      <c r="C41" s="18">
        <v>1093.01</v>
      </c>
      <c r="D41" s="14">
        <v>8.0987365165917993E-3</v>
      </c>
      <c r="E41" s="16">
        <v>4.2662006751996804E-3</v>
      </c>
      <c r="F41" s="14">
        <v>9.1490471267417498E-7</v>
      </c>
      <c r="G41" s="16">
        <v>1.8217582638768201E-2</v>
      </c>
      <c r="H41" s="14">
        <v>9.1490471267417498E-7</v>
      </c>
      <c r="I41" s="16">
        <v>4.80782426510279E-3</v>
      </c>
      <c r="J41" s="14">
        <v>1.82980942534835E-6</v>
      </c>
      <c r="K41" s="15">
        <v>3.4766379081618701E-4</v>
      </c>
      <c r="L41" s="15">
        <v>2.9918299009158201E-2</v>
      </c>
      <c r="M41" s="15">
        <v>0</v>
      </c>
      <c r="N41" s="16">
        <v>1.16339283263648E-2</v>
      </c>
      <c r="O41" s="14">
        <v>0</v>
      </c>
      <c r="P41" s="16">
        <v>8.3256328853349896E-5</v>
      </c>
      <c r="Q41" s="14">
        <v>0</v>
      </c>
      <c r="R41" s="15">
        <v>3.5203703534276903E-2</v>
      </c>
      <c r="S41" s="15">
        <v>0</v>
      </c>
      <c r="T41" s="16">
        <v>0</v>
      </c>
      <c r="U41" s="15">
        <v>4.6372701308632228E-3</v>
      </c>
      <c r="V41" s="16">
        <v>2.3761372150543157E-2</v>
      </c>
      <c r="W41" s="14">
        <v>1.4482941601632201E-3</v>
      </c>
      <c r="X41" s="15">
        <v>0</v>
      </c>
      <c r="Y41" s="16">
        <v>4.9359109248771696E-3</v>
      </c>
      <c r="Z41" s="14">
        <v>0.80283803441871504</v>
      </c>
      <c r="AA41" s="15">
        <v>4.9798263510855298E-2</v>
      </c>
      <c r="AB41" s="16">
        <v>0</v>
      </c>
      <c r="AC41" s="26">
        <f t="shared" si="0"/>
        <v>6.5012213977914221E-2</v>
      </c>
    </row>
    <row r="42" spans="1:29" x14ac:dyDescent="0.3">
      <c r="A42" s="17" t="s">
        <v>51</v>
      </c>
      <c r="B42">
        <v>2020</v>
      </c>
      <c r="C42" s="18">
        <v>1839.261</v>
      </c>
      <c r="D42" s="14">
        <v>2.0449517496429301E-2</v>
      </c>
      <c r="E42" s="16">
        <v>1.01399420745615E-2</v>
      </c>
      <c r="F42" s="14">
        <v>0</v>
      </c>
      <c r="G42" s="16">
        <v>7.1822324292202097E-4</v>
      </c>
      <c r="H42" s="14">
        <v>0</v>
      </c>
      <c r="I42" s="16">
        <v>1.5223505527491699E-4</v>
      </c>
      <c r="J42" s="14">
        <v>0</v>
      </c>
      <c r="K42" s="15">
        <v>4.4436325241496398E-3</v>
      </c>
      <c r="L42" s="15">
        <v>1.9894403241301799E-2</v>
      </c>
      <c r="M42" s="15">
        <v>0</v>
      </c>
      <c r="N42" s="16">
        <v>2.0706142303892699E-2</v>
      </c>
      <c r="O42" s="14">
        <v>0</v>
      </c>
      <c r="P42" s="16">
        <v>1.6310898779455401E-6</v>
      </c>
      <c r="Q42" s="14">
        <v>0</v>
      </c>
      <c r="R42" s="15">
        <v>9.5322523557015607E-2</v>
      </c>
      <c r="S42" s="15">
        <v>0</v>
      </c>
      <c r="T42" s="16">
        <v>0</v>
      </c>
      <c r="U42" s="15">
        <v>1.2609740658663876E-2</v>
      </c>
      <c r="V42" s="16">
        <v>0.11087518073095931</v>
      </c>
      <c r="W42" s="14">
        <v>0</v>
      </c>
      <c r="X42" s="15">
        <v>0</v>
      </c>
      <c r="Y42" s="16">
        <v>1.6310898779455401E-6</v>
      </c>
      <c r="Z42" s="14">
        <v>0.68680845187279005</v>
      </c>
      <c r="AA42" s="15">
        <v>1.7876745062283199E-2</v>
      </c>
      <c r="AB42" s="16">
        <v>0</v>
      </c>
      <c r="AC42" s="26">
        <f t="shared" si="0"/>
        <v>4.5916267457419023E-2</v>
      </c>
    </row>
    <row r="43" spans="1:29" x14ac:dyDescent="0.3">
      <c r="A43" s="17" t="s">
        <v>51</v>
      </c>
      <c r="B43">
        <v>2021</v>
      </c>
      <c r="C43" s="18">
        <v>773.82100000000003</v>
      </c>
      <c r="D43" s="14">
        <v>1.7907242114132301E-2</v>
      </c>
      <c r="E43" s="16">
        <v>2.3360699696699901E-2</v>
      </c>
      <c r="F43" s="14">
        <v>0</v>
      </c>
      <c r="G43" s="16">
        <v>3.6158232976360202E-3</v>
      </c>
      <c r="H43" s="14">
        <v>2.61042282388304E-4</v>
      </c>
      <c r="I43" s="16">
        <v>9.1132186901104993E-3</v>
      </c>
      <c r="J43" s="14">
        <v>7.1075868967112601E-5</v>
      </c>
      <c r="K43" s="15">
        <v>1.7962810520779401E-4</v>
      </c>
      <c r="L43" s="15">
        <v>1.7962810520779401E-4</v>
      </c>
      <c r="M43" s="15">
        <v>0</v>
      </c>
      <c r="N43" s="16">
        <v>1.8729137617097501E-2</v>
      </c>
      <c r="O43" s="14">
        <v>0</v>
      </c>
      <c r="P43" s="16">
        <v>0</v>
      </c>
      <c r="Q43" s="14">
        <v>0</v>
      </c>
      <c r="R43" s="15">
        <v>8.01037966144625E-2</v>
      </c>
      <c r="S43" s="15">
        <v>0</v>
      </c>
      <c r="T43" s="16">
        <v>0</v>
      </c>
      <c r="U43" s="15">
        <v>1.3962599147393675E-2</v>
      </c>
      <c r="V43" s="16">
        <v>5.5000378078605631E-2</v>
      </c>
      <c r="W43" s="14">
        <v>0</v>
      </c>
      <c r="X43" s="15">
        <v>0</v>
      </c>
      <c r="Y43" s="16">
        <v>0</v>
      </c>
      <c r="Z43" s="14">
        <v>0.76485130282067804</v>
      </c>
      <c r="AA43" s="15">
        <v>1.2664427561412801E-2</v>
      </c>
      <c r="AB43" s="16">
        <v>0</v>
      </c>
      <c r="AC43" s="26">
        <f t="shared" si="0"/>
        <v>3.2149553966615022E-2</v>
      </c>
    </row>
    <row r="44" spans="1:29" x14ac:dyDescent="0.3">
      <c r="A44" s="17" t="s">
        <v>51</v>
      </c>
      <c r="B44">
        <v>2022</v>
      </c>
      <c r="C44" s="18">
        <v>767.81899999999996</v>
      </c>
      <c r="D44" s="14">
        <v>4.6790975477293502E-2</v>
      </c>
      <c r="E44" s="16">
        <v>3.2084384470819301E-2</v>
      </c>
      <c r="F44" s="14">
        <v>0</v>
      </c>
      <c r="G44" s="16">
        <v>3.5197097232550899E-2</v>
      </c>
      <c r="H44" s="14">
        <v>4.5844137746005201E-4</v>
      </c>
      <c r="I44" s="16">
        <v>1.7439005807358199E-3</v>
      </c>
      <c r="J44" s="14">
        <v>1.3154141796439001E-4</v>
      </c>
      <c r="K44" s="15">
        <v>6.6942860231382698E-4</v>
      </c>
      <c r="L44" s="15">
        <v>0</v>
      </c>
      <c r="M44" s="15">
        <v>0</v>
      </c>
      <c r="N44" s="16">
        <v>0</v>
      </c>
      <c r="O44" s="14">
        <v>0</v>
      </c>
      <c r="P44" s="16">
        <v>0</v>
      </c>
      <c r="Q44" s="14">
        <v>0</v>
      </c>
      <c r="R44" s="15">
        <v>4.9901083458471301E-2</v>
      </c>
      <c r="S44" s="15">
        <v>0</v>
      </c>
      <c r="T44" s="16">
        <v>0</v>
      </c>
      <c r="U44" s="15">
        <v>4.8775792722186946E-3</v>
      </c>
      <c r="V44" s="16">
        <v>7.5602478719389767E-3</v>
      </c>
      <c r="W44" s="14">
        <v>0</v>
      </c>
      <c r="X44" s="15">
        <v>0</v>
      </c>
      <c r="Y44" s="16">
        <v>0</v>
      </c>
      <c r="Z44" s="14">
        <v>0.82058532023823305</v>
      </c>
      <c r="AA44" s="15">
        <v>0</v>
      </c>
      <c r="AB44" s="16">
        <v>0</v>
      </c>
      <c r="AC44" s="26">
        <f t="shared" si="0"/>
        <v>3.8200409211024994E-2</v>
      </c>
    </row>
    <row r="45" spans="1:29" x14ac:dyDescent="0.3">
      <c r="A45" s="17" t="s">
        <v>51</v>
      </c>
      <c r="B45">
        <v>2023</v>
      </c>
      <c r="C45" s="18">
        <v>975.81700000000001</v>
      </c>
      <c r="D45" s="14">
        <v>2.32215671585963E-3</v>
      </c>
      <c r="E45" s="16">
        <v>2.2422236956314602E-3</v>
      </c>
      <c r="F45" s="14">
        <v>0</v>
      </c>
      <c r="G45" s="16">
        <v>3.8505170539148197E-2</v>
      </c>
      <c r="H45" s="14">
        <v>6.7635632500766003E-3</v>
      </c>
      <c r="I45" s="16">
        <v>2.4581453284786E-2</v>
      </c>
      <c r="J45" s="14">
        <v>8.1982584849413404E-6</v>
      </c>
      <c r="K45" s="15">
        <v>4.2303013782297302E-3</v>
      </c>
      <c r="L45" s="15">
        <v>5.6865170416174303E-3</v>
      </c>
      <c r="M45" s="15">
        <v>0</v>
      </c>
      <c r="N45" s="16">
        <v>0</v>
      </c>
      <c r="O45" s="14">
        <v>0</v>
      </c>
      <c r="P45" s="16">
        <v>0</v>
      </c>
      <c r="Q45" s="14">
        <v>0</v>
      </c>
      <c r="R45" s="15">
        <v>5.3625833532311901E-2</v>
      </c>
      <c r="S45" s="15">
        <v>0</v>
      </c>
      <c r="T45" s="16">
        <v>0</v>
      </c>
      <c r="U45" s="15">
        <v>6.8137775832968709E-3</v>
      </c>
      <c r="V45" s="16">
        <v>0</v>
      </c>
      <c r="W45" s="14">
        <v>0</v>
      </c>
      <c r="X45" s="15">
        <v>0</v>
      </c>
      <c r="Y45" s="16">
        <v>0</v>
      </c>
      <c r="Z45" s="14">
        <v>0.85040432786065401</v>
      </c>
      <c r="AA45" s="15">
        <v>4.8164768599030404E-3</v>
      </c>
      <c r="AB45" s="16">
        <v>0</v>
      </c>
      <c r="AC45" s="26">
        <f t="shared" si="0"/>
        <v>7.9775203752342899E-2</v>
      </c>
    </row>
    <row r="46" spans="1:29" ht="15" thickBot="1" x14ac:dyDescent="0.35">
      <c r="A46" s="4" t="s">
        <v>51</v>
      </c>
      <c r="B46" s="5">
        <v>2024</v>
      </c>
      <c r="C46" s="19">
        <v>1080.2059999999999</v>
      </c>
      <c r="D46" s="20">
        <v>2.5126688798247698E-2</v>
      </c>
      <c r="E46" s="21">
        <v>4.6287467390479197E-6</v>
      </c>
      <c r="F46" s="20">
        <v>0</v>
      </c>
      <c r="G46" s="21">
        <v>1.6919920829915801E-2</v>
      </c>
      <c r="H46" s="20">
        <v>8.1401140152896796E-3</v>
      </c>
      <c r="I46" s="21">
        <v>3.1943906995517503E-2</v>
      </c>
      <c r="J46" s="20">
        <v>2.2145775898300898E-2</v>
      </c>
      <c r="K46" s="22">
        <v>4.0666317350579399E-2</v>
      </c>
      <c r="L46" s="22">
        <v>4.5452441478754997E-2</v>
      </c>
      <c r="M46" s="22">
        <v>0</v>
      </c>
      <c r="N46" s="21">
        <v>0</v>
      </c>
      <c r="O46" s="20">
        <v>0</v>
      </c>
      <c r="P46" s="21">
        <v>0</v>
      </c>
      <c r="Q46" s="20">
        <v>0</v>
      </c>
      <c r="R46" s="22">
        <v>5.97099071843704E-2</v>
      </c>
      <c r="S46" s="22">
        <v>0</v>
      </c>
      <c r="T46" s="21">
        <v>0</v>
      </c>
      <c r="U46" s="22">
        <v>7.6232012340731589E-3</v>
      </c>
      <c r="V46" s="21">
        <v>2.0256666124560268E-2</v>
      </c>
      <c r="W46" s="20">
        <v>0</v>
      </c>
      <c r="X46" s="22">
        <v>0</v>
      </c>
      <c r="Y46" s="21">
        <v>0</v>
      </c>
      <c r="Z46" s="20">
        <v>0.70435639128092198</v>
      </c>
      <c r="AA46" s="22">
        <v>1.7654040062728801E-2</v>
      </c>
      <c r="AB46" s="21">
        <v>0</v>
      </c>
      <c r="AC46" s="27">
        <f t="shared" si="0"/>
        <v>0.16526847656835827</v>
      </c>
    </row>
    <row r="48" spans="1:29" ht="15" thickBot="1" x14ac:dyDescent="0.35">
      <c r="A48" t="s">
        <v>77</v>
      </c>
    </row>
    <row r="49" spans="1:29" ht="15" thickBot="1" x14ac:dyDescent="0.35">
      <c r="A49" s="1"/>
      <c r="B49" s="2"/>
      <c r="C49" s="3"/>
      <c r="D49" s="88" t="s">
        <v>2</v>
      </c>
      <c r="E49" s="89"/>
      <c r="F49" s="89"/>
      <c r="G49" s="89"/>
      <c r="H49" s="89"/>
      <c r="I49" s="90"/>
      <c r="J49" s="88" t="s">
        <v>3</v>
      </c>
      <c r="K49" s="89"/>
      <c r="L49" s="89"/>
      <c r="M49" s="89"/>
      <c r="N49" s="89"/>
      <c r="O49" s="89"/>
      <c r="P49" s="89"/>
      <c r="Q49" s="89"/>
      <c r="R49" s="89"/>
      <c r="S49" s="89"/>
      <c r="T49" s="89"/>
      <c r="U49" s="89"/>
      <c r="V49" s="89"/>
      <c r="W49" s="89"/>
      <c r="X49" s="89"/>
      <c r="Y49" s="90"/>
      <c r="Z49" s="91" t="s">
        <v>4</v>
      </c>
      <c r="AA49" s="92"/>
      <c r="AB49" s="93"/>
      <c r="AC49" s="97" t="s">
        <v>38</v>
      </c>
    </row>
    <row r="50" spans="1:29" ht="15" thickBot="1" x14ac:dyDescent="0.35">
      <c r="A50" s="4"/>
      <c r="B50" s="5"/>
      <c r="C50" s="6"/>
      <c r="D50" s="85" t="s">
        <v>5</v>
      </c>
      <c r="E50" s="86"/>
      <c r="F50" s="85" t="s">
        <v>6</v>
      </c>
      <c r="G50" s="86"/>
      <c r="H50" s="85" t="s">
        <v>7</v>
      </c>
      <c r="I50" s="86"/>
      <c r="J50" s="85" t="s">
        <v>8</v>
      </c>
      <c r="K50" s="87"/>
      <c r="L50" s="87"/>
      <c r="M50" s="87"/>
      <c r="N50" s="86"/>
      <c r="O50" s="85" t="s">
        <v>9</v>
      </c>
      <c r="P50" s="86"/>
      <c r="Q50" s="85" t="s">
        <v>10</v>
      </c>
      <c r="R50" s="87"/>
      <c r="S50" s="87"/>
      <c r="T50" s="87"/>
      <c r="U50" s="87"/>
      <c r="V50" s="86"/>
      <c r="W50" s="85" t="s">
        <v>11</v>
      </c>
      <c r="X50" s="87"/>
      <c r="Y50" s="86"/>
      <c r="Z50" s="94"/>
      <c r="AA50" s="95"/>
      <c r="AB50" s="96"/>
      <c r="AC50" s="98"/>
    </row>
    <row r="51" spans="1:29" ht="43.8" thickBot="1" x14ac:dyDescent="0.35">
      <c r="A51" s="7" t="s">
        <v>12</v>
      </c>
      <c r="B51" s="8" t="s">
        <v>27</v>
      </c>
      <c r="C51" s="9" t="s">
        <v>13</v>
      </c>
      <c r="D51" s="7" t="s">
        <v>14</v>
      </c>
      <c r="E51" s="9" t="s">
        <v>15</v>
      </c>
      <c r="F51" s="7" t="s">
        <v>16</v>
      </c>
      <c r="G51" s="9" t="s">
        <v>17</v>
      </c>
      <c r="H51" s="7" t="s">
        <v>18</v>
      </c>
      <c r="I51" s="9" t="s">
        <v>19</v>
      </c>
      <c r="J51" s="7" t="s">
        <v>20</v>
      </c>
      <c r="K51" s="8" t="s">
        <v>21</v>
      </c>
      <c r="L51" s="8" t="s">
        <v>22</v>
      </c>
      <c r="M51" s="8" t="s">
        <v>7</v>
      </c>
      <c r="N51" s="9" t="s">
        <v>6</v>
      </c>
      <c r="O51" s="31" t="s">
        <v>40</v>
      </c>
      <c r="P51" s="31" t="s">
        <v>42</v>
      </c>
      <c r="Q51" s="7" t="s">
        <v>23</v>
      </c>
      <c r="R51" s="8" t="s">
        <v>60</v>
      </c>
      <c r="S51" s="8" t="s">
        <v>24</v>
      </c>
      <c r="T51" s="8" t="s">
        <v>25</v>
      </c>
      <c r="U51" s="7" t="s">
        <v>44</v>
      </c>
      <c r="V51" s="31" t="s">
        <v>62</v>
      </c>
      <c r="W51" s="7" t="s">
        <v>36</v>
      </c>
      <c r="X51" s="8" t="s">
        <v>35</v>
      </c>
      <c r="Y51" s="9" t="s">
        <v>43</v>
      </c>
      <c r="Z51" s="7" t="s">
        <v>4</v>
      </c>
      <c r="AA51" s="8" t="s">
        <v>28</v>
      </c>
      <c r="AB51" s="9" t="s">
        <v>29</v>
      </c>
      <c r="AC51" s="30" t="s">
        <v>37</v>
      </c>
    </row>
    <row r="52" spans="1:29" x14ac:dyDescent="0.3">
      <c r="A52" s="17" t="s">
        <v>51</v>
      </c>
      <c r="B52">
        <v>1989</v>
      </c>
      <c r="C52" s="18">
        <v>856.53300000000002</v>
      </c>
      <c r="D52" s="14">
        <v>4.4617078384603999E-2</v>
      </c>
      <c r="E52" s="16">
        <v>1.75684999877413E-2</v>
      </c>
      <c r="F52" s="14">
        <v>5.7314779465589799E-2</v>
      </c>
      <c r="G52" s="16">
        <v>1.8946146850150499E-2</v>
      </c>
      <c r="H52" s="14">
        <v>1.05985408618232E-2</v>
      </c>
      <c r="I52" s="16">
        <v>0</v>
      </c>
      <c r="J52" s="14">
        <v>1.1546548702735301E-2</v>
      </c>
      <c r="K52" s="15">
        <v>1.8261993408310001E-2</v>
      </c>
      <c r="L52" s="15">
        <v>8.4246608128349994E-3</v>
      </c>
      <c r="M52" s="15">
        <v>0</v>
      </c>
      <c r="N52" s="16">
        <v>3.5141669964846699E-4</v>
      </c>
      <c r="O52" s="14">
        <v>7.4603080091485098E-3</v>
      </c>
      <c r="P52" s="16">
        <v>1.7178555875839E-2</v>
      </c>
      <c r="Q52" s="14">
        <v>1.1233659415340699E-2</v>
      </c>
      <c r="R52" s="15">
        <v>0</v>
      </c>
      <c r="S52" s="15">
        <v>0</v>
      </c>
      <c r="T52" s="16">
        <v>0</v>
      </c>
      <c r="U52" s="15">
        <v>1.6671572738457697E-2</v>
      </c>
      <c r="V52" s="16">
        <v>2.0270646753956013E-3</v>
      </c>
      <c r="W52" s="14">
        <v>0</v>
      </c>
      <c r="X52" s="15">
        <v>3.0101583943642599E-2</v>
      </c>
      <c r="Y52" s="16">
        <v>5.4043451916038297E-3</v>
      </c>
      <c r="Z52" s="14">
        <v>0.72229324497713498</v>
      </c>
      <c r="AA52" s="15">
        <v>0</v>
      </c>
      <c r="AB52" s="16">
        <v>0</v>
      </c>
      <c r="AC52" s="26">
        <f t="shared" ref="AC52:AC68" si="1">SUM(F52:P52)</f>
        <v>0.1500829506860798</v>
      </c>
    </row>
    <row r="53" spans="1:29" x14ac:dyDescent="0.3">
      <c r="A53" s="17" t="s">
        <v>51</v>
      </c>
      <c r="B53">
        <v>1990</v>
      </c>
      <c r="C53" s="18">
        <v>416.73</v>
      </c>
      <c r="D53" s="14">
        <v>3.83413721114391E-2</v>
      </c>
      <c r="E53" s="16">
        <v>2.0792839488397798E-2</v>
      </c>
      <c r="F53" s="14">
        <v>0.10516881434022</v>
      </c>
      <c r="G53" s="16">
        <v>1.7531735176253199E-2</v>
      </c>
      <c r="H53" s="14">
        <v>8.2979387133155794E-2</v>
      </c>
      <c r="I53" s="16">
        <v>0</v>
      </c>
      <c r="J53" s="14">
        <v>1.5808797062846401E-2</v>
      </c>
      <c r="K53" s="15">
        <v>8.8786504451323405E-5</v>
      </c>
      <c r="L53" s="15">
        <v>2.5412137355121999E-2</v>
      </c>
      <c r="M53" s="15">
        <v>0</v>
      </c>
      <c r="N53" s="16">
        <v>7.0309312984426404E-4</v>
      </c>
      <c r="O53" s="14">
        <v>8.8810500803877795E-3</v>
      </c>
      <c r="P53" s="16">
        <v>2.00537518297219E-2</v>
      </c>
      <c r="Q53" s="14">
        <v>0</v>
      </c>
      <c r="R53" s="15">
        <v>1.42634319583423E-2</v>
      </c>
      <c r="S53" s="15">
        <v>0</v>
      </c>
      <c r="T53" s="16">
        <v>0</v>
      </c>
      <c r="U53" s="15">
        <v>1.2327732138203366E-2</v>
      </c>
      <c r="V53" s="16">
        <v>1.9760190497556E-2</v>
      </c>
      <c r="W53" s="14">
        <v>0</v>
      </c>
      <c r="X53" s="15">
        <v>0</v>
      </c>
      <c r="Y53" s="16">
        <v>9.0082307489261597E-3</v>
      </c>
      <c r="Z53" s="14">
        <v>0.60887865044513201</v>
      </c>
      <c r="AA53" s="15">
        <v>0</v>
      </c>
      <c r="AB53" s="16">
        <v>0</v>
      </c>
      <c r="AC53" s="26">
        <f t="shared" si="1"/>
        <v>0.27662755261200267</v>
      </c>
    </row>
    <row r="54" spans="1:29" x14ac:dyDescent="0.3">
      <c r="A54" s="17" t="s">
        <v>51</v>
      </c>
      <c r="B54">
        <v>1991</v>
      </c>
      <c r="C54" s="18">
        <v>869.48099999999999</v>
      </c>
      <c r="D54" s="14">
        <v>5.9878249208435798E-2</v>
      </c>
      <c r="E54" s="16">
        <v>5.1755012472957998E-5</v>
      </c>
      <c r="F54" s="14">
        <v>4.2036571241924801E-2</v>
      </c>
      <c r="G54" s="16">
        <v>4.33361971106902E-3</v>
      </c>
      <c r="H54" s="14">
        <v>3.0936846233557701E-2</v>
      </c>
      <c r="I54" s="16">
        <v>4.0943965423051199E-4</v>
      </c>
      <c r="J54" s="14">
        <v>3.5549943011980701E-3</v>
      </c>
      <c r="K54" s="15">
        <v>5.5170843296173198E-3</v>
      </c>
      <c r="L54" s="15">
        <v>3.0972499686594601E-2</v>
      </c>
      <c r="M54" s="15">
        <v>0</v>
      </c>
      <c r="N54" s="16">
        <v>5.4250754185542899E-3</v>
      </c>
      <c r="O54" s="14">
        <v>4.2094076811339197E-4</v>
      </c>
      <c r="P54" s="16">
        <v>3.5219861043542099E-2</v>
      </c>
      <c r="Q54" s="14">
        <v>6.3195720037765692E-3</v>
      </c>
      <c r="R54" s="15">
        <v>0.1079286178465992</v>
      </c>
      <c r="S54" s="15">
        <v>0</v>
      </c>
      <c r="T54" s="16">
        <v>1.4139120241912558E-3</v>
      </c>
      <c r="U54" s="15">
        <v>6.7156881121428563E-2</v>
      </c>
      <c r="V54" s="16">
        <v>5.5125261904123445E-2</v>
      </c>
      <c r="W54" s="14">
        <v>2.39223168763895E-4</v>
      </c>
      <c r="X54" s="15">
        <v>0</v>
      </c>
      <c r="Y54" s="16">
        <v>1.24798586743126E-2</v>
      </c>
      <c r="Z54" s="14">
        <v>0.53057973664749403</v>
      </c>
      <c r="AA54" s="15">
        <v>0</v>
      </c>
      <c r="AB54" s="16">
        <v>0</v>
      </c>
      <c r="AC54" s="26">
        <f t="shared" si="1"/>
        <v>0.15882693238840181</v>
      </c>
    </row>
    <row r="55" spans="1:29" x14ac:dyDescent="0.3">
      <c r="A55" s="17" t="s">
        <v>51</v>
      </c>
      <c r="B55">
        <v>1992</v>
      </c>
      <c r="C55" s="18">
        <v>745.04600000000005</v>
      </c>
      <c r="D55" s="14">
        <v>9.1248057166939997E-2</v>
      </c>
      <c r="E55" s="16">
        <v>2.5018589456221501E-3</v>
      </c>
      <c r="F55" s="14">
        <v>8.9766269465241105E-2</v>
      </c>
      <c r="G55" s="16">
        <v>2.24080123911812E-2</v>
      </c>
      <c r="H55" s="14">
        <v>4.1515557428668803E-2</v>
      </c>
      <c r="I55" s="16">
        <v>2.6843980103241899E-6</v>
      </c>
      <c r="J55" s="14">
        <v>8.7242935335536293E-5</v>
      </c>
      <c r="K55" s="15">
        <v>6.0506331152707302E-3</v>
      </c>
      <c r="L55" s="15">
        <v>2.5931284779731702E-2</v>
      </c>
      <c r="M55" s="15">
        <v>0</v>
      </c>
      <c r="N55" s="16">
        <v>5.9432571948577701E-3</v>
      </c>
      <c r="O55" s="14">
        <v>1.4079667564150401E-2</v>
      </c>
      <c r="P55" s="16">
        <v>7.0775495741202593E-2</v>
      </c>
      <c r="Q55" s="14">
        <v>1.0833209732631974E-2</v>
      </c>
      <c r="R55" s="15">
        <v>8.2540890658484828E-2</v>
      </c>
      <c r="S55" s="15">
        <v>0</v>
      </c>
      <c r="T55" s="16">
        <v>0</v>
      </c>
      <c r="U55" s="15">
        <v>1.0251604151511008E-2</v>
      </c>
      <c r="V55" s="16">
        <v>1.6491711026343794E-2</v>
      </c>
      <c r="W55" s="14">
        <v>3.9594870652281901E-4</v>
      </c>
      <c r="X55" s="15">
        <v>0</v>
      </c>
      <c r="Y55" s="16">
        <v>1.8353229196586499E-2</v>
      </c>
      <c r="Z55" s="14">
        <v>0.490823385401707</v>
      </c>
      <c r="AA55" s="15">
        <v>0</v>
      </c>
      <c r="AB55" s="16">
        <v>0</v>
      </c>
      <c r="AC55" s="26">
        <f t="shared" si="1"/>
        <v>0.27656010501365019</v>
      </c>
    </row>
    <row r="56" spans="1:29" x14ac:dyDescent="0.3">
      <c r="A56" s="17" t="s">
        <v>51</v>
      </c>
      <c r="B56">
        <v>1993</v>
      </c>
      <c r="C56" s="18">
        <v>496.57100000000003</v>
      </c>
      <c r="D56" s="14">
        <v>6.8697124882443797E-2</v>
      </c>
      <c r="E56" s="16">
        <v>2.3219237530987501E-3</v>
      </c>
      <c r="F56" s="14">
        <v>0.209826993521571</v>
      </c>
      <c r="G56" s="16">
        <v>4.3599001955410199E-3</v>
      </c>
      <c r="H56" s="14">
        <v>0.102466716743426</v>
      </c>
      <c r="I56" s="16">
        <v>1.9332582853207301E-2</v>
      </c>
      <c r="J56" s="14">
        <v>3.2492835868385403E-2</v>
      </c>
      <c r="K56" s="15">
        <v>4.7864253047399101E-2</v>
      </c>
      <c r="L56" s="15">
        <v>3.4637544278663099E-2</v>
      </c>
      <c r="M56" s="15">
        <v>0</v>
      </c>
      <c r="N56" s="16">
        <v>0</v>
      </c>
      <c r="O56" s="14">
        <v>2.00776928173413E-2</v>
      </c>
      <c r="P56" s="16">
        <v>5.2318802346492201E-2</v>
      </c>
      <c r="Q56" s="14">
        <v>0</v>
      </c>
      <c r="R56" s="15">
        <v>7.6357660838027197E-2</v>
      </c>
      <c r="S56" s="15">
        <v>0</v>
      </c>
      <c r="T56" s="16">
        <v>0</v>
      </c>
      <c r="U56" s="15">
        <v>5.389336598509939E-2</v>
      </c>
      <c r="V56" s="16">
        <v>1.6529594679135912E-2</v>
      </c>
      <c r="W56" s="14">
        <v>9.5414351623433497E-3</v>
      </c>
      <c r="X56" s="15">
        <v>0</v>
      </c>
      <c r="Y56" s="16">
        <v>3.6784266499654598E-2</v>
      </c>
      <c r="Z56" s="14">
        <v>0.21249730652817</v>
      </c>
      <c r="AA56" s="15">
        <v>0</v>
      </c>
      <c r="AB56" s="16">
        <v>0</v>
      </c>
      <c r="AC56" s="26">
        <f t="shared" si="1"/>
        <v>0.52337732167202644</v>
      </c>
    </row>
    <row r="57" spans="1:29" x14ac:dyDescent="0.3">
      <c r="A57" s="17" t="s">
        <v>51</v>
      </c>
      <c r="B57">
        <v>1994</v>
      </c>
      <c r="C57" s="18">
        <v>772.82899999999995</v>
      </c>
      <c r="D57" s="14">
        <v>4.7503393376801303E-2</v>
      </c>
      <c r="E57" s="16">
        <v>1.8751884310759599E-2</v>
      </c>
      <c r="F57" s="14">
        <v>5.3804916740960801E-2</v>
      </c>
      <c r="G57" s="16">
        <v>2.27385359503849E-2</v>
      </c>
      <c r="H57" s="14">
        <v>4.5967477928493899E-2</v>
      </c>
      <c r="I57" s="16">
        <v>0</v>
      </c>
      <c r="J57" s="14">
        <v>2.2443515965368799E-2</v>
      </c>
      <c r="K57" s="15">
        <v>2.1757723894936701E-2</v>
      </c>
      <c r="L57" s="15">
        <v>1.96692929483754E-2</v>
      </c>
      <c r="M57" s="15">
        <v>0</v>
      </c>
      <c r="N57" s="16">
        <v>1.8891630619451399E-4</v>
      </c>
      <c r="O57" s="14">
        <v>2.6008340784313203E-4</v>
      </c>
      <c r="P57" s="16">
        <v>5.0452299279659503E-2</v>
      </c>
      <c r="Q57" s="14">
        <v>7.7323664820199414E-3</v>
      </c>
      <c r="R57" s="15">
        <v>4.6182734188816722E-2</v>
      </c>
      <c r="S57" s="15">
        <v>0</v>
      </c>
      <c r="T57" s="16">
        <v>1.4800773051451409E-3</v>
      </c>
      <c r="U57" s="15">
        <v>1.5433718196392731E-2</v>
      </c>
      <c r="V57" s="16">
        <v>2.8143839064010273E-2</v>
      </c>
      <c r="W57" s="14">
        <v>3.8818419081064498E-6</v>
      </c>
      <c r="X57" s="15">
        <v>0</v>
      </c>
      <c r="Y57" s="16">
        <v>2.5878946054042999E-6</v>
      </c>
      <c r="Z57" s="14">
        <v>0.59748275491732294</v>
      </c>
      <c r="AA57" s="15">
        <v>0</v>
      </c>
      <c r="AB57" s="16">
        <v>0</v>
      </c>
      <c r="AC57" s="26">
        <f t="shared" si="1"/>
        <v>0.23728276242221766</v>
      </c>
    </row>
    <row r="58" spans="1:29" x14ac:dyDescent="0.3">
      <c r="A58" s="17" t="s">
        <v>51</v>
      </c>
      <c r="B58">
        <v>1995</v>
      </c>
      <c r="C58" s="18">
        <v>754.77599999999995</v>
      </c>
      <c r="D58" s="14">
        <v>5.0138054204161203E-2</v>
      </c>
      <c r="E58" s="16">
        <v>6.01502962468335E-3</v>
      </c>
      <c r="F58" s="14">
        <v>5.6726763967057801E-2</v>
      </c>
      <c r="G58" s="16">
        <v>4.9417310566313703E-2</v>
      </c>
      <c r="H58" s="14">
        <v>7.1214506025628801E-2</v>
      </c>
      <c r="I58" s="16">
        <v>3.0472617041347398E-4</v>
      </c>
      <c r="J58" s="14">
        <v>1.83882370398635E-2</v>
      </c>
      <c r="K58" s="15">
        <v>1.2034033938545999E-2</v>
      </c>
      <c r="L58" s="15">
        <v>2.6785430379344301E-2</v>
      </c>
      <c r="M58" s="15">
        <v>0</v>
      </c>
      <c r="N58" s="16">
        <v>4.4781498086849601E-4</v>
      </c>
      <c r="O58" s="14">
        <v>4.0014520864468398E-2</v>
      </c>
      <c r="P58" s="16">
        <v>4.36950830445059E-3</v>
      </c>
      <c r="Q58" s="14">
        <v>6.1326343035814903E-3</v>
      </c>
      <c r="R58" s="15">
        <v>9.6190439032083491E-2</v>
      </c>
      <c r="S58" s="15">
        <v>0</v>
      </c>
      <c r="T58" s="16">
        <v>0</v>
      </c>
      <c r="U58" s="15">
        <v>4.0655955884972526E-2</v>
      </c>
      <c r="V58" s="16">
        <v>6.749931137312748E-2</v>
      </c>
      <c r="W58" s="14">
        <v>7.4194198013715303E-5</v>
      </c>
      <c r="X58" s="15">
        <v>0</v>
      </c>
      <c r="Y58" s="16">
        <v>1.2798499157365901E-3</v>
      </c>
      <c r="Z58" s="14">
        <v>0.45231167922668403</v>
      </c>
      <c r="AA58" s="15">
        <v>0</v>
      </c>
      <c r="AB58" s="16">
        <v>0</v>
      </c>
      <c r="AC58" s="26">
        <f t="shared" si="1"/>
        <v>0.27970285223695507</v>
      </c>
    </row>
    <row r="59" spans="1:29" x14ac:dyDescent="0.3">
      <c r="A59" s="17" t="s">
        <v>51</v>
      </c>
      <c r="B59">
        <v>1996</v>
      </c>
      <c r="C59" s="18">
        <v>736.44899999999996</v>
      </c>
      <c r="D59" s="14">
        <v>5.0091723934719203E-2</v>
      </c>
      <c r="E59" s="16">
        <v>1.31848912823563E-3</v>
      </c>
      <c r="F59" s="14">
        <v>8.1485615432976399E-3</v>
      </c>
      <c r="G59" s="16">
        <v>3.3946681983409602E-5</v>
      </c>
      <c r="H59" s="14">
        <v>3.66216805237023E-3</v>
      </c>
      <c r="I59" s="16">
        <v>4.9059744802423498E-3</v>
      </c>
      <c r="J59" s="14">
        <v>2.52033745717626E-2</v>
      </c>
      <c r="K59" s="15">
        <v>7.9774702661012508E-3</v>
      </c>
      <c r="L59" s="15">
        <v>1.5673862005379902E-2</v>
      </c>
      <c r="M59" s="15">
        <v>1.0604943451617201E-3</v>
      </c>
      <c r="N59" s="16">
        <v>8.6740561804008205E-3</v>
      </c>
      <c r="O59" s="14">
        <v>9.5879008593941998E-3</v>
      </c>
      <c r="P59" s="16">
        <v>5.2413676982384402E-4</v>
      </c>
      <c r="Q59" s="14">
        <v>2.2325094975061757E-2</v>
      </c>
      <c r="R59" s="15">
        <v>8.3058984574235231E-2</v>
      </c>
      <c r="S59" s="15">
        <v>0</v>
      </c>
      <c r="T59" s="16">
        <v>0</v>
      </c>
      <c r="U59" s="15">
        <v>2.7320247226895567E-2</v>
      </c>
      <c r="V59" s="16">
        <v>2.1550754023700231E-2</v>
      </c>
      <c r="W59" s="14">
        <v>1.90101419107094E-5</v>
      </c>
      <c r="X59" s="15">
        <v>0</v>
      </c>
      <c r="Y59" s="16">
        <v>4.9847307824438603E-3</v>
      </c>
      <c r="Z59" s="14">
        <v>0.70387901945688003</v>
      </c>
      <c r="AA59" s="15">
        <v>0</v>
      </c>
      <c r="AB59" s="16">
        <v>0</v>
      </c>
      <c r="AC59" s="26">
        <f t="shared" si="1"/>
        <v>8.5451945755917955E-2</v>
      </c>
    </row>
    <row r="60" spans="1:29" x14ac:dyDescent="0.3">
      <c r="A60" s="17" t="s">
        <v>51</v>
      </c>
      <c r="B60">
        <v>1997</v>
      </c>
      <c r="C60" s="18">
        <v>895.37800000000004</v>
      </c>
      <c r="D60" s="14">
        <v>1.7047548633091301E-2</v>
      </c>
      <c r="E60" s="16">
        <v>5.4423941620187202E-3</v>
      </c>
      <c r="F60" s="14">
        <v>1.7344629865822001E-2</v>
      </c>
      <c r="G60" s="16">
        <v>3.1139920793229199E-2</v>
      </c>
      <c r="H60" s="14">
        <v>0</v>
      </c>
      <c r="I60" s="16">
        <v>1.50774309844557E-4</v>
      </c>
      <c r="J60" s="14">
        <v>1.1168467395893099E-6</v>
      </c>
      <c r="K60" s="15">
        <v>9.6216346615619307E-3</v>
      </c>
      <c r="L60" s="15">
        <v>1.46094722005678E-2</v>
      </c>
      <c r="M60" s="15">
        <v>0</v>
      </c>
      <c r="N60" s="16">
        <v>4.5343977627326098E-4</v>
      </c>
      <c r="O60" s="14">
        <v>3.00331256742962E-2</v>
      </c>
      <c r="P60" s="16">
        <v>4.5913569464516701E-3</v>
      </c>
      <c r="Q60" s="14">
        <v>0</v>
      </c>
      <c r="R60" s="15">
        <v>4.01874962306423E-2</v>
      </c>
      <c r="S60" s="15">
        <v>0</v>
      </c>
      <c r="T60" s="16">
        <v>0</v>
      </c>
      <c r="U60" s="15">
        <v>2.7141454435782125E-2</v>
      </c>
      <c r="V60" s="16">
        <v>2.5208781209704757E-3</v>
      </c>
      <c r="W60" s="14">
        <v>2.5676306543158298E-3</v>
      </c>
      <c r="X60" s="15">
        <v>0</v>
      </c>
      <c r="Y60" s="16">
        <v>6.9021128506619605E-4</v>
      </c>
      <c r="Z60" s="14">
        <v>0.79645691540332697</v>
      </c>
      <c r="AA60" s="15">
        <v>0</v>
      </c>
      <c r="AB60" s="16">
        <v>0</v>
      </c>
      <c r="AC60" s="26">
        <f t="shared" si="1"/>
        <v>0.10794547107478622</v>
      </c>
    </row>
    <row r="61" spans="1:29" x14ac:dyDescent="0.3">
      <c r="A61" s="17" t="s">
        <v>51</v>
      </c>
      <c r="B61">
        <v>1998</v>
      </c>
      <c r="C61" s="18">
        <v>724.81200000000001</v>
      </c>
      <c r="D61" s="14">
        <v>2.5002345435781999E-2</v>
      </c>
      <c r="E61" s="16">
        <v>1.8535841018084701E-2</v>
      </c>
      <c r="F61" s="14">
        <v>1.5907573274173199E-2</v>
      </c>
      <c r="G61" s="16">
        <v>4.9654255172375704E-3</v>
      </c>
      <c r="H61" s="14">
        <v>0</v>
      </c>
      <c r="I61" s="16">
        <v>1.37966810704017E-6</v>
      </c>
      <c r="J61" s="14">
        <v>2.9524897490659598E-3</v>
      </c>
      <c r="K61" s="15">
        <v>1.5430208109137301E-2</v>
      </c>
      <c r="L61" s="15">
        <v>2.3466774832646298E-2</v>
      </c>
      <c r="M61" s="15">
        <v>0</v>
      </c>
      <c r="N61" s="16">
        <v>5.9781019078050598E-3</v>
      </c>
      <c r="O61" s="14">
        <v>6.0650209985485901E-3</v>
      </c>
      <c r="P61" s="16">
        <v>0</v>
      </c>
      <c r="Q61" s="14">
        <v>1.244779769757407E-2</v>
      </c>
      <c r="R61" s="15">
        <v>1.6475564498416025E-2</v>
      </c>
      <c r="S61" s="15">
        <v>0</v>
      </c>
      <c r="T61" s="16">
        <v>0</v>
      </c>
      <c r="U61" s="15">
        <v>1.0832518652473724E-2</v>
      </c>
      <c r="V61" s="16">
        <v>9.5548369652588751E-3</v>
      </c>
      <c r="W61" s="14">
        <v>1.7935685391522199E-4</v>
      </c>
      <c r="X61" s="15">
        <v>2.7593362140803401E-6</v>
      </c>
      <c r="Y61" s="16">
        <v>1.25549797740655E-4</v>
      </c>
      <c r="Z61" s="14">
        <v>0.83207645568781996</v>
      </c>
      <c r="AA61" s="15">
        <v>0</v>
      </c>
      <c r="AB61" s="16">
        <v>0</v>
      </c>
      <c r="AC61" s="26">
        <f t="shared" si="1"/>
        <v>7.4766974056721017E-2</v>
      </c>
    </row>
    <row r="62" spans="1:29" x14ac:dyDescent="0.3">
      <c r="A62" s="17" t="s">
        <v>51</v>
      </c>
      <c r="B62">
        <v>1999</v>
      </c>
      <c r="C62" s="18">
        <v>754.34400000000005</v>
      </c>
      <c r="D62" s="14">
        <v>9.6123254112182199E-2</v>
      </c>
      <c r="E62" s="16">
        <v>4.2780216983233102E-2</v>
      </c>
      <c r="F62" s="14">
        <v>1.69683857762506E-4</v>
      </c>
      <c r="G62" s="16">
        <v>8.6471159046800902E-2</v>
      </c>
      <c r="H62" s="14">
        <v>0</v>
      </c>
      <c r="I62" s="16">
        <v>4.9751837358022301E-3</v>
      </c>
      <c r="J62" s="14">
        <v>1.22318199654269E-2</v>
      </c>
      <c r="K62" s="15">
        <v>2.2741613905592099E-2</v>
      </c>
      <c r="L62" s="15">
        <v>3.1247017275937799E-2</v>
      </c>
      <c r="M62" s="15">
        <v>0</v>
      </c>
      <c r="N62" s="16">
        <v>7.0577879588092397E-3</v>
      </c>
      <c r="O62" s="14">
        <v>0</v>
      </c>
      <c r="P62" s="16">
        <v>0</v>
      </c>
      <c r="Q62" s="14">
        <v>1.7232059529511304E-2</v>
      </c>
      <c r="R62" s="15">
        <v>1.9043167687779489E-2</v>
      </c>
      <c r="S62" s="15">
        <v>0</v>
      </c>
      <c r="T62" s="16">
        <v>0</v>
      </c>
      <c r="U62" s="15">
        <v>2.7458039955653773E-3</v>
      </c>
      <c r="V62" s="16">
        <v>2.4194159734510022E-2</v>
      </c>
      <c r="W62" s="14">
        <v>2.90583606418292E-3</v>
      </c>
      <c r="X62" s="15">
        <v>0</v>
      </c>
      <c r="Y62" s="16">
        <v>4.6238851240282897E-3</v>
      </c>
      <c r="Z62" s="14">
        <v>0.62545735102287503</v>
      </c>
      <c r="AA62" s="15">
        <v>0</v>
      </c>
      <c r="AB62" s="16">
        <v>0</v>
      </c>
      <c r="AC62" s="26">
        <f t="shared" si="1"/>
        <v>0.16489426574613167</v>
      </c>
    </row>
    <row r="63" spans="1:29" x14ac:dyDescent="0.3">
      <c r="A63" s="17" t="s">
        <v>51</v>
      </c>
      <c r="B63">
        <v>2000</v>
      </c>
      <c r="C63" s="18">
        <v>1044.5050000000001</v>
      </c>
      <c r="D63" s="14">
        <v>1.8516905136883002E-2</v>
      </c>
      <c r="E63" s="16">
        <v>4.4451678067601403E-3</v>
      </c>
      <c r="F63" s="14">
        <v>1.2142593860249601E-2</v>
      </c>
      <c r="G63" s="16">
        <v>3.6806908535622102E-2</v>
      </c>
      <c r="H63" s="14">
        <v>1.11344608211545E-3</v>
      </c>
      <c r="I63" s="16">
        <v>9.5739130018525492E-7</v>
      </c>
      <c r="J63" s="14">
        <v>4.8491869354383198E-3</v>
      </c>
      <c r="K63" s="15">
        <v>2.5266513803189099E-2</v>
      </c>
      <c r="L63" s="15">
        <v>2.5008018152138999E-2</v>
      </c>
      <c r="M63" s="15">
        <v>3.4370347676650702E-4</v>
      </c>
      <c r="N63" s="16">
        <v>1.67064781882327E-3</v>
      </c>
      <c r="O63" s="14">
        <v>0</v>
      </c>
      <c r="P63" s="16">
        <v>0</v>
      </c>
      <c r="Q63" s="14">
        <v>5.0560210163846549E-3</v>
      </c>
      <c r="R63" s="15">
        <v>5.3421439598930746E-2</v>
      </c>
      <c r="S63" s="15">
        <v>0</v>
      </c>
      <c r="T63" s="16">
        <v>0</v>
      </c>
      <c r="U63" s="15">
        <v>1.611643859632619E-2</v>
      </c>
      <c r="V63" s="16">
        <v>2.3576047318054311E-2</v>
      </c>
      <c r="W63" s="14">
        <v>5.6677564970967099E-4</v>
      </c>
      <c r="X63" s="15">
        <v>2.1751930340209E-3</v>
      </c>
      <c r="Y63" s="16">
        <v>0</v>
      </c>
      <c r="Z63" s="14">
        <v>0.76892403578728696</v>
      </c>
      <c r="AA63" s="15">
        <v>0</v>
      </c>
      <c r="AB63" s="16">
        <v>0</v>
      </c>
      <c r="AC63" s="26">
        <f t="shared" si="1"/>
        <v>0.10720197605564354</v>
      </c>
    </row>
    <row r="64" spans="1:29" x14ac:dyDescent="0.3">
      <c r="A64" s="17" t="s">
        <v>51</v>
      </c>
      <c r="B64">
        <v>2001</v>
      </c>
      <c r="C64" s="18">
        <v>1349.9549999999999</v>
      </c>
      <c r="D64" s="14">
        <v>2.4667488916297199E-2</v>
      </c>
      <c r="E64" s="16">
        <v>6.5779970443459197E-4</v>
      </c>
      <c r="F64" s="14">
        <v>1.4226400139263899E-2</v>
      </c>
      <c r="G64" s="16">
        <v>1.0959624580078599E-2</v>
      </c>
      <c r="H64" s="14">
        <v>5.0372049438685003E-5</v>
      </c>
      <c r="I64" s="16">
        <v>4.49052005437218E-3</v>
      </c>
      <c r="J64" s="14">
        <v>1.00225563074325E-2</v>
      </c>
      <c r="K64" s="15">
        <v>1.05996125796786E-2</v>
      </c>
      <c r="L64" s="15">
        <v>4.5488923704864202E-2</v>
      </c>
      <c r="M64" s="15">
        <v>1.4815308658436799E-6</v>
      </c>
      <c r="N64" s="16">
        <v>3.8104973869499399E-3</v>
      </c>
      <c r="O64" s="14">
        <v>0</v>
      </c>
      <c r="P64" s="16">
        <v>2.6371249412017402E-4</v>
      </c>
      <c r="Q64" s="14">
        <v>3.3259163133404785E-3</v>
      </c>
      <c r="R64" s="15">
        <v>0.16398114207008752</v>
      </c>
      <c r="S64" s="15">
        <v>0</v>
      </c>
      <c r="T64" s="16">
        <v>0</v>
      </c>
      <c r="U64" s="15">
        <v>8.8490129158151354E-3</v>
      </c>
      <c r="V64" s="16">
        <v>4.3736500618396642E-3</v>
      </c>
      <c r="W64" s="14">
        <v>3.6816042016215401E-4</v>
      </c>
      <c r="X64" s="15">
        <v>0</v>
      </c>
      <c r="Y64" s="16">
        <v>7.9891551940620194E-3</v>
      </c>
      <c r="Z64" s="14">
        <v>0.68587397357689694</v>
      </c>
      <c r="AA64" s="15">
        <v>0</v>
      </c>
      <c r="AB64" s="16">
        <v>0</v>
      </c>
      <c r="AC64" s="26">
        <f t="shared" si="1"/>
        <v>9.9913700827064619E-2</v>
      </c>
    </row>
    <row r="65" spans="1:29" x14ac:dyDescent="0.3">
      <c r="A65" s="17" t="s">
        <v>51</v>
      </c>
      <c r="B65">
        <v>2002</v>
      </c>
      <c r="C65" s="18">
        <v>2268.4090000000001</v>
      </c>
      <c r="D65" s="14">
        <v>1.9069753294048801E-2</v>
      </c>
      <c r="E65" s="16">
        <v>1.4741609647995601E-3</v>
      </c>
      <c r="F65" s="14">
        <v>7.3895404223841499E-2</v>
      </c>
      <c r="G65" s="16">
        <v>8.2639418200156998E-3</v>
      </c>
      <c r="H65" s="14">
        <v>9.9889393843879092E-3</v>
      </c>
      <c r="I65" s="16">
        <v>0</v>
      </c>
      <c r="J65" s="14">
        <v>2.7367198772355402E-3</v>
      </c>
      <c r="K65" s="15">
        <v>1.6504519246749599E-2</v>
      </c>
      <c r="L65" s="15">
        <v>8.3340349998611406E-3</v>
      </c>
      <c r="M65" s="15">
        <v>0</v>
      </c>
      <c r="N65" s="16">
        <v>7.3536121572432504E-3</v>
      </c>
      <c r="O65" s="14">
        <v>5.8631402009073303E-5</v>
      </c>
      <c r="P65" s="16">
        <v>2.0520990703175698E-3</v>
      </c>
      <c r="Q65" s="14">
        <v>0</v>
      </c>
      <c r="R65" s="15">
        <v>5.7250257779791897E-2</v>
      </c>
      <c r="S65" s="15">
        <v>0</v>
      </c>
      <c r="T65" s="16">
        <v>0</v>
      </c>
      <c r="U65" s="15">
        <v>6.6344201662221405E-3</v>
      </c>
      <c r="V65" s="16">
        <v>2.0686490657178761E-2</v>
      </c>
      <c r="W65" s="14">
        <v>3.4169323080626098E-3</v>
      </c>
      <c r="X65" s="15">
        <v>8.4244067097247503E-4</v>
      </c>
      <c r="Y65" s="16">
        <v>8.5103700434974502E-3</v>
      </c>
      <c r="Z65" s="14">
        <v>0.75292727193376496</v>
      </c>
      <c r="AA65" s="15">
        <v>0</v>
      </c>
      <c r="AB65" s="16">
        <v>0</v>
      </c>
      <c r="AC65" s="26">
        <f t="shared" si="1"/>
        <v>0.12918790218166129</v>
      </c>
    </row>
    <row r="66" spans="1:29" x14ac:dyDescent="0.3">
      <c r="A66" s="17" t="s">
        <v>51</v>
      </c>
      <c r="B66">
        <v>2003</v>
      </c>
      <c r="C66" s="18">
        <v>1458.451</v>
      </c>
      <c r="D66" s="14">
        <v>3.0085343971103601E-2</v>
      </c>
      <c r="E66" s="16">
        <v>6.89567218919251E-3</v>
      </c>
      <c r="F66" s="14">
        <v>6.05354585104333E-2</v>
      </c>
      <c r="G66" s="16">
        <v>1.6276172459685E-2</v>
      </c>
      <c r="H66" s="14">
        <v>4.3539344139775701E-4</v>
      </c>
      <c r="I66" s="16">
        <v>0</v>
      </c>
      <c r="J66" s="14">
        <v>3.5192131926269701E-2</v>
      </c>
      <c r="K66" s="15">
        <v>4.0349658644685399E-2</v>
      </c>
      <c r="L66" s="15">
        <v>3.9850498919744301E-3</v>
      </c>
      <c r="M66" s="15">
        <v>3.8650595734789901E-3</v>
      </c>
      <c r="N66" s="16">
        <v>3.5654266067217902E-4</v>
      </c>
      <c r="O66" s="14">
        <v>1.10322527119526E-3</v>
      </c>
      <c r="P66" s="16">
        <v>2.67406995504134E-5</v>
      </c>
      <c r="Q66" s="14">
        <v>1.4864591548124854E-2</v>
      </c>
      <c r="R66" s="15">
        <v>6.4153317253307071E-2</v>
      </c>
      <c r="S66" s="15">
        <v>6.4721076612397664E-3</v>
      </c>
      <c r="T66" s="16">
        <v>0</v>
      </c>
      <c r="U66" s="15">
        <v>1.2258319049696258E-2</v>
      </c>
      <c r="V66" s="16">
        <v>1.7137252004799246E-2</v>
      </c>
      <c r="W66" s="14">
        <v>0</v>
      </c>
      <c r="X66" s="15">
        <v>0</v>
      </c>
      <c r="Y66" s="16">
        <v>5.9240934388608195E-4</v>
      </c>
      <c r="Z66" s="14">
        <v>0.68541555389930797</v>
      </c>
      <c r="AA66" s="15">
        <v>0</v>
      </c>
      <c r="AB66" s="16">
        <v>0</v>
      </c>
      <c r="AC66" s="26">
        <f t="shared" si="1"/>
        <v>0.16212543307934243</v>
      </c>
    </row>
    <row r="67" spans="1:29" x14ac:dyDescent="0.3">
      <c r="A67" s="17" t="s">
        <v>51</v>
      </c>
      <c r="B67">
        <v>2004</v>
      </c>
      <c r="C67" s="18">
        <v>863.91</v>
      </c>
      <c r="D67" s="14">
        <v>4.9934599668946998E-2</v>
      </c>
      <c r="E67" s="16">
        <v>8.1258464423377395E-4</v>
      </c>
      <c r="F67" s="14">
        <v>6.3875866699077397E-2</v>
      </c>
      <c r="G67" s="16">
        <v>5.3304163628155703E-2</v>
      </c>
      <c r="H67" s="14">
        <v>9.0472387169959808E-3</v>
      </c>
      <c r="I67" s="16">
        <v>0</v>
      </c>
      <c r="J67" s="14">
        <v>2.5312821937470299E-2</v>
      </c>
      <c r="K67" s="15">
        <v>4.2840110659675197E-2</v>
      </c>
      <c r="L67" s="15">
        <v>3.0027433413202801E-2</v>
      </c>
      <c r="M67" s="15">
        <v>0</v>
      </c>
      <c r="N67" s="16">
        <v>1.4325566320565799E-2</v>
      </c>
      <c r="O67" s="14">
        <v>1.15752798323899E-6</v>
      </c>
      <c r="P67" s="16">
        <v>1.15752798323899E-6</v>
      </c>
      <c r="Q67" s="14">
        <v>5.7538505506921104E-3</v>
      </c>
      <c r="R67" s="15">
        <v>4.2484970622809794E-2</v>
      </c>
      <c r="S67" s="15">
        <v>0</v>
      </c>
      <c r="T67" s="16">
        <v>0</v>
      </c>
      <c r="U67" s="15">
        <v>5.5650873990568853E-2</v>
      </c>
      <c r="V67" s="16">
        <v>4.4344495897498143E-2</v>
      </c>
      <c r="W67" s="14">
        <v>0</v>
      </c>
      <c r="X67" s="15">
        <v>1.3774583000544E-3</v>
      </c>
      <c r="Y67" s="16">
        <v>5.0213563912907596E-3</v>
      </c>
      <c r="Z67" s="14">
        <v>0.555884293502795</v>
      </c>
      <c r="AA67" s="15">
        <v>0</v>
      </c>
      <c r="AB67" s="16">
        <v>0</v>
      </c>
      <c r="AC67" s="26">
        <f t="shared" si="1"/>
        <v>0.23873551643110966</v>
      </c>
    </row>
    <row r="68" spans="1:29" x14ac:dyDescent="0.3">
      <c r="A68" s="17" t="s">
        <v>51</v>
      </c>
      <c r="B68">
        <v>2005</v>
      </c>
      <c r="C68" s="18">
        <v>1037.1379999999999</v>
      </c>
      <c r="D68" s="14">
        <v>4.1165206558818598E-2</v>
      </c>
      <c r="E68" s="16">
        <v>7.8610560986098303E-3</v>
      </c>
      <c r="F68" s="14">
        <v>9.1698501067360397E-2</v>
      </c>
      <c r="G68" s="16">
        <v>3.1103864673746401E-2</v>
      </c>
      <c r="H68" s="14">
        <v>9.9061069982972396E-3</v>
      </c>
      <c r="I68" s="16">
        <v>0</v>
      </c>
      <c r="J68" s="14">
        <v>1.6513713700587601E-2</v>
      </c>
      <c r="K68" s="15">
        <v>9.54135322396827E-2</v>
      </c>
      <c r="L68" s="15">
        <v>0.100831326207313</v>
      </c>
      <c r="M68" s="15">
        <v>0</v>
      </c>
      <c r="N68" s="16">
        <v>6.7618773972219701E-3</v>
      </c>
      <c r="O68" s="14">
        <v>0</v>
      </c>
      <c r="P68" s="16">
        <v>0</v>
      </c>
      <c r="Q68" s="14">
        <v>0</v>
      </c>
      <c r="R68" s="15">
        <v>6.4701129454325296E-2</v>
      </c>
      <c r="S68" s="15">
        <v>0</v>
      </c>
      <c r="T68" s="16">
        <v>0</v>
      </c>
      <c r="U68" s="15">
        <v>2.0874882310588905E-3</v>
      </c>
      <c r="V68" s="16">
        <v>3.1856885613116108E-2</v>
      </c>
      <c r="W68" s="14">
        <v>0</v>
      </c>
      <c r="X68" s="15">
        <v>0</v>
      </c>
      <c r="Y68" s="16">
        <v>0</v>
      </c>
      <c r="Z68" s="14">
        <v>0.500099311759862</v>
      </c>
      <c r="AA68" s="15">
        <v>0</v>
      </c>
      <c r="AB68" s="16">
        <v>0</v>
      </c>
      <c r="AC68" s="26">
        <f t="shared" si="1"/>
        <v>0.35222892228420927</v>
      </c>
    </row>
    <row r="69" spans="1:29" x14ac:dyDescent="0.3">
      <c r="A69" s="17" t="s">
        <v>51</v>
      </c>
      <c r="B69">
        <v>2006</v>
      </c>
      <c r="C69" s="18"/>
      <c r="D69" s="14"/>
      <c r="E69" s="16"/>
      <c r="F69" s="14"/>
      <c r="G69" s="16"/>
      <c r="H69" s="14"/>
      <c r="I69" s="16"/>
      <c r="J69" s="14"/>
      <c r="K69" s="15"/>
      <c r="L69" s="15"/>
      <c r="M69" s="15"/>
      <c r="N69" s="16"/>
      <c r="O69" s="14"/>
      <c r="P69" s="16"/>
      <c r="Q69" s="14"/>
      <c r="R69" s="15"/>
      <c r="S69" s="15"/>
      <c r="T69" s="16"/>
      <c r="U69" s="15"/>
      <c r="V69" s="16"/>
      <c r="W69" s="14"/>
      <c r="X69" s="15"/>
      <c r="Y69" s="16"/>
      <c r="Z69" s="14"/>
      <c r="AA69" s="15"/>
      <c r="AB69" s="16"/>
      <c r="AC69" s="26"/>
    </row>
    <row r="70" spans="1:29" x14ac:dyDescent="0.3">
      <c r="A70" s="17" t="s">
        <v>51</v>
      </c>
      <c r="B70">
        <v>2007</v>
      </c>
      <c r="C70" s="37"/>
      <c r="D70" s="33"/>
      <c r="E70" s="38"/>
      <c r="F70" s="33"/>
      <c r="G70" s="38"/>
      <c r="H70" s="33"/>
      <c r="I70" s="38"/>
      <c r="J70" s="33"/>
      <c r="K70" s="34"/>
      <c r="L70" s="34"/>
      <c r="M70" s="34"/>
      <c r="N70" s="38"/>
      <c r="O70" s="33"/>
      <c r="P70" s="38"/>
      <c r="Q70" s="33"/>
      <c r="R70" s="34"/>
      <c r="S70" s="34"/>
      <c r="T70" s="38"/>
      <c r="U70" s="34"/>
      <c r="V70" s="38"/>
      <c r="W70" s="33"/>
      <c r="X70" s="34"/>
      <c r="Y70" s="38"/>
      <c r="Z70" s="33"/>
      <c r="AA70" s="34"/>
      <c r="AB70" s="38"/>
      <c r="AC70" s="26"/>
    </row>
    <row r="71" spans="1:29" x14ac:dyDescent="0.3">
      <c r="A71" s="17" t="s">
        <v>51</v>
      </c>
      <c r="B71">
        <v>2008</v>
      </c>
      <c r="C71" s="37"/>
      <c r="D71" s="33"/>
      <c r="E71" s="38"/>
      <c r="F71" s="33"/>
      <c r="G71" s="38"/>
      <c r="H71" s="33"/>
      <c r="I71" s="38"/>
      <c r="J71" s="33"/>
      <c r="K71" s="34"/>
      <c r="L71" s="34"/>
      <c r="M71" s="34"/>
      <c r="N71" s="38"/>
      <c r="O71" s="33"/>
      <c r="P71" s="38"/>
      <c r="Q71" s="33"/>
      <c r="R71" s="34"/>
      <c r="S71" s="34"/>
      <c r="T71" s="38"/>
      <c r="U71" s="34"/>
      <c r="V71" s="38"/>
      <c r="W71" s="33"/>
      <c r="X71" s="34"/>
      <c r="Y71" s="38"/>
      <c r="Z71" s="33"/>
      <c r="AA71" s="34"/>
      <c r="AB71" s="38"/>
      <c r="AC71" s="26"/>
    </row>
    <row r="72" spans="1:29" x14ac:dyDescent="0.3">
      <c r="A72" s="17" t="s">
        <v>51</v>
      </c>
      <c r="B72">
        <v>2009</v>
      </c>
      <c r="C72" s="37"/>
      <c r="D72" s="33"/>
      <c r="E72" s="38"/>
      <c r="F72" s="33"/>
      <c r="G72" s="38"/>
      <c r="H72" s="33"/>
      <c r="I72" s="38"/>
      <c r="J72" s="33"/>
      <c r="K72" s="34"/>
      <c r="L72" s="34"/>
      <c r="M72" s="34"/>
      <c r="N72" s="38"/>
      <c r="O72" s="33"/>
      <c r="P72" s="38"/>
      <c r="Q72" s="33"/>
      <c r="R72" s="34"/>
      <c r="S72" s="34"/>
      <c r="T72" s="38"/>
      <c r="U72" s="34"/>
      <c r="V72" s="38"/>
      <c r="W72" s="33"/>
      <c r="X72" s="34"/>
      <c r="Y72" s="38"/>
      <c r="Z72" s="33"/>
      <c r="AA72" s="34"/>
      <c r="AB72" s="38"/>
      <c r="AC72" s="26"/>
    </row>
    <row r="73" spans="1:29" x14ac:dyDescent="0.3">
      <c r="A73" s="17" t="s">
        <v>51</v>
      </c>
      <c r="B73">
        <v>2010</v>
      </c>
      <c r="C73" s="18"/>
      <c r="D73" s="14"/>
      <c r="E73" s="16"/>
      <c r="F73" s="14"/>
      <c r="G73" s="16"/>
      <c r="H73" s="14"/>
      <c r="I73" s="16"/>
      <c r="J73" s="14"/>
      <c r="K73" s="15"/>
      <c r="L73" s="15"/>
      <c r="M73" s="15"/>
      <c r="N73" s="16"/>
      <c r="O73" s="14"/>
      <c r="P73" s="16"/>
      <c r="Q73" s="14"/>
      <c r="R73" s="15"/>
      <c r="S73" s="15"/>
      <c r="T73" s="16"/>
      <c r="U73" s="15"/>
      <c r="V73" s="16"/>
      <c r="W73" s="14"/>
      <c r="X73" s="15"/>
      <c r="Y73" s="16"/>
      <c r="Z73" s="14"/>
      <c r="AA73" s="15"/>
      <c r="AB73" s="16"/>
      <c r="AC73" s="26"/>
    </row>
    <row r="74" spans="1:29" x14ac:dyDescent="0.3">
      <c r="A74" s="17" t="s">
        <v>51</v>
      </c>
      <c r="B74">
        <v>2011</v>
      </c>
      <c r="C74" s="18">
        <v>71.536000000000001</v>
      </c>
      <c r="D74" s="14">
        <v>7.72617982554238E-2</v>
      </c>
      <c r="E74" s="16">
        <v>2.1010400357861801E-2</v>
      </c>
      <c r="F74" s="14">
        <v>5.0254417356296099E-2</v>
      </c>
      <c r="G74" s="16">
        <v>0</v>
      </c>
      <c r="H74" s="14">
        <v>1.2581078058599901E-4</v>
      </c>
      <c r="I74" s="16">
        <v>0</v>
      </c>
      <c r="J74" s="14">
        <v>0</v>
      </c>
      <c r="K74" s="15">
        <v>0</v>
      </c>
      <c r="L74" s="15">
        <v>0.209754529188101</v>
      </c>
      <c r="M74" s="15">
        <v>0</v>
      </c>
      <c r="N74" s="16">
        <v>0</v>
      </c>
      <c r="O74" s="14">
        <v>0</v>
      </c>
      <c r="P74" s="16">
        <v>9.3659136658465702E-4</v>
      </c>
      <c r="Q74" s="14">
        <v>0</v>
      </c>
      <c r="R74" s="15">
        <v>2.22265712368598E-2</v>
      </c>
      <c r="S74" s="15">
        <v>0</v>
      </c>
      <c r="T74" s="16">
        <v>0</v>
      </c>
      <c r="U74" s="15">
        <v>1.9575557155765137E-2</v>
      </c>
      <c r="V74" s="16">
        <v>0.21907351464025396</v>
      </c>
      <c r="W74" s="14">
        <v>5.7453589800939399E-3</v>
      </c>
      <c r="X74" s="15">
        <v>0</v>
      </c>
      <c r="Y74" s="16">
        <v>0</v>
      </c>
      <c r="Z74" s="14">
        <v>0.37403545068217398</v>
      </c>
      <c r="AA74" s="15">
        <v>0</v>
      </c>
      <c r="AB74" s="16">
        <v>0</v>
      </c>
      <c r="AC74" s="26">
        <f t="shared" ref="AC74:AC87" si="2">SUM(F74:P74)</f>
        <v>0.26107134869156773</v>
      </c>
    </row>
    <row r="75" spans="1:29" x14ac:dyDescent="0.3">
      <c r="A75" s="17" t="s">
        <v>51</v>
      </c>
      <c r="B75">
        <v>2012</v>
      </c>
      <c r="C75" s="18">
        <v>340.274</v>
      </c>
      <c r="D75" s="14">
        <v>7.2185944268442506E-2</v>
      </c>
      <c r="E75" s="16">
        <v>3.05254001187279E-2</v>
      </c>
      <c r="F75" s="14">
        <v>8.65625936745094E-2</v>
      </c>
      <c r="G75" s="16">
        <v>0.12664499785467001</v>
      </c>
      <c r="H75" s="14">
        <v>1.58666251315117E-2</v>
      </c>
      <c r="I75" s="16">
        <v>0</v>
      </c>
      <c r="J75" s="14">
        <v>4.84315580972981E-2</v>
      </c>
      <c r="K75" s="15">
        <v>1.8758412338292101E-2</v>
      </c>
      <c r="L75" s="15">
        <v>0.14670824100577801</v>
      </c>
      <c r="M75" s="15">
        <v>0</v>
      </c>
      <c r="N75" s="16">
        <v>0</v>
      </c>
      <c r="O75" s="14">
        <v>0</v>
      </c>
      <c r="P75" s="16">
        <v>0</v>
      </c>
      <c r="Q75" s="14">
        <v>0</v>
      </c>
      <c r="R75" s="15">
        <v>2.6546253901267799E-2</v>
      </c>
      <c r="S75" s="15">
        <v>0</v>
      </c>
      <c r="T75" s="16">
        <v>0</v>
      </c>
      <c r="U75" s="15">
        <v>5.9228587084348165E-3</v>
      </c>
      <c r="V75" s="16">
        <v>8.3334622027677857E-2</v>
      </c>
      <c r="W75" s="14">
        <v>1.83940001293076E-2</v>
      </c>
      <c r="X75" s="15">
        <v>0</v>
      </c>
      <c r="Y75" s="16">
        <v>3.3766905493807899E-3</v>
      </c>
      <c r="Z75" s="14">
        <v>0.30645597371529998</v>
      </c>
      <c r="AA75" s="15">
        <v>1.02858284794019E-2</v>
      </c>
      <c r="AB75" s="16">
        <v>0</v>
      </c>
      <c r="AC75" s="26">
        <f t="shared" si="2"/>
        <v>0.44297242810205933</v>
      </c>
    </row>
    <row r="76" spans="1:29" x14ac:dyDescent="0.3">
      <c r="A76" s="17" t="s">
        <v>51</v>
      </c>
      <c r="B76">
        <v>2013</v>
      </c>
      <c r="C76" s="18">
        <v>1781.0340000000001</v>
      </c>
      <c r="D76" s="14">
        <v>2.93380137605458E-2</v>
      </c>
      <c r="E76" s="16">
        <v>9.3574855954462396E-3</v>
      </c>
      <c r="F76" s="14">
        <v>6.7692138387026896E-2</v>
      </c>
      <c r="G76" s="16">
        <v>5.5233083703062402E-2</v>
      </c>
      <c r="H76" s="14">
        <v>3.2037569187337201E-3</v>
      </c>
      <c r="I76" s="16">
        <v>3.38848107335402E-3</v>
      </c>
      <c r="J76" s="14">
        <v>5.7447527672127498E-2</v>
      </c>
      <c r="K76" s="15">
        <v>3.88970676584501E-2</v>
      </c>
      <c r="L76" s="15">
        <v>5.0236547982801E-2</v>
      </c>
      <c r="M76" s="15">
        <v>1.3267573780174899E-3</v>
      </c>
      <c r="N76" s="16">
        <v>2.0594778089581701E-3</v>
      </c>
      <c r="O76" s="14">
        <v>0</v>
      </c>
      <c r="P76" s="16">
        <v>2.9982583151135802E-4</v>
      </c>
      <c r="Q76" s="14">
        <v>0</v>
      </c>
      <c r="R76" s="15">
        <v>3.5001016263586197E-2</v>
      </c>
      <c r="S76" s="15">
        <v>0</v>
      </c>
      <c r="T76" s="16">
        <v>0</v>
      </c>
      <c r="U76" s="15">
        <v>4.9218795580293854E-3</v>
      </c>
      <c r="V76" s="16">
        <v>3.5195827347060608E-2</v>
      </c>
      <c r="W76" s="14">
        <v>2.7910752967096599E-3</v>
      </c>
      <c r="X76" s="15">
        <v>5.6147159459055796E-7</v>
      </c>
      <c r="Y76" s="16">
        <v>1.1358570358567001E-3</v>
      </c>
      <c r="Z76" s="14">
        <v>0.590418824121269</v>
      </c>
      <c r="AA76" s="15">
        <v>1.20547951358593E-2</v>
      </c>
      <c r="AB76" s="16">
        <v>0</v>
      </c>
      <c r="AC76" s="26">
        <f t="shared" si="2"/>
        <v>0.27978466441404259</v>
      </c>
    </row>
    <row r="77" spans="1:29" x14ac:dyDescent="0.3">
      <c r="A77" s="17" t="s">
        <v>51</v>
      </c>
      <c r="B77">
        <v>2014</v>
      </c>
      <c r="C77" s="18">
        <v>1259.5229999999999</v>
      </c>
      <c r="D77" s="14">
        <v>8.4543116719583505E-2</v>
      </c>
      <c r="E77" s="16">
        <v>1.8117970056918401E-2</v>
      </c>
      <c r="F77" s="14">
        <v>6.1310511995414103E-2</v>
      </c>
      <c r="G77" s="16">
        <v>5.9507448454692802E-2</v>
      </c>
      <c r="H77" s="14">
        <v>2.9154687925508301E-2</v>
      </c>
      <c r="I77" s="16">
        <v>2.0004398490539699E-2</v>
      </c>
      <c r="J77" s="14">
        <v>3.1436504136883599E-2</v>
      </c>
      <c r="K77" s="15">
        <v>9.4710457847931306E-3</v>
      </c>
      <c r="L77" s="15">
        <v>4.6211145012834201E-2</v>
      </c>
      <c r="M77" s="15">
        <v>0</v>
      </c>
      <c r="N77" s="16">
        <v>8.1681716014713503E-3</v>
      </c>
      <c r="O77" s="14">
        <v>0</v>
      </c>
      <c r="P77" s="16">
        <v>7.7330862556698103E-4</v>
      </c>
      <c r="Q77" s="14">
        <v>0</v>
      </c>
      <c r="R77" s="15">
        <v>4.7341731750829501E-2</v>
      </c>
      <c r="S77" s="15">
        <v>0</v>
      </c>
      <c r="T77" s="16">
        <v>0</v>
      </c>
      <c r="U77" s="15">
        <v>9.7040700267129673E-3</v>
      </c>
      <c r="V77" s="16">
        <v>4.2574451286514325E-2</v>
      </c>
      <c r="W77" s="14">
        <v>8.3777747607626102E-3</v>
      </c>
      <c r="X77" s="15">
        <v>3.1758054438069002E-6</v>
      </c>
      <c r="Y77" s="16">
        <v>1.7451050913718899E-3</v>
      </c>
      <c r="Z77" s="14">
        <v>0.51671227917235296</v>
      </c>
      <c r="AA77" s="15">
        <v>4.8431033018055299E-3</v>
      </c>
      <c r="AB77" s="16">
        <v>0</v>
      </c>
      <c r="AC77" s="26">
        <f t="shared" si="2"/>
        <v>0.26603722202770413</v>
      </c>
    </row>
    <row r="78" spans="1:29" x14ac:dyDescent="0.3">
      <c r="A78" s="17" t="s">
        <v>51</v>
      </c>
      <c r="B78">
        <v>2015</v>
      </c>
      <c r="C78" s="18">
        <v>2212.6149999999998</v>
      </c>
      <c r="D78" s="14">
        <v>4.0176894760272301E-2</v>
      </c>
      <c r="E78" s="16">
        <v>7.0861853508179199E-3</v>
      </c>
      <c r="F78" s="14">
        <v>2.08942812012031E-2</v>
      </c>
      <c r="G78" s="16">
        <v>2.3098460419006501E-2</v>
      </c>
      <c r="H78" s="14">
        <v>1.4771209632041701E-2</v>
      </c>
      <c r="I78" s="16">
        <v>1.29046399848143E-2</v>
      </c>
      <c r="J78" s="14">
        <v>6.5605177583989996E-2</v>
      </c>
      <c r="K78" s="15">
        <v>1.7792521518655499E-2</v>
      </c>
      <c r="L78" s="15">
        <v>0.101653925332695</v>
      </c>
      <c r="M78" s="15">
        <v>0</v>
      </c>
      <c r="N78" s="16">
        <v>2.6692397909261201E-3</v>
      </c>
      <c r="O78" s="14">
        <v>0</v>
      </c>
      <c r="P78" s="16">
        <v>2.8925050223378199E-5</v>
      </c>
      <c r="Q78" s="14">
        <v>1.4369441232093421E-2</v>
      </c>
      <c r="R78" s="15">
        <v>1.7306652439873869E-2</v>
      </c>
      <c r="S78" s="15">
        <v>0</v>
      </c>
      <c r="T78" s="16">
        <v>0</v>
      </c>
      <c r="U78" s="15">
        <v>6.4967071603212806E-3</v>
      </c>
      <c r="V78" s="16">
        <v>1.644130962072736E-2</v>
      </c>
      <c r="W78" s="14">
        <v>1.4335526063052099E-2</v>
      </c>
      <c r="X78" s="15">
        <v>1.8114312702390599E-3</v>
      </c>
      <c r="Y78" s="16">
        <v>5.2846970665931499E-3</v>
      </c>
      <c r="Z78" s="14">
        <v>0.57263780639650397</v>
      </c>
      <c r="AA78" s="15">
        <v>4.4634968125950497E-2</v>
      </c>
      <c r="AB78" s="16">
        <v>0</v>
      </c>
      <c r="AC78" s="26">
        <f t="shared" si="2"/>
        <v>0.25941838051355565</v>
      </c>
    </row>
    <row r="79" spans="1:29" x14ac:dyDescent="0.3">
      <c r="A79" s="17" t="s">
        <v>51</v>
      </c>
      <c r="B79">
        <v>2016</v>
      </c>
      <c r="C79" s="18">
        <v>427.80099999999999</v>
      </c>
      <c r="D79" s="14">
        <v>4.30176647553418E-2</v>
      </c>
      <c r="E79" s="16">
        <v>1.2360887421955499E-2</v>
      </c>
      <c r="F79" s="14">
        <v>6.0836697436424898E-2</v>
      </c>
      <c r="G79" s="16">
        <v>5.2199503974979002E-2</v>
      </c>
      <c r="H79" s="14">
        <v>9.5979205284700102E-3</v>
      </c>
      <c r="I79" s="16">
        <v>0</v>
      </c>
      <c r="J79" s="14">
        <v>9.0313019371156197E-2</v>
      </c>
      <c r="K79" s="15">
        <v>1.54183837812441E-2</v>
      </c>
      <c r="L79" s="15">
        <v>3.6145310553271297E-2</v>
      </c>
      <c r="M79" s="15">
        <v>0</v>
      </c>
      <c r="N79" s="16">
        <v>1.33964156231519E-2</v>
      </c>
      <c r="O79" s="14">
        <v>0</v>
      </c>
      <c r="P79" s="16">
        <v>0</v>
      </c>
      <c r="Q79" s="14">
        <v>0</v>
      </c>
      <c r="R79" s="15">
        <v>8.7283573437182196E-3</v>
      </c>
      <c r="S79" s="15">
        <v>0</v>
      </c>
      <c r="T79" s="16">
        <v>0</v>
      </c>
      <c r="U79" s="15">
        <v>5.9636262725399772E-3</v>
      </c>
      <c r="V79" s="16">
        <v>0.11256344589419207</v>
      </c>
      <c r="W79" s="14">
        <v>7.65075350455001E-3</v>
      </c>
      <c r="X79" s="15">
        <v>7.0126063286434601E-6</v>
      </c>
      <c r="Y79" s="16">
        <v>0</v>
      </c>
      <c r="Z79" s="14">
        <v>0.48610218302434999</v>
      </c>
      <c r="AA79" s="15">
        <v>3.9036841896115202E-3</v>
      </c>
      <c r="AB79" s="16">
        <v>4.1795133718715002E-2</v>
      </c>
      <c r="AC79" s="26">
        <f t="shared" si="2"/>
        <v>0.27790725126869742</v>
      </c>
    </row>
    <row r="80" spans="1:29" x14ac:dyDescent="0.3">
      <c r="A80" s="17" t="s">
        <v>51</v>
      </c>
      <c r="B80">
        <v>2017</v>
      </c>
      <c r="C80" s="18">
        <v>496.29700000000003</v>
      </c>
      <c r="D80" s="14">
        <v>5.8362230680419201E-2</v>
      </c>
      <c r="E80" s="16">
        <v>2.89443619445614E-2</v>
      </c>
      <c r="F80" s="14">
        <v>5.7590515356732E-2</v>
      </c>
      <c r="G80" s="16">
        <v>1.7163109992605199E-2</v>
      </c>
      <c r="H80" s="14">
        <v>1.34475928728161E-2</v>
      </c>
      <c r="I80" s="16">
        <v>0</v>
      </c>
      <c r="J80" s="14">
        <v>4.5494935492255598E-2</v>
      </c>
      <c r="K80" s="15">
        <v>5.1193136367940997E-2</v>
      </c>
      <c r="L80" s="15">
        <v>6.7308486652145796E-2</v>
      </c>
      <c r="M80" s="15">
        <v>0</v>
      </c>
      <c r="N80" s="16">
        <v>3.3951444397205703E-2</v>
      </c>
      <c r="O80" s="14">
        <v>0</v>
      </c>
      <c r="P80" s="16">
        <v>1.53134111227753E-4</v>
      </c>
      <c r="Q80" s="14">
        <v>0</v>
      </c>
      <c r="R80" s="15">
        <v>3.5845471562391103E-2</v>
      </c>
      <c r="S80" s="15">
        <v>0</v>
      </c>
      <c r="T80" s="16">
        <v>0</v>
      </c>
      <c r="U80" s="15">
        <v>0</v>
      </c>
      <c r="V80" s="16">
        <v>3.9158004178949275E-2</v>
      </c>
      <c r="W80" s="14">
        <v>3.79208417540303E-3</v>
      </c>
      <c r="X80" s="15">
        <v>5.0151421427088996E-3</v>
      </c>
      <c r="Y80" s="16">
        <v>0</v>
      </c>
      <c r="Z80" s="14">
        <v>0.53593110576932801</v>
      </c>
      <c r="AA80" s="15">
        <v>6.6492443033103199E-3</v>
      </c>
      <c r="AB80" s="16">
        <v>0</v>
      </c>
      <c r="AC80" s="26">
        <f t="shared" si="2"/>
        <v>0.28630235524292913</v>
      </c>
    </row>
    <row r="81" spans="1:29" x14ac:dyDescent="0.3">
      <c r="A81" s="17" t="s">
        <v>51</v>
      </c>
      <c r="B81">
        <v>2018</v>
      </c>
      <c r="C81" s="18">
        <v>1400.491</v>
      </c>
      <c r="D81" s="14">
        <v>1.16880436932476E-2</v>
      </c>
      <c r="E81" s="16">
        <v>5.4045331244542104E-3</v>
      </c>
      <c r="F81" s="14">
        <v>1.33695968056917E-2</v>
      </c>
      <c r="G81" s="16">
        <v>1.01293046510117E-2</v>
      </c>
      <c r="H81" s="14">
        <v>1.2232138585681699E-2</v>
      </c>
      <c r="I81" s="16">
        <v>4.16025522477474E-2</v>
      </c>
      <c r="J81" s="14">
        <v>6.3226397027899506E-2</v>
      </c>
      <c r="K81" s="15">
        <v>5.2237393885430201E-2</v>
      </c>
      <c r="L81" s="15">
        <v>6.1112138528558901E-2</v>
      </c>
      <c r="M81" s="15">
        <v>0</v>
      </c>
      <c r="N81" s="16">
        <v>0</v>
      </c>
      <c r="O81" s="14">
        <v>0</v>
      </c>
      <c r="P81" s="16">
        <v>0</v>
      </c>
      <c r="Q81" s="14">
        <v>0</v>
      </c>
      <c r="R81" s="15">
        <v>1.6064365997353801E-2</v>
      </c>
      <c r="S81" s="15">
        <v>0</v>
      </c>
      <c r="T81" s="16">
        <v>0</v>
      </c>
      <c r="U81" s="15">
        <v>4.7438602221120188E-3</v>
      </c>
      <c r="V81" s="16">
        <v>6.9250903043057171E-2</v>
      </c>
      <c r="W81" s="14">
        <v>3.0703517552058499E-3</v>
      </c>
      <c r="X81" s="15">
        <v>9.4895290294618102E-4</v>
      </c>
      <c r="Y81" s="16">
        <v>0</v>
      </c>
      <c r="Z81" s="14">
        <v>0.62707936002444897</v>
      </c>
      <c r="AA81" s="15">
        <v>7.8401075051535499E-3</v>
      </c>
      <c r="AB81" s="16">
        <v>0</v>
      </c>
      <c r="AC81" s="26">
        <f t="shared" si="2"/>
        <v>0.25390952173202108</v>
      </c>
    </row>
    <row r="82" spans="1:29" x14ac:dyDescent="0.3">
      <c r="A82" s="17" t="s">
        <v>51</v>
      </c>
      <c r="B82">
        <v>2019</v>
      </c>
      <c r="C82" s="18">
        <v>1090.2639999999999</v>
      </c>
      <c r="D82" s="14">
        <v>8.1246377024280295E-3</v>
      </c>
      <c r="E82" s="16">
        <v>4.27786297630666E-3</v>
      </c>
      <c r="F82" s="14">
        <v>9.1720904294739604E-7</v>
      </c>
      <c r="G82" s="16">
        <v>1.7525113183595901E-2</v>
      </c>
      <c r="H82" s="14">
        <v>9.1720904294739604E-7</v>
      </c>
      <c r="I82" s="16">
        <v>4.4099410784910796E-3</v>
      </c>
      <c r="J82" s="14">
        <v>0</v>
      </c>
      <c r="K82" s="15">
        <v>0</v>
      </c>
      <c r="L82" s="15">
        <v>2.81152087934665E-2</v>
      </c>
      <c r="M82" s="15">
        <v>0</v>
      </c>
      <c r="N82" s="16">
        <v>1.0671727214693E-2</v>
      </c>
      <c r="O82" s="14">
        <v>0</v>
      </c>
      <c r="P82" s="16">
        <v>8.3466022908212996E-5</v>
      </c>
      <c r="Q82" s="14">
        <v>0</v>
      </c>
      <c r="R82" s="15">
        <v>3.5413441148198999E-2</v>
      </c>
      <c r="S82" s="15">
        <v>0</v>
      </c>
      <c r="T82" s="16">
        <v>0</v>
      </c>
      <c r="U82" s="15">
        <v>4.6679709734718331E-3</v>
      </c>
      <c r="V82" s="16">
        <v>2.3918683268069677E-2</v>
      </c>
      <c r="W82" s="14">
        <v>1.45469354211457E-3</v>
      </c>
      <c r="X82" s="15">
        <v>0</v>
      </c>
      <c r="Y82" s="16">
        <v>1.3987437904947799E-3</v>
      </c>
      <c r="Z82" s="14">
        <v>0.81001298768004804</v>
      </c>
      <c r="AA82" s="15">
        <v>4.9923688207626798E-2</v>
      </c>
      <c r="AB82" s="16">
        <v>0</v>
      </c>
      <c r="AC82" s="26">
        <f t="shared" si="2"/>
        <v>6.080729071124058E-2</v>
      </c>
    </row>
    <row r="83" spans="1:29" x14ac:dyDescent="0.3">
      <c r="A83" s="17" t="s">
        <v>51</v>
      </c>
      <c r="B83">
        <v>2020</v>
      </c>
      <c r="C83" s="18">
        <v>1840.6859999999999</v>
      </c>
      <c r="D83" s="14">
        <v>2.0495076292208401E-2</v>
      </c>
      <c r="E83" s="16">
        <v>1.01559961883776E-2</v>
      </c>
      <c r="F83" s="14">
        <v>0</v>
      </c>
      <c r="G83" s="16">
        <v>0</v>
      </c>
      <c r="H83" s="14">
        <v>0</v>
      </c>
      <c r="I83" s="16">
        <v>0</v>
      </c>
      <c r="J83" s="14">
        <v>0</v>
      </c>
      <c r="K83" s="15">
        <v>4.4048794851484696E-3</v>
      </c>
      <c r="L83" s="15">
        <v>1.89673849858151E-2</v>
      </c>
      <c r="M83" s="15">
        <v>0</v>
      </c>
      <c r="N83" s="16">
        <v>1.90575687542579E-2</v>
      </c>
      <c r="O83" s="14">
        <v>0</v>
      </c>
      <c r="P83" s="16">
        <v>1.6298271405334701E-6</v>
      </c>
      <c r="Q83" s="14">
        <v>0</v>
      </c>
      <c r="R83" s="15">
        <v>9.5574693348023501E-2</v>
      </c>
      <c r="S83" s="15">
        <v>0</v>
      </c>
      <c r="T83" s="16">
        <v>0</v>
      </c>
      <c r="U83" s="15">
        <v>1.2644970402492975E-2</v>
      </c>
      <c r="V83" s="16">
        <v>0.11118494952953273</v>
      </c>
      <c r="W83" s="14">
        <v>0</v>
      </c>
      <c r="X83" s="15">
        <v>0</v>
      </c>
      <c r="Y83" s="16">
        <v>0</v>
      </c>
      <c r="Z83" s="14">
        <v>0.68964994572675598</v>
      </c>
      <c r="AA83" s="15">
        <v>1.7862905460246901E-2</v>
      </c>
      <c r="AB83" s="16">
        <v>0</v>
      </c>
      <c r="AC83" s="26">
        <f t="shared" si="2"/>
        <v>4.2431463052361999E-2</v>
      </c>
    </row>
    <row r="84" spans="1:29" x14ac:dyDescent="0.3">
      <c r="A84" s="17" t="s">
        <v>51</v>
      </c>
      <c r="B84">
        <v>2021</v>
      </c>
      <c r="C84" s="18">
        <v>771.75300000000004</v>
      </c>
      <c r="D84" s="14">
        <v>1.8009648164633001E-2</v>
      </c>
      <c r="E84" s="16">
        <v>2.3502338183330699E-2</v>
      </c>
      <c r="F84" s="14">
        <v>0</v>
      </c>
      <c r="G84" s="16">
        <v>0</v>
      </c>
      <c r="H84" s="14">
        <v>2.6174177489429902E-4</v>
      </c>
      <c r="I84" s="16">
        <v>9.0922872991747398E-3</v>
      </c>
      <c r="J84" s="14">
        <v>0</v>
      </c>
      <c r="K84" s="15">
        <v>0</v>
      </c>
      <c r="L84" s="15">
        <v>0</v>
      </c>
      <c r="M84" s="15">
        <v>0</v>
      </c>
      <c r="N84" s="16">
        <v>1.5735604526318701E-2</v>
      </c>
      <c r="O84" s="14">
        <v>0</v>
      </c>
      <c r="P84" s="16">
        <v>0</v>
      </c>
      <c r="Q84" s="14">
        <v>0</v>
      </c>
      <c r="R84" s="15">
        <v>8.0650156202826603E-2</v>
      </c>
      <c r="S84" s="15">
        <v>0</v>
      </c>
      <c r="T84" s="16">
        <v>0</v>
      </c>
      <c r="U84" s="15">
        <v>1.4059828063869276E-2</v>
      </c>
      <c r="V84" s="16">
        <v>5.5383374618854328E-2</v>
      </c>
      <c r="W84" s="14">
        <v>0</v>
      </c>
      <c r="X84" s="15">
        <v>0</v>
      </c>
      <c r="Y84" s="16">
        <v>0</v>
      </c>
      <c r="Z84" s="14">
        <v>0.77060665782964199</v>
      </c>
      <c r="AA84" s="15">
        <v>1.26983633364561E-2</v>
      </c>
      <c r="AB84" s="16">
        <v>0</v>
      </c>
      <c r="AC84" s="26">
        <f t="shared" si="2"/>
        <v>2.508963360038774E-2</v>
      </c>
    </row>
    <row r="85" spans="1:29" x14ac:dyDescent="0.3">
      <c r="A85" s="17" t="s">
        <v>51</v>
      </c>
      <c r="B85">
        <v>2022</v>
      </c>
      <c r="C85" s="18">
        <v>769.755</v>
      </c>
      <c r="D85" s="14">
        <v>4.6882449610590397E-2</v>
      </c>
      <c r="E85" s="16">
        <v>3.2151788556099001E-2</v>
      </c>
      <c r="F85" s="14">
        <v>0</v>
      </c>
      <c r="G85" s="16">
        <v>3.5112470851114998E-2</v>
      </c>
      <c r="H85" s="14">
        <v>4.5728835798403399E-4</v>
      </c>
      <c r="I85" s="16">
        <v>0</v>
      </c>
      <c r="J85" s="14">
        <v>0</v>
      </c>
      <c r="K85" s="15">
        <v>0</v>
      </c>
      <c r="L85" s="15">
        <v>0</v>
      </c>
      <c r="M85" s="15">
        <v>0</v>
      </c>
      <c r="N85" s="16">
        <v>0</v>
      </c>
      <c r="O85" s="14">
        <v>0</v>
      </c>
      <c r="P85" s="16">
        <v>0</v>
      </c>
      <c r="Q85" s="14">
        <v>0</v>
      </c>
      <c r="R85" s="15">
        <v>4.9976940714902801E-2</v>
      </c>
      <c r="S85" s="15">
        <v>0</v>
      </c>
      <c r="T85" s="16">
        <v>0</v>
      </c>
      <c r="U85" s="15">
        <v>4.8856900101012513E-3</v>
      </c>
      <c r="V85" s="16">
        <v>7.5728195156569396E-3</v>
      </c>
      <c r="W85" s="14">
        <v>0</v>
      </c>
      <c r="X85" s="15">
        <v>0</v>
      </c>
      <c r="Y85" s="16">
        <v>0</v>
      </c>
      <c r="Z85" s="14">
        <v>0.82296055238355104</v>
      </c>
      <c r="AA85" s="15">
        <v>0</v>
      </c>
      <c r="AB85" s="16">
        <v>0</v>
      </c>
      <c r="AC85" s="26">
        <f t="shared" si="2"/>
        <v>3.5569759209099029E-2</v>
      </c>
    </row>
    <row r="86" spans="1:29" x14ac:dyDescent="0.3">
      <c r="A86" s="17" t="s">
        <v>51</v>
      </c>
      <c r="B86">
        <v>2023</v>
      </c>
      <c r="C86" s="18">
        <v>977.61300000000006</v>
      </c>
      <c r="D86" s="14">
        <v>2.32198221586661E-3</v>
      </c>
      <c r="E86" s="16">
        <v>2.2421960428103999E-3</v>
      </c>
      <c r="F86" s="14">
        <v>0</v>
      </c>
      <c r="G86" s="16">
        <v>3.7795119336588197E-2</v>
      </c>
      <c r="H86" s="14">
        <v>6.7705728135775602E-3</v>
      </c>
      <c r="I86" s="16">
        <v>2.3672966705639099E-2</v>
      </c>
      <c r="J86" s="14">
        <v>0</v>
      </c>
      <c r="K86" s="15">
        <v>0</v>
      </c>
      <c r="L86" s="15">
        <v>0</v>
      </c>
      <c r="M86" s="15">
        <v>0</v>
      </c>
      <c r="N86" s="16">
        <v>0</v>
      </c>
      <c r="O86" s="14">
        <v>0</v>
      </c>
      <c r="P86" s="16">
        <v>0</v>
      </c>
      <c r="Q86" s="14">
        <v>0</v>
      </c>
      <c r="R86" s="15">
        <v>5.3824979823304302E-2</v>
      </c>
      <c r="S86" s="15">
        <v>0</v>
      </c>
      <c r="T86" s="16">
        <v>0</v>
      </c>
      <c r="U86" s="15">
        <v>6.8421757893972349E-3</v>
      </c>
      <c r="V86" s="16">
        <v>0</v>
      </c>
      <c r="W86" s="14">
        <v>0</v>
      </c>
      <c r="X86" s="15">
        <v>0</v>
      </c>
      <c r="Y86" s="16">
        <v>0</v>
      </c>
      <c r="Z86" s="14">
        <v>0.86172237889635295</v>
      </c>
      <c r="AA86" s="15">
        <v>4.8076283764639004E-3</v>
      </c>
      <c r="AB86" s="16">
        <v>0</v>
      </c>
      <c r="AC86" s="26">
        <f t="shared" si="2"/>
        <v>6.8238658855804851E-2</v>
      </c>
    </row>
    <row r="87" spans="1:29" ht="15" thickBot="1" x14ac:dyDescent="0.35">
      <c r="A87" s="4" t="s">
        <v>51</v>
      </c>
      <c r="B87" s="5">
        <v>2024</v>
      </c>
      <c r="C87" s="19">
        <v>1080.674</v>
      </c>
      <c r="D87" s="20">
        <v>2.5204640807496102E-2</v>
      </c>
      <c r="E87" s="21">
        <v>4.6267421997753303E-6</v>
      </c>
      <c r="F87" s="20">
        <v>0</v>
      </c>
      <c r="G87" s="21">
        <v>1.52987857577771E-2</v>
      </c>
      <c r="H87" s="20">
        <v>8.1439916200445293E-3</v>
      </c>
      <c r="I87" s="21">
        <v>3.1401699309875103E-2</v>
      </c>
      <c r="J87" s="20">
        <v>2.0154089022221301E-2</v>
      </c>
      <c r="K87" s="22">
        <v>3.7442373925901801E-2</v>
      </c>
      <c r="L87" s="22">
        <v>3.8761920801277702E-2</v>
      </c>
      <c r="M87" s="22">
        <v>0</v>
      </c>
      <c r="N87" s="21">
        <v>0</v>
      </c>
      <c r="O87" s="20">
        <v>0</v>
      </c>
      <c r="P87" s="21">
        <v>0</v>
      </c>
      <c r="Q87" s="20">
        <v>0</v>
      </c>
      <c r="R87" s="22">
        <v>5.9908908699570801E-2</v>
      </c>
      <c r="S87" s="22">
        <v>0</v>
      </c>
      <c r="T87" s="21">
        <v>0</v>
      </c>
      <c r="U87" s="22">
        <v>7.6608888759634227E-3</v>
      </c>
      <c r="V87" s="21">
        <v>2.0356811188996033E-2</v>
      </c>
      <c r="W87" s="20">
        <v>0</v>
      </c>
      <c r="X87" s="22">
        <v>0</v>
      </c>
      <c r="Y87" s="21">
        <v>0</v>
      </c>
      <c r="Z87" s="20">
        <v>0.71801486849873297</v>
      </c>
      <c r="AA87" s="22">
        <v>1.76463947499431E-2</v>
      </c>
      <c r="AB87" s="21">
        <v>0</v>
      </c>
      <c r="AC87" s="27">
        <f t="shared" si="2"/>
        <v>0.15120286043709752</v>
      </c>
    </row>
    <row r="89" spans="1:29" x14ac:dyDescent="0.3">
      <c r="A89" s="23" t="s">
        <v>31</v>
      </c>
    </row>
    <row r="90" spans="1:29" x14ac:dyDescent="0.3">
      <c r="A90" t="s">
        <v>32</v>
      </c>
    </row>
    <row r="91" spans="1:29" x14ac:dyDescent="0.3">
      <c r="A91" t="s">
        <v>33</v>
      </c>
    </row>
    <row r="92" spans="1:29" x14ac:dyDescent="0.3">
      <c r="A92" t="s">
        <v>48</v>
      </c>
    </row>
    <row r="94" spans="1:29" ht="15" thickBot="1" x14ac:dyDescent="0.35">
      <c r="A94" t="s">
        <v>84</v>
      </c>
    </row>
    <row r="95" spans="1:29" ht="15" thickBot="1" x14ac:dyDescent="0.35">
      <c r="A95" s="1"/>
      <c r="B95" s="2"/>
      <c r="C95" s="3"/>
      <c r="D95" s="88" t="s">
        <v>2</v>
      </c>
      <c r="E95" s="89"/>
      <c r="F95" s="89"/>
      <c r="G95" s="89"/>
      <c r="H95" s="89"/>
      <c r="I95" s="90"/>
      <c r="J95" s="88" t="s">
        <v>3</v>
      </c>
      <c r="K95" s="89"/>
      <c r="L95" s="89"/>
      <c r="M95" s="89"/>
      <c r="N95" s="89"/>
      <c r="O95" s="89"/>
      <c r="P95" s="89"/>
      <c r="Q95" s="89"/>
      <c r="R95" s="89"/>
      <c r="S95" s="89"/>
      <c r="T95" s="89"/>
      <c r="U95" s="89"/>
      <c r="V95" s="89"/>
      <c r="W95" s="89"/>
      <c r="X95" s="89"/>
      <c r="Y95" s="90"/>
      <c r="Z95" s="91" t="s">
        <v>4</v>
      </c>
      <c r="AA95" s="92"/>
      <c r="AB95" s="93"/>
      <c r="AC95" s="97" t="s">
        <v>38</v>
      </c>
    </row>
    <row r="96" spans="1:29" ht="15" thickBot="1" x14ac:dyDescent="0.35">
      <c r="A96" s="4"/>
      <c r="B96" s="5"/>
      <c r="C96" s="6"/>
      <c r="D96" s="85" t="s">
        <v>5</v>
      </c>
      <c r="E96" s="86"/>
      <c r="F96" s="85" t="s">
        <v>6</v>
      </c>
      <c r="G96" s="86"/>
      <c r="H96" s="85" t="s">
        <v>7</v>
      </c>
      <c r="I96" s="86"/>
      <c r="J96" s="85" t="s">
        <v>8</v>
      </c>
      <c r="K96" s="87"/>
      <c r="L96" s="87"/>
      <c r="M96" s="87"/>
      <c r="N96" s="86"/>
      <c r="O96" s="85" t="s">
        <v>9</v>
      </c>
      <c r="P96" s="86"/>
      <c r="Q96" s="85" t="s">
        <v>10</v>
      </c>
      <c r="R96" s="87"/>
      <c r="S96" s="87"/>
      <c r="T96" s="87"/>
      <c r="U96" s="87"/>
      <c r="V96" s="86"/>
      <c r="W96" s="85" t="s">
        <v>11</v>
      </c>
      <c r="X96" s="87"/>
      <c r="Y96" s="86"/>
      <c r="Z96" s="94"/>
      <c r="AA96" s="95"/>
      <c r="AB96" s="96"/>
      <c r="AC96" s="98"/>
    </row>
    <row r="97" spans="1:29" ht="43.8" thickBot="1" x14ac:dyDescent="0.35">
      <c r="A97" s="7" t="s">
        <v>12</v>
      </c>
      <c r="B97" s="8" t="s">
        <v>27</v>
      </c>
      <c r="C97" s="9" t="s">
        <v>13</v>
      </c>
      <c r="D97" s="7" t="s">
        <v>14</v>
      </c>
      <c r="E97" s="9" t="s">
        <v>15</v>
      </c>
      <c r="F97" s="7" t="s">
        <v>16</v>
      </c>
      <c r="G97" s="9" t="s">
        <v>17</v>
      </c>
      <c r="H97" s="7" t="s">
        <v>18</v>
      </c>
      <c r="I97" s="9" t="s">
        <v>19</v>
      </c>
      <c r="J97" s="7" t="s">
        <v>20</v>
      </c>
      <c r="K97" s="8" t="s">
        <v>21</v>
      </c>
      <c r="L97" s="8" t="s">
        <v>22</v>
      </c>
      <c r="M97" s="8" t="s">
        <v>7</v>
      </c>
      <c r="N97" s="9" t="s">
        <v>6</v>
      </c>
      <c r="O97" s="31" t="s">
        <v>40</v>
      </c>
      <c r="P97" s="31" t="s">
        <v>42</v>
      </c>
      <c r="Q97" s="7" t="s">
        <v>23</v>
      </c>
      <c r="R97" s="8" t="s">
        <v>60</v>
      </c>
      <c r="S97" s="8" t="s">
        <v>24</v>
      </c>
      <c r="T97" s="8" t="s">
        <v>25</v>
      </c>
      <c r="U97" s="7" t="s">
        <v>44</v>
      </c>
      <c r="V97" s="31" t="s">
        <v>62</v>
      </c>
      <c r="W97" s="7" t="s">
        <v>36</v>
      </c>
      <c r="X97" s="8" t="s">
        <v>35</v>
      </c>
      <c r="Y97" s="9" t="s">
        <v>43</v>
      </c>
      <c r="Z97" s="7" t="s">
        <v>4</v>
      </c>
      <c r="AA97" s="8" t="s">
        <v>28</v>
      </c>
      <c r="AB97" s="9" t="s">
        <v>29</v>
      </c>
      <c r="AC97" s="30" t="s">
        <v>37</v>
      </c>
    </row>
    <row r="98" spans="1:29" x14ac:dyDescent="0.3">
      <c r="A98" s="1" t="s">
        <v>51</v>
      </c>
      <c r="B98" s="2">
        <v>1989</v>
      </c>
      <c r="C98" s="71">
        <f>C11-C52</f>
        <v>0</v>
      </c>
      <c r="D98" s="11">
        <f t="shared" ref="D98:AC98" si="3">D11-D52</f>
        <v>0</v>
      </c>
      <c r="E98" s="12">
        <f t="shared" si="3"/>
        <v>0</v>
      </c>
      <c r="F98" s="13">
        <f t="shared" si="3"/>
        <v>0</v>
      </c>
      <c r="G98" s="13">
        <f t="shared" si="3"/>
        <v>0</v>
      </c>
      <c r="H98" s="11">
        <f t="shared" si="3"/>
        <v>0</v>
      </c>
      <c r="I98" s="12">
        <f t="shared" si="3"/>
        <v>0</v>
      </c>
      <c r="J98" s="13">
        <f t="shared" si="3"/>
        <v>0</v>
      </c>
      <c r="K98" s="13">
        <f t="shared" si="3"/>
        <v>0</v>
      </c>
      <c r="L98" s="13">
        <f t="shared" si="3"/>
        <v>0</v>
      </c>
      <c r="M98" s="13">
        <f t="shared" si="3"/>
        <v>0</v>
      </c>
      <c r="N98" s="13">
        <f t="shared" si="3"/>
        <v>0</v>
      </c>
      <c r="O98" s="11">
        <f t="shared" si="3"/>
        <v>0</v>
      </c>
      <c r="P98" s="12">
        <f t="shared" si="3"/>
        <v>0</v>
      </c>
      <c r="Q98" s="13">
        <f t="shared" si="3"/>
        <v>0</v>
      </c>
      <c r="R98" s="13">
        <f t="shared" si="3"/>
        <v>0</v>
      </c>
      <c r="S98" s="13">
        <f t="shared" si="3"/>
        <v>0</v>
      </c>
      <c r="T98" s="13">
        <f t="shared" si="3"/>
        <v>0</v>
      </c>
      <c r="U98" s="11">
        <f t="shared" si="3"/>
        <v>0</v>
      </c>
      <c r="V98" s="12">
        <f t="shared" si="3"/>
        <v>0</v>
      </c>
      <c r="W98" s="13">
        <f t="shared" si="3"/>
        <v>0</v>
      </c>
      <c r="X98" s="13">
        <f t="shared" si="3"/>
        <v>0</v>
      </c>
      <c r="Y98" s="13">
        <f t="shared" si="3"/>
        <v>0</v>
      </c>
      <c r="Z98" s="11">
        <f t="shared" si="3"/>
        <v>0</v>
      </c>
      <c r="AA98" s="13">
        <f t="shared" si="3"/>
        <v>0</v>
      </c>
      <c r="AB98" s="12">
        <f t="shared" si="3"/>
        <v>0</v>
      </c>
      <c r="AC98" s="12">
        <f t="shared" si="3"/>
        <v>0</v>
      </c>
    </row>
    <row r="99" spans="1:29" x14ac:dyDescent="0.3">
      <c r="A99" s="17" t="s">
        <v>51</v>
      </c>
      <c r="B99" s="72">
        <v>1990</v>
      </c>
      <c r="C99" s="73">
        <f t="shared" ref="C99:AC99" si="4">C12-C53</f>
        <v>0</v>
      </c>
      <c r="D99" s="14">
        <f t="shared" si="4"/>
        <v>0</v>
      </c>
      <c r="E99" s="16">
        <f t="shared" si="4"/>
        <v>0</v>
      </c>
      <c r="F99" s="15">
        <f t="shared" si="4"/>
        <v>0</v>
      </c>
      <c r="G99" s="15">
        <f t="shared" si="4"/>
        <v>0</v>
      </c>
      <c r="H99" s="14">
        <f t="shared" si="4"/>
        <v>0</v>
      </c>
      <c r="I99" s="16">
        <f t="shared" si="4"/>
        <v>0</v>
      </c>
      <c r="J99" s="15">
        <f t="shared" si="4"/>
        <v>0</v>
      </c>
      <c r="K99" s="15">
        <f t="shared" si="4"/>
        <v>0</v>
      </c>
      <c r="L99" s="15">
        <f t="shared" si="4"/>
        <v>0</v>
      </c>
      <c r="M99" s="15">
        <f t="shared" si="4"/>
        <v>0</v>
      </c>
      <c r="N99" s="15">
        <f t="shared" si="4"/>
        <v>0</v>
      </c>
      <c r="O99" s="14">
        <f t="shared" si="4"/>
        <v>0</v>
      </c>
      <c r="P99" s="16">
        <f t="shared" si="4"/>
        <v>0</v>
      </c>
      <c r="Q99" s="15">
        <f t="shared" si="4"/>
        <v>0</v>
      </c>
      <c r="R99" s="15">
        <f t="shared" si="4"/>
        <v>0</v>
      </c>
      <c r="S99" s="15">
        <f t="shared" si="4"/>
        <v>0</v>
      </c>
      <c r="T99" s="15">
        <f t="shared" si="4"/>
        <v>0</v>
      </c>
      <c r="U99" s="14">
        <f t="shared" si="4"/>
        <v>0</v>
      </c>
      <c r="V99" s="16">
        <f t="shared" si="4"/>
        <v>0</v>
      </c>
      <c r="W99" s="15">
        <f t="shared" si="4"/>
        <v>0</v>
      </c>
      <c r="X99" s="15">
        <f t="shared" si="4"/>
        <v>0</v>
      </c>
      <c r="Y99" s="15">
        <f t="shared" si="4"/>
        <v>0</v>
      </c>
      <c r="Z99" s="14">
        <f t="shared" si="4"/>
        <v>0</v>
      </c>
      <c r="AA99" s="15">
        <f t="shared" si="4"/>
        <v>0</v>
      </c>
      <c r="AB99" s="16">
        <f t="shared" si="4"/>
        <v>0</v>
      </c>
      <c r="AC99" s="16">
        <f t="shared" si="4"/>
        <v>0</v>
      </c>
    </row>
    <row r="100" spans="1:29" x14ac:dyDescent="0.3">
      <c r="A100" s="17" t="s">
        <v>51</v>
      </c>
      <c r="B100" s="72">
        <v>1991</v>
      </c>
      <c r="C100" s="73">
        <f t="shared" ref="C100:AC100" si="5">C13-C54</f>
        <v>0</v>
      </c>
      <c r="D100" s="14">
        <f t="shared" si="5"/>
        <v>0</v>
      </c>
      <c r="E100" s="16">
        <f t="shared" si="5"/>
        <v>0</v>
      </c>
      <c r="F100" s="15">
        <f t="shared" si="5"/>
        <v>0</v>
      </c>
      <c r="G100" s="15">
        <f t="shared" si="5"/>
        <v>0</v>
      </c>
      <c r="H100" s="14">
        <f t="shared" si="5"/>
        <v>0</v>
      </c>
      <c r="I100" s="16">
        <f t="shared" si="5"/>
        <v>0</v>
      </c>
      <c r="J100" s="15">
        <f t="shared" si="5"/>
        <v>0</v>
      </c>
      <c r="K100" s="15">
        <f t="shared" si="5"/>
        <v>0</v>
      </c>
      <c r="L100" s="15">
        <f t="shared" si="5"/>
        <v>0</v>
      </c>
      <c r="M100" s="15">
        <f t="shared" si="5"/>
        <v>0</v>
      </c>
      <c r="N100" s="15">
        <f t="shared" si="5"/>
        <v>0</v>
      </c>
      <c r="O100" s="14">
        <f t="shared" si="5"/>
        <v>0</v>
      </c>
      <c r="P100" s="16">
        <f t="shared" si="5"/>
        <v>0</v>
      </c>
      <c r="Q100" s="15">
        <f t="shared" si="5"/>
        <v>0</v>
      </c>
      <c r="R100" s="15">
        <f t="shared" si="5"/>
        <v>0</v>
      </c>
      <c r="S100" s="15">
        <f t="shared" si="5"/>
        <v>0</v>
      </c>
      <c r="T100" s="15">
        <f t="shared" si="5"/>
        <v>0</v>
      </c>
      <c r="U100" s="14">
        <f t="shared" si="5"/>
        <v>0</v>
      </c>
      <c r="V100" s="16">
        <f t="shared" si="5"/>
        <v>0</v>
      </c>
      <c r="W100" s="15">
        <f t="shared" si="5"/>
        <v>0</v>
      </c>
      <c r="X100" s="15">
        <f t="shared" si="5"/>
        <v>0</v>
      </c>
      <c r="Y100" s="15">
        <f t="shared" si="5"/>
        <v>0</v>
      </c>
      <c r="Z100" s="14">
        <f t="shared" si="5"/>
        <v>0</v>
      </c>
      <c r="AA100" s="15">
        <f t="shared" si="5"/>
        <v>0</v>
      </c>
      <c r="AB100" s="16">
        <f t="shared" si="5"/>
        <v>0</v>
      </c>
      <c r="AC100" s="16">
        <f t="shared" si="5"/>
        <v>0</v>
      </c>
    </row>
    <row r="101" spans="1:29" x14ac:dyDescent="0.3">
      <c r="A101" s="17" t="s">
        <v>51</v>
      </c>
      <c r="B101" s="72">
        <v>1992</v>
      </c>
      <c r="C101" s="73">
        <f t="shared" ref="C101:AC101" si="6">C14-C55</f>
        <v>0</v>
      </c>
      <c r="D101" s="14">
        <f t="shared" si="6"/>
        <v>0</v>
      </c>
      <c r="E101" s="16">
        <f t="shared" si="6"/>
        <v>0</v>
      </c>
      <c r="F101" s="15">
        <f t="shared" si="6"/>
        <v>0</v>
      </c>
      <c r="G101" s="15">
        <f t="shared" si="6"/>
        <v>0</v>
      </c>
      <c r="H101" s="14">
        <f t="shared" si="6"/>
        <v>0</v>
      </c>
      <c r="I101" s="16">
        <f t="shared" si="6"/>
        <v>0</v>
      </c>
      <c r="J101" s="15">
        <f t="shared" si="6"/>
        <v>0</v>
      </c>
      <c r="K101" s="15">
        <f t="shared" si="6"/>
        <v>0</v>
      </c>
      <c r="L101" s="15">
        <f t="shared" si="6"/>
        <v>0</v>
      </c>
      <c r="M101" s="15">
        <f t="shared" si="6"/>
        <v>0</v>
      </c>
      <c r="N101" s="15">
        <f t="shared" si="6"/>
        <v>0</v>
      </c>
      <c r="O101" s="14">
        <f t="shared" si="6"/>
        <v>0</v>
      </c>
      <c r="P101" s="16">
        <f t="shared" si="6"/>
        <v>0</v>
      </c>
      <c r="Q101" s="15">
        <f t="shared" si="6"/>
        <v>0</v>
      </c>
      <c r="R101" s="15">
        <f t="shared" si="6"/>
        <v>0</v>
      </c>
      <c r="S101" s="15">
        <f t="shared" si="6"/>
        <v>0</v>
      </c>
      <c r="T101" s="15">
        <f t="shared" si="6"/>
        <v>0</v>
      </c>
      <c r="U101" s="14">
        <f t="shared" si="6"/>
        <v>0</v>
      </c>
      <c r="V101" s="16">
        <f t="shared" si="6"/>
        <v>0</v>
      </c>
      <c r="W101" s="15">
        <f t="shared" si="6"/>
        <v>0</v>
      </c>
      <c r="X101" s="15">
        <f t="shared" si="6"/>
        <v>0</v>
      </c>
      <c r="Y101" s="15">
        <f t="shared" si="6"/>
        <v>0</v>
      </c>
      <c r="Z101" s="14">
        <f t="shared" si="6"/>
        <v>0</v>
      </c>
      <c r="AA101" s="15">
        <f t="shared" si="6"/>
        <v>0</v>
      </c>
      <c r="AB101" s="16">
        <f t="shared" si="6"/>
        <v>0</v>
      </c>
      <c r="AC101" s="16">
        <f t="shared" si="6"/>
        <v>0</v>
      </c>
    </row>
    <row r="102" spans="1:29" x14ac:dyDescent="0.3">
      <c r="A102" s="17" t="s">
        <v>51</v>
      </c>
      <c r="B102" s="72">
        <v>1993</v>
      </c>
      <c r="C102" s="73">
        <f t="shared" ref="C102:AC102" si="7">C15-C56</f>
        <v>0</v>
      </c>
      <c r="D102" s="14">
        <f t="shared" si="7"/>
        <v>0</v>
      </c>
      <c r="E102" s="16">
        <f t="shared" si="7"/>
        <v>0</v>
      </c>
      <c r="F102" s="15">
        <f t="shared" si="7"/>
        <v>0</v>
      </c>
      <c r="G102" s="15">
        <f t="shared" si="7"/>
        <v>0</v>
      </c>
      <c r="H102" s="14">
        <f t="shared" si="7"/>
        <v>0</v>
      </c>
      <c r="I102" s="16">
        <f t="shared" si="7"/>
        <v>0</v>
      </c>
      <c r="J102" s="15">
        <f t="shared" si="7"/>
        <v>0</v>
      </c>
      <c r="K102" s="15">
        <f t="shared" si="7"/>
        <v>0</v>
      </c>
      <c r="L102" s="15">
        <f t="shared" si="7"/>
        <v>0</v>
      </c>
      <c r="M102" s="15">
        <f t="shared" si="7"/>
        <v>0</v>
      </c>
      <c r="N102" s="15">
        <f t="shared" si="7"/>
        <v>0</v>
      </c>
      <c r="O102" s="14">
        <f t="shared" si="7"/>
        <v>0</v>
      </c>
      <c r="P102" s="16">
        <f t="shared" si="7"/>
        <v>0</v>
      </c>
      <c r="Q102" s="15">
        <f t="shared" si="7"/>
        <v>0</v>
      </c>
      <c r="R102" s="15">
        <f t="shared" si="7"/>
        <v>0</v>
      </c>
      <c r="S102" s="15">
        <f t="shared" si="7"/>
        <v>0</v>
      </c>
      <c r="T102" s="15">
        <f t="shared" si="7"/>
        <v>0</v>
      </c>
      <c r="U102" s="14">
        <f t="shared" si="7"/>
        <v>0</v>
      </c>
      <c r="V102" s="16">
        <f t="shared" si="7"/>
        <v>0</v>
      </c>
      <c r="W102" s="15">
        <f t="shared" si="7"/>
        <v>0</v>
      </c>
      <c r="X102" s="15">
        <f t="shared" si="7"/>
        <v>0</v>
      </c>
      <c r="Y102" s="15">
        <f t="shared" si="7"/>
        <v>0</v>
      </c>
      <c r="Z102" s="14">
        <f t="shared" si="7"/>
        <v>0</v>
      </c>
      <c r="AA102" s="15">
        <f t="shared" si="7"/>
        <v>0</v>
      </c>
      <c r="AB102" s="16">
        <f t="shared" si="7"/>
        <v>0</v>
      </c>
      <c r="AC102" s="16">
        <f t="shared" si="7"/>
        <v>0</v>
      </c>
    </row>
    <row r="103" spans="1:29" x14ac:dyDescent="0.3">
      <c r="A103" s="17" t="s">
        <v>51</v>
      </c>
      <c r="B103" s="72">
        <v>1994</v>
      </c>
      <c r="C103" s="73">
        <f t="shared" ref="C103:AC103" si="8">C16-C57</f>
        <v>0</v>
      </c>
      <c r="D103" s="14">
        <f t="shared" si="8"/>
        <v>0</v>
      </c>
      <c r="E103" s="16">
        <f t="shared" si="8"/>
        <v>0</v>
      </c>
      <c r="F103" s="15">
        <f t="shared" si="8"/>
        <v>0</v>
      </c>
      <c r="G103" s="15">
        <f t="shared" si="8"/>
        <v>0</v>
      </c>
      <c r="H103" s="14">
        <f t="shared" si="8"/>
        <v>0</v>
      </c>
      <c r="I103" s="16">
        <f t="shared" si="8"/>
        <v>0</v>
      </c>
      <c r="J103" s="15">
        <f t="shared" si="8"/>
        <v>0</v>
      </c>
      <c r="K103" s="15">
        <f t="shared" si="8"/>
        <v>0</v>
      </c>
      <c r="L103" s="15">
        <f t="shared" si="8"/>
        <v>0</v>
      </c>
      <c r="M103" s="15">
        <f t="shared" si="8"/>
        <v>0</v>
      </c>
      <c r="N103" s="15">
        <f t="shared" si="8"/>
        <v>0</v>
      </c>
      <c r="O103" s="14">
        <f t="shared" si="8"/>
        <v>0</v>
      </c>
      <c r="P103" s="16">
        <f t="shared" si="8"/>
        <v>0</v>
      </c>
      <c r="Q103" s="15">
        <f t="shared" si="8"/>
        <v>0</v>
      </c>
      <c r="R103" s="15">
        <f t="shared" si="8"/>
        <v>0</v>
      </c>
      <c r="S103" s="15">
        <f t="shared" si="8"/>
        <v>0</v>
      </c>
      <c r="T103" s="15">
        <f t="shared" si="8"/>
        <v>0</v>
      </c>
      <c r="U103" s="14">
        <f t="shared" si="8"/>
        <v>0</v>
      </c>
      <c r="V103" s="16">
        <f t="shared" si="8"/>
        <v>0</v>
      </c>
      <c r="W103" s="15">
        <f t="shared" si="8"/>
        <v>0</v>
      </c>
      <c r="X103" s="15">
        <f t="shared" si="8"/>
        <v>0</v>
      </c>
      <c r="Y103" s="15">
        <f t="shared" si="8"/>
        <v>0</v>
      </c>
      <c r="Z103" s="14">
        <f t="shared" si="8"/>
        <v>0</v>
      </c>
      <c r="AA103" s="15">
        <f t="shared" si="8"/>
        <v>0</v>
      </c>
      <c r="AB103" s="16">
        <f t="shared" si="8"/>
        <v>0</v>
      </c>
      <c r="AC103" s="16">
        <f t="shared" si="8"/>
        <v>0</v>
      </c>
    </row>
    <row r="104" spans="1:29" x14ac:dyDescent="0.3">
      <c r="A104" s="17" t="s">
        <v>51</v>
      </c>
      <c r="B104" s="72">
        <v>1995</v>
      </c>
      <c r="C104" s="73">
        <f t="shared" ref="C104:AC104" si="9">C17-C58</f>
        <v>0</v>
      </c>
      <c r="D104" s="14">
        <f t="shared" si="9"/>
        <v>0</v>
      </c>
      <c r="E104" s="16">
        <f t="shared" si="9"/>
        <v>0</v>
      </c>
      <c r="F104" s="15">
        <f t="shared" si="9"/>
        <v>0</v>
      </c>
      <c r="G104" s="15">
        <f t="shared" si="9"/>
        <v>0</v>
      </c>
      <c r="H104" s="14">
        <f t="shared" si="9"/>
        <v>0</v>
      </c>
      <c r="I104" s="16">
        <f t="shared" si="9"/>
        <v>0</v>
      </c>
      <c r="J104" s="15">
        <f t="shared" si="9"/>
        <v>0</v>
      </c>
      <c r="K104" s="15">
        <f t="shared" si="9"/>
        <v>0</v>
      </c>
      <c r="L104" s="15">
        <f t="shared" si="9"/>
        <v>0</v>
      </c>
      <c r="M104" s="15">
        <f t="shared" si="9"/>
        <v>0</v>
      </c>
      <c r="N104" s="15">
        <f t="shared" si="9"/>
        <v>0</v>
      </c>
      <c r="O104" s="14">
        <f t="shared" si="9"/>
        <v>0</v>
      </c>
      <c r="P104" s="16">
        <f t="shared" si="9"/>
        <v>0</v>
      </c>
      <c r="Q104" s="15">
        <f t="shared" si="9"/>
        <v>0</v>
      </c>
      <c r="R104" s="15">
        <f t="shared" si="9"/>
        <v>0</v>
      </c>
      <c r="S104" s="15">
        <f t="shared" si="9"/>
        <v>0</v>
      </c>
      <c r="T104" s="15">
        <f t="shared" si="9"/>
        <v>0</v>
      </c>
      <c r="U104" s="14">
        <f t="shared" si="9"/>
        <v>0</v>
      </c>
      <c r="V104" s="16">
        <f t="shared" si="9"/>
        <v>0</v>
      </c>
      <c r="W104" s="15">
        <f t="shared" si="9"/>
        <v>0</v>
      </c>
      <c r="X104" s="15">
        <f t="shared" si="9"/>
        <v>0</v>
      </c>
      <c r="Y104" s="15">
        <f t="shared" si="9"/>
        <v>0</v>
      </c>
      <c r="Z104" s="14">
        <f t="shared" si="9"/>
        <v>0</v>
      </c>
      <c r="AA104" s="15">
        <f t="shared" si="9"/>
        <v>0</v>
      </c>
      <c r="AB104" s="16">
        <f t="shared" si="9"/>
        <v>0</v>
      </c>
      <c r="AC104" s="16">
        <f t="shared" si="9"/>
        <v>0</v>
      </c>
    </row>
    <row r="105" spans="1:29" x14ac:dyDescent="0.3">
      <c r="A105" s="17" t="s">
        <v>51</v>
      </c>
      <c r="B105" s="72">
        <v>1996</v>
      </c>
      <c r="C105" s="73">
        <f t="shared" ref="C105:AC105" si="10">C18-C59</f>
        <v>0</v>
      </c>
      <c r="D105" s="14">
        <f t="shared" si="10"/>
        <v>0</v>
      </c>
      <c r="E105" s="16">
        <f t="shared" si="10"/>
        <v>0</v>
      </c>
      <c r="F105" s="15">
        <f t="shared" si="10"/>
        <v>0</v>
      </c>
      <c r="G105" s="15">
        <f t="shared" si="10"/>
        <v>0</v>
      </c>
      <c r="H105" s="14">
        <f t="shared" si="10"/>
        <v>0</v>
      </c>
      <c r="I105" s="16">
        <f t="shared" si="10"/>
        <v>0</v>
      </c>
      <c r="J105" s="15">
        <f t="shared" si="10"/>
        <v>0</v>
      </c>
      <c r="K105" s="15">
        <f t="shared" si="10"/>
        <v>0</v>
      </c>
      <c r="L105" s="15">
        <f t="shared" si="10"/>
        <v>0</v>
      </c>
      <c r="M105" s="15">
        <f t="shared" si="10"/>
        <v>0</v>
      </c>
      <c r="N105" s="15">
        <f t="shared" si="10"/>
        <v>0</v>
      </c>
      <c r="O105" s="14">
        <f t="shared" si="10"/>
        <v>0</v>
      </c>
      <c r="P105" s="16">
        <f t="shared" si="10"/>
        <v>0</v>
      </c>
      <c r="Q105" s="15">
        <f t="shared" si="10"/>
        <v>0</v>
      </c>
      <c r="R105" s="15">
        <f t="shared" si="10"/>
        <v>0</v>
      </c>
      <c r="S105" s="15">
        <f t="shared" si="10"/>
        <v>0</v>
      </c>
      <c r="T105" s="15">
        <f t="shared" si="10"/>
        <v>0</v>
      </c>
      <c r="U105" s="14">
        <f t="shared" si="10"/>
        <v>0</v>
      </c>
      <c r="V105" s="16">
        <f t="shared" si="10"/>
        <v>0</v>
      </c>
      <c r="W105" s="15">
        <f t="shared" si="10"/>
        <v>0</v>
      </c>
      <c r="X105" s="15">
        <f t="shared" si="10"/>
        <v>0</v>
      </c>
      <c r="Y105" s="15">
        <f t="shared" si="10"/>
        <v>0</v>
      </c>
      <c r="Z105" s="14">
        <f t="shared" si="10"/>
        <v>0</v>
      </c>
      <c r="AA105" s="15">
        <f t="shared" si="10"/>
        <v>0</v>
      </c>
      <c r="AB105" s="16">
        <f t="shared" si="10"/>
        <v>0</v>
      </c>
      <c r="AC105" s="16">
        <f t="shared" si="10"/>
        <v>0</v>
      </c>
    </row>
    <row r="106" spans="1:29" x14ac:dyDescent="0.3">
      <c r="A106" s="17" t="s">
        <v>51</v>
      </c>
      <c r="B106" s="72">
        <v>1997</v>
      </c>
      <c r="C106" s="73">
        <f t="shared" ref="C106:AC106" si="11">C19-C60</f>
        <v>0</v>
      </c>
      <c r="D106" s="14">
        <f t="shared" si="11"/>
        <v>0</v>
      </c>
      <c r="E106" s="16">
        <f t="shared" si="11"/>
        <v>0</v>
      </c>
      <c r="F106" s="15">
        <f t="shared" si="11"/>
        <v>0</v>
      </c>
      <c r="G106" s="15">
        <f t="shared" si="11"/>
        <v>0</v>
      </c>
      <c r="H106" s="14">
        <f t="shared" si="11"/>
        <v>0</v>
      </c>
      <c r="I106" s="16">
        <f t="shared" si="11"/>
        <v>0</v>
      </c>
      <c r="J106" s="15">
        <f t="shared" si="11"/>
        <v>0</v>
      </c>
      <c r="K106" s="15">
        <f t="shared" si="11"/>
        <v>0</v>
      </c>
      <c r="L106" s="15">
        <f t="shared" si="11"/>
        <v>0</v>
      </c>
      <c r="M106" s="15">
        <f t="shared" si="11"/>
        <v>0</v>
      </c>
      <c r="N106" s="15">
        <f t="shared" si="11"/>
        <v>0</v>
      </c>
      <c r="O106" s="14">
        <f t="shared" si="11"/>
        <v>0</v>
      </c>
      <c r="P106" s="16">
        <f t="shared" si="11"/>
        <v>0</v>
      </c>
      <c r="Q106" s="15">
        <f t="shared" si="11"/>
        <v>0</v>
      </c>
      <c r="R106" s="15">
        <f t="shared" si="11"/>
        <v>0</v>
      </c>
      <c r="S106" s="15">
        <f t="shared" si="11"/>
        <v>0</v>
      </c>
      <c r="T106" s="15">
        <f t="shared" si="11"/>
        <v>0</v>
      </c>
      <c r="U106" s="14">
        <f t="shared" si="11"/>
        <v>0</v>
      </c>
      <c r="V106" s="16">
        <f t="shared" si="11"/>
        <v>0</v>
      </c>
      <c r="W106" s="15">
        <f t="shared" si="11"/>
        <v>0</v>
      </c>
      <c r="X106" s="15">
        <f t="shared" si="11"/>
        <v>0</v>
      </c>
      <c r="Y106" s="15">
        <f t="shared" si="11"/>
        <v>0</v>
      </c>
      <c r="Z106" s="14">
        <f t="shared" si="11"/>
        <v>0</v>
      </c>
      <c r="AA106" s="15">
        <f t="shared" si="11"/>
        <v>0</v>
      </c>
      <c r="AB106" s="16">
        <f t="shared" si="11"/>
        <v>0</v>
      </c>
      <c r="AC106" s="16">
        <f t="shared" si="11"/>
        <v>0</v>
      </c>
    </row>
    <row r="107" spans="1:29" x14ac:dyDescent="0.3">
      <c r="A107" s="17" t="s">
        <v>51</v>
      </c>
      <c r="B107" s="72">
        <v>1998</v>
      </c>
      <c r="C107" s="73">
        <f t="shared" ref="C107:AC107" si="12">C20-C61</f>
        <v>0</v>
      </c>
      <c r="D107" s="14">
        <f t="shared" si="12"/>
        <v>0</v>
      </c>
      <c r="E107" s="16">
        <f t="shared" si="12"/>
        <v>0</v>
      </c>
      <c r="F107" s="15">
        <f t="shared" si="12"/>
        <v>0</v>
      </c>
      <c r="G107" s="15">
        <f t="shared" si="12"/>
        <v>0</v>
      </c>
      <c r="H107" s="14">
        <f t="shared" si="12"/>
        <v>0</v>
      </c>
      <c r="I107" s="16">
        <f t="shared" si="12"/>
        <v>0</v>
      </c>
      <c r="J107" s="15">
        <f t="shared" si="12"/>
        <v>0</v>
      </c>
      <c r="K107" s="15">
        <f t="shared" si="12"/>
        <v>0</v>
      </c>
      <c r="L107" s="15">
        <f t="shared" si="12"/>
        <v>0</v>
      </c>
      <c r="M107" s="15">
        <f t="shared" si="12"/>
        <v>0</v>
      </c>
      <c r="N107" s="15">
        <f t="shared" si="12"/>
        <v>0</v>
      </c>
      <c r="O107" s="14">
        <f t="shared" si="12"/>
        <v>0</v>
      </c>
      <c r="P107" s="16">
        <f t="shared" si="12"/>
        <v>0</v>
      </c>
      <c r="Q107" s="15">
        <f t="shared" si="12"/>
        <v>0</v>
      </c>
      <c r="R107" s="15">
        <f t="shared" si="12"/>
        <v>0</v>
      </c>
      <c r="S107" s="15">
        <f t="shared" si="12"/>
        <v>0</v>
      </c>
      <c r="T107" s="15">
        <f t="shared" si="12"/>
        <v>0</v>
      </c>
      <c r="U107" s="14">
        <f t="shared" si="12"/>
        <v>0</v>
      </c>
      <c r="V107" s="16">
        <f t="shared" si="12"/>
        <v>0</v>
      </c>
      <c r="W107" s="15">
        <f t="shared" si="12"/>
        <v>0</v>
      </c>
      <c r="X107" s="15">
        <f t="shared" si="12"/>
        <v>0</v>
      </c>
      <c r="Y107" s="15">
        <f t="shared" si="12"/>
        <v>0</v>
      </c>
      <c r="Z107" s="14">
        <f t="shared" si="12"/>
        <v>0</v>
      </c>
      <c r="AA107" s="15">
        <f t="shared" si="12"/>
        <v>0</v>
      </c>
      <c r="AB107" s="16">
        <f t="shared" si="12"/>
        <v>0</v>
      </c>
      <c r="AC107" s="16">
        <f t="shared" si="12"/>
        <v>0</v>
      </c>
    </row>
    <row r="108" spans="1:29" x14ac:dyDescent="0.3">
      <c r="A108" s="17" t="s">
        <v>51</v>
      </c>
      <c r="B108" s="72">
        <v>1999</v>
      </c>
      <c r="C108" s="73">
        <f t="shared" ref="C108:AC108" si="13">C21-C62</f>
        <v>0</v>
      </c>
      <c r="D108" s="14">
        <f t="shared" si="13"/>
        <v>0</v>
      </c>
      <c r="E108" s="16">
        <f t="shared" si="13"/>
        <v>0</v>
      </c>
      <c r="F108" s="15">
        <f t="shared" si="13"/>
        <v>0</v>
      </c>
      <c r="G108" s="15">
        <f t="shared" si="13"/>
        <v>0</v>
      </c>
      <c r="H108" s="14">
        <f t="shared" si="13"/>
        <v>0</v>
      </c>
      <c r="I108" s="16">
        <f t="shared" si="13"/>
        <v>0</v>
      </c>
      <c r="J108" s="15">
        <f t="shared" si="13"/>
        <v>0</v>
      </c>
      <c r="K108" s="15">
        <f t="shared" si="13"/>
        <v>0</v>
      </c>
      <c r="L108" s="15">
        <f t="shared" si="13"/>
        <v>0</v>
      </c>
      <c r="M108" s="15">
        <f t="shared" si="13"/>
        <v>0</v>
      </c>
      <c r="N108" s="15">
        <f t="shared" si="13"/>
        <v>0</v>
      </c>
      <c r="O108" s="14">
        <f t="shared" si="13"/>
        <v>0</v>
      </c>
      <c r="P108" s="16">
        <f t="shared" si="13"/>
        <v>0</v>
      </c>
      <c r="Q108" s="15">
        <f t="shared" si="13"/>
        <v>0</v>
      </c>
      <c r="R108" s="15">
        <f t="shared" si="13"/>
        <v>0</v>
      </c>
      <c r="S108" s="15">
        <f t="shared" si="13"/>
        <v>0</v>
      </c>
      <c r="T108" s="15">
        <f t="shared" si="13"/>
        <v>0</v>
      </c>
      <c r="U108" s="14">
        <f t="shared" si="13"/>
        <v>0</v>
      </c>
      <c r="V108" s="16">
        <f t="shared" si="13"/>
        <v>0</v>
      </c>
      <c r="W108" s="15">
        <f t="shared" si="13"/>
        <v>0</v>
      </c>
      <c r="X108" s="15">
        <f t="shared" si="13"/>
        <v>0</v>
      </c>
      <c r="Y108" s="15">
        <f t="shared" si="13"/>
        <v>0</v>
      </c>
      <c r="Z108" s="14">
        <f t="shared" si="13"/>
        <v>0</v>
      </c>
      <c r="AA108" s="15">
        <f t="shared" si="13"/>
        <v>0</v>
      </c>
      <c r="AB108" s="16">
        <f t="shared" si="13"/>
        <v>0</v>
      </c>
      <c r="AC108" s="16">
        <f t="shared" si="13"/>
        <v>0</v>
      </c>
    </row>
    <row r="109" spans="1:29" x14ac:dyDescent="0.3">
      <c r="A109" s="17" t="s">
        <v>51</v>
      </c>
      <c r="B109" s="72">
        <v>2000</v>
      </c>
      <c r="C109" s="73">
        <f t="shared" ref="C109:AC109" si="14">C22-C63</f>
        <v>0</v>
      </c>
      <c r="D109" s="14">
        <f t="shared" si="14"/>
        <v>0</v>
      </c>
      <c r="E109" s="16">
        <f t="shared" si="14"/>
        <v>0</v>
      </c>
      <c r="F109" s="15">
        <f t="shared" si="14"/>
        <v>0</v>
      </c>
      <c r="G109" s="15">
        <f t="shared" si="14"/>
        <v>0</v>
      </c>
      <c r="H109" s="14">
        <f t="shared" si="14"/>
        <v>0</v>
      </c>
      <c r="I109" s="16">
        <f t="shared" si="14"/>
        <v>0</v>
      </c>
      <c r="J109" s="15">
        <f t="shared" si="14"/>
        <v>0</v>
      </c>
      <c r="K109" s="15">
        <f t="shared" si="14"/>
        <v>0</v>
      </c>
      <c r="L109" s="15">
        <f t="shared" si="14"/>
        <v>0</v>
      </c>
      <c r="M109" s="15">
        <f t="shared" si="14"/>
        <v>0</v>
      </c>
      <c r="N109" s="15">
        <f t="shared" si="14"/>
        <v>0</v>
      </c>
      <c r="O109" s="14">
        <f t="shared" si="14"/>
        <v>0</v>
      </c>
      <c r="P109" s="16">
        <f t="shared" si="14"/>
        <v>0</v>
      </c>
      <c r="Q109" s="15">
        <f t="shared" si="14"/>
        <v>0</v>
      </c>
      <c r="R109" s="15">
        <f t="shared" si="14"/>
        <v>0</v>
      </c>
      <c r="S109" s="15">
        <f t="shared" si="14"/>
        <v>0</v>
      </c>
      <c r="T109" s="15">
        <f t="shared" si="14"/>
        <v>0</v>
      </c>
      <c r="U109" s="14">
        <f t="shared" si="14"/>
        <v>0</v>
      </c>
      <c r="V109" s="16">
        <f t="shared" si="14"/>
        <v>0</v>
      </c>
      <c r="W109" s="15">
        <f t="shared" si="14"/>
        <v>0</v>
      </c>
      <c r="X109" s="15">
        <f t="shared" si="14"/>
        <v>0</v>
      </c>
      <c r="Y109" s="15">
        <f t="shared" si="14"/>
        <v>0</v>
      </c>
      <c r="Z109" s="14">
        <f t="shared" si="14"/>
        <v>0</v>
      </c>
      <c r="AA109" s="15">
        <f t="shared" si="14"/>
        <v>0</v>
      </c>
      <c r="AB109" s="16">
        <f t="shared" si="14"/>
        <v>0</v>
      </c>
      <c r="AC109" s="16">
        <f t="shared" si="14"/>
        <v>0</v>
      </c>
    </row>
    <row r="110" spans="1:29" x14ac:dyDescent="0.3">
      <c r="A110" s="17" t="s">
        <v>51</v>
      </c>
      <c r="B110" s="72">
        <v>2001</v>
      </c>
      <c r="C110" s="73">
        <f t="shared" ref="C110:AC110" si="15">C23-C64</f>
        <v>0</v>
      </c>
      <c r="D110" s="14">
        <f t="shared" si="15"/>
        <v>0</v>
      </c>
      <c r="E110" s="16">
        <f t="shared" si="15"/>
        <v>0</v>
      </c>
      <c r="F110" s="15">
        <f t="shared" si="15"/>
        <v>0</v>
      </c>
      <c r="G110" s="15">
        <f t="shared" si="15"/>
        <v>0</v>
      </c>
      <c r="H110" s="14">
        <f t="shared" si="15"/>
        <v>0</v>
      </c>
      <c r="I110" s="16">
        <f t="shared" si="15"/>
        <v>0</v>
      </c>
      <c r="J110" s="15">
        <f t="shared" si="15"/>
        <v>0</v>
      </c>
      <c r="K110" s="15">
        <f t="shared" si="15"/>
        <v>0</v>
      </c>
      <c r="L110" s="15">
        <f t="shared" si="15"/>
        <v>0</v>
      </c>
      <c r="M110" s="15">
        <f t="shared" si="15"/>
        <v>0</v>
      </c>
      <c r="N110" s="15">
        <f t="shared" si="15"/>
        <v>0</v>
      </c>
      <c r="O110" s="14">
        <f t="shared" si="15"/>
        <v>0</v>
      </c>
      <c r="P110" s="16">
        <f t="shared" si="15"/>
        <v>0</v>
      </c>
      <c r="Q110" s="15">
        <f t="shared" si="15"/>
        <v>0</v>
      </c>
      <c r="R110" s="15">
        <f t="shared" si="15"/>
        <v>0</v>
      </c>
      <c r="S110" s="15">
        <f t="shared" si="15"/>
        <v>0</v>
      </c>
      <c r="T110" s="15">
        <f t="shared" si="15"/>
        <v>0</v>
      </c>
      <c r="U110" s="14">
        <f t="shared" si="15"/>
        <v>0</v>
      </c>
      <c r="V110" s="16">
        <f t="shared" si="15"/>
        <v>0</v>
      </c>
      <c r="W110" s="15">
        <f t="shared" si="15"/>
        <v>0</v>
      </c>
      <c r="X110" s="15">
        <f t="shared" si="15"/>
        <v>0</v>
      </c>
      <c r="Y110" s="15">
        <f t="shared" si="15"/>
        <v>0</v>
      </c>
      <c r="Z110" s="14">
        <f t="shared" si="15"/>
        <v>0</v>
      </c>
      <c r="AA110" s="15">
        <f t="shared" si="15"/>
        <v>0</v>
      </c>
      <c r="AB110" s="16">
        <f t="shared" si="15"/>
        <v>0</v>
      </c>
      <c r="AC110" s="16">
        <f t="shared" si="15"/>
        <v>0</v>
      </c>
    </row>
    <row r="111" spans="1:29" x14ac:dyDescent="0.3">
      <c r="A111" s="17" t="s">
        <v>51</v>
      </c>
      <c r="B111" s="72">
        <v>2002</v>
      </c>
      <c r="C111" s="73">
        <f t="shared" ref="C111:AC111" si="16">C24-C65</f>
        <v>0</v>
      </c>
      <c r="D111" s="14">
        <f t="shared" si="16"/>
        <v>0</v>
      </c>
      <c r="E111" s="16">
        <f t="shared" si="16"/>
        <v>0</v>
      </c>
      <c r="F111" s="15">
        <f t="shared" si="16"/>
        <v>0</v>
      </c>
      <c r="G111" s="15">
        <f t="shared" si="16"/>
        <v>0</v>
      </c>
      <c r="H111" s="14">
        <f t="shared" si="16"/>
        <v>0</v>
      </c>
      <c r="I111" s="16">
        <f t="shared" si="16"/>
        <v>0</v>
      </c>
      <c r="J111" s="15">
        <f t="shared" si="16"/>
        <v>0</v>
      </c>
      <c r="K111" s="15">
        <f t="shared" si="16"/>
        <v>0</v>
      </c>
      <c r="L111" s="15">
        <f t="shared" si="16"/>
        <v>0</v>
      </c>
      <c r="M111" s="15">
        <f t="shared" si="16"/>
        <v>0</v>
      </c>
      <c r="N111" s="15">
        <f t="shared" si="16"/>
        <v>0</v>
      </c>
      <c r="O111" s="14">
        <f t="shared" si="16"/>
        <v>0</v>
      </c>
      <c r="P111" s="16">
        <f t="shared" si="16"/>
        <v>0</v>
      </c>
      <c r="Q111" s="15">
        <f t="shared" si="16"/>
        <v>0</v>
      </c>
      <c r="R111" s="15">
        <f t="shared" si="16"/>
        <v>0</v>
      </c>
      <c r="S111" s="15">
        <f t="shared" si="16"/>
        <v>0</v>
      </c>
      <c r="T111" s="15">
        <f t="shared" si="16"/>
        <v>0</v>
      </c>
      <c r="U111" s="14">
        <f t="shared" si="16"/>
        <v>0</v>
      </c>
      <c r="V111" s="16">
        <f t="shared" si="16"/>
        <v>0</v>
      </c>
      <c r="W111" s="15">
        <f t="shared" si="16"/>
        <v>0</v>
      </c>
      <c r="X111" s="15">
        <f t="shared" si="16"/>
        <v>0</v>
      </c>
      <c r="Y111" s="15">
        <f t="shared" si="16"/>
        <v>0</v>
      </c>
      <c r="Z111" s="14">
        <f t="shared" si="16"/>
        <v>0</v>
      </c>
      <c r="AA111" s="15">
        <f t="shared" si="16"/>
        <v>0</v>
      </c>
      <c r="AB111" s="16">
        <f t="shared" si="16"/>
        <v>0</v>
      </c>
      <c r="AC111" s="16">
        <f t="shared" si="16"/>
        <v>0</v>
      </c>
    </row>
    <row r="112" spans="1:29" x14ac:dyDescent="0.3">
      <c r="A112" s="17" t="s">
        <v>51</v>
      </c>
      <c r="B112" s="72">
        <v>2003</v>
      </c>
      <c r="C112" s="73">
        <f t="shared" ref="C112:AC112" si="17">C25-C66</f>
        <v>0</v>
      </c>
      <c r="D112" s="14">
        <f t="shared" si="17"/>
        <v>0</v>
      </c>
      <c r="E112" s="16">
        <f t="shared" si="17"/>
        <v>0</v>
      </c>
      <c r="F112" s="15">
        <f t="shared" si="17"/>
        <v>0</v>
      </c>
      <c r="G112" s="15">
        <f t="shared" si="17"/>
        <v>0</v>
      </c>
      <c r="H112" s="14">
        <f t="shared" si="17"/>
        <v>0</v>
      </c>
      <c r="I112" s="16">
        <f t="shared" si="17"/>
        <v>0</v>
      </c>
      <c r="J112" s="15">
        <f t="shared" si="17"/>
        <v>0</v>
      </c>
      <c r="K112" s="15">
        <f t="shared" si="17"/>
        <v>0</v>
      </c>
      <c r="L112" s="15">
        <f t="shared" si="17"/>
        <v>0</v>
      </c>
      <c r="M112" s="15">
        <f t="shared" si="17"/>
        <v>0</v>
      </c>
      <c r="N112" s="15">
        <f t="shared" si="17"/>
        <v>0</v>
      </c>
      <c r="O112" s="14">
        <f t="shared" si="17"/>
        <v>0</v>
      </c>
      <c r="P112" s="16">
        <f t="shared" si="17"/>
        <v>0</v>
      </c>
      <c r="Q112" s="15">
        <f t="shared" si="17"/>
        <v>0</v>
      </c>
      <c r="R112" s="15">
        <f t="shared" si="17"/>
        <v>0</v>
      </c>
      <c r="S112" s="15">
        <f t="shared" si="17"/>
        <v>0</v>
      </c>
      <c r="T112" s="15">
        <f t="shared" si="17"/>
        <v>0</v>
      </c>
      <c r="U112" s="14">
        <f t="shared" si="17"/>
        <v>0</v>
      </c>
      <c r="V112" s="16">
        <f t="shared" si="17"/>
        <v>0</v>
      </c>
      <c r="W112" s="15">
        <f t="shared" si="17"/>
        <v>0</v>
      </c>
      <c r="X112" s="15">
        <f t="shared" si="17"/>
        <v>0</v>
      </c>
      <c r="Y112" s="15">
        <f t="shared" si="17"/>
        <v>0</v>
      </c>
      <c r="Z112" s="14">
        <f t="shared" si="17"/>
        <v>0</v>
      </c>
      <c r="AA112" s="15">
        <f t="shared" si="17"/>
        <v>0</v>
      </c>
      <c r="AB112" s="16">
        <f t="shared" si="17"/>
        <v>0</v>
      </c>
      <c r="AC112" s="16">
        <f t="shared" si="17"/>
        <v>0</v>
      </c>
    </row>
    <row r="113" spans="1:29" x14ac:dyDescent="0.3">
      <c r="A113" s="17" t="s">
        <v>51</v>
      </c>
      <c r="B113" s="72">
        <v>2004</v>
      </c>
      <c r="C113" s="73">
        <f t="shared" ref="C113:AC113" si="18">C26-C67</f>
        <v>0</v>
      </c>
      <c r="D113" s="14">
        <f t="shared" si="18"/>
        <v>0</v>
      </c>
      <c r="E113" s="16">
        <f t="shared" si="18"/>
        <v>0</v>
      </c>
      <c r="F113" s="15">
        <f t="shared" si="18"/>
        <v>0</v>
      </c>
      <c r="G113" s="15">
        <f t="shared" si="18"/>
        <v>0</v>
      </c>
      <c r="H113" s="14">
        <f t="shared" si="18"/>
        <v>0</v>
      </c>
      <c r="I113" s="16">
        <f t="shared" si="18"/>
        <v>0</v>
      </c>
      <c r="J113" s="15">
        <f t="shared" si="18"/>
        <v>0</v>
      </c>
      <c r="K113" s="15">
        <f t="shared" si="18"/>
        <v>0</v>
      </c>
      <c r="L113" s="15">
        <f t="shared" si="18"/>
        <v>0</v>
      </c>
      <c r="M113" s="15">
        <f t="shared" si="18"/>
        <v>0</v>
      </c>
      <c r="N113" s="15">
        <f t="shared" si="18"/>
        <v>0</v>
      </c>
      <c r="O113" s="14">
        <f t="shared" si="18"/>
        <v>0</v>
      </c>
      <c r="P113" s="16">
        <f t="shared" si="18"/>
        <v>0</v>
      </c>
      <c r="Q113" s="15">
        <f t="shared" si="18"/>
        <v>0</v>
      </c>
      <c r="R113" s="15">
        <f t="shared" si="18"/>
        <v>0</v>
      </c>
      <c r="S113" s="15">
        <f t="shared" si="18"/>
        <v>0</v>
      </c>
      <c r="T113" s="15">
        <f t="shared" si="18"/>
        <v>0</v>
      </c>
      <c r="U113" s="14">
        <f t="shared" si="18"/>
        <v>0</v>
      </c>
      <c r="V113" s="16">
        <f t="shared" si="18"/>
        <v>0</v>
      </c>
      <c r="W113" s="15">
        <f t="shared" si="18"/>
        <v>0</v>
      </c>
      <c r="X113" s="15">
        <f t="shared" si="18"/>
        <v>0</v>
      </c>
      <c r="Y113" s="15">
        <f t="shared" si="18"/>
        <v>0</v>
      </c>
      <c r="Z113" s="14">
        <f t="shared" si="18"/>
        <v>0</v>
      </c>
      <c r="AA113" s="15">
        <f t="shared" si="18"/>
        <v>0</v>
      </c>
      <c r="AB113" s="16">
        <f t="shared" si="18"/>
        <v>0</v>
      </c>
      <c r="AC113" s="16">
        <f t="shared" si="18"/>
        <v>0</v>
      </c>
    </row>
    <row r="114" spans="1:29" x14ac:dyDescent="0.3">
      <c r="A114" s="17" t="s">
        <v>51</v>
      </c>
      <c r="B114" s="72">
        <v>2005</v>
      </c>
      <c r="C114" s="73">
        <f t="shared" ref="C114:AC114" si="19">C27-C68</f>
        <v>0</v>
      </c>
      <c r="D114" s="14">
        <f t="shared" si="19"/>
        <v>0</v>
      </c>
      <c r="E114" s="16">
        <f t="shared" si="19"/>
        <v>0</v>
      </c>
      <c r="F114" s="15">
        <f t="shared" si="19"/>
        <v>0</v>
      </c>
      <c r="G114" s="15">
        <f t="shared" si="19"/>
        <v>0</v>
      </c>
      <c r="H114" s="14">
        <f t="shared" si="19"/>
        <v>0</v>
      </c>
      <c r="I114" s="16">
        <f t="shared" si="19"/>
        <v>0</v>
      </c>
      <c r="J114" s="15">
        <f t="shared" si="19"/>
        <v>0</v>
      </c>
      <c r="K114" s="15">
        <f t="shared" si="19"/>
        <v>0</v>
      </c>
      <c r="L114" s="15">
        <f t="shared" si="19"/>
        <v>-9.6419184300589045E-7</v>
      </c>
      <c r="M114" s="15">
        <f t="shared" si="19"/>
        <v>0</v>
      </c>
      <c r="N114" s="15">
        <f t="shared" si="19"/>
        <v>0</v>
      </c>
      <c r="O114" s="14">
        <f t="shared" si="19"/>
        <v>0</v>
      </c>
      <c r="P114" s="16">
        <f t="shared" si="19"/>
        <v>0</v>
      </c>
      <c r="Q114" s="15">
        <f t="shared" si="19"/>
        <v>0</v>
      </c>
      <c r="R114" s="15">
        <f t="shared" si="19"/>
        <v>0</v>
      </c>
      <c r="S114" s="15">
        <f t="shared" si="19"/>
        <v>0</v>
      </c>
      <c r="T114" s="15">
        <f t="shared" si="19"/>
        <v>0</v>
      </c>
      <c r="U114" s="14">
        <f t="shared" si="19"/>
        <v>0</v>
      </c>
      <c r="V114" s="16">
        <f t="shared" si="19"/>
        <v>0</v>
      </c>
      <c r="W114" s="15">
        <f t="shared" si="19"/>
        <v>0</v>
      </c>
      <c r="X114" s="15">
        <f t="shared" si="19"/>
        <v>0</v>
      </c>
      <c r="Y114" s="15">
        <f t="shared" si="19"/>
        <v>1.9283836866453598E-6</v>
      </c>
      <c r="Z114" s="14">
        <f t="shared" si="19"/>
        <v>-9.6419184303364602E-7</v>
      </c>
      <c r="AA114" s="15">
        <f t="shared" si="19"/>
        <v>0</v>
      </c>
      <c r="AB114" s="16">
        <f t="shared" si="19"/>
        <v>0</v>
      </c>
      <c r="AC114" s="16">
        <f t="shared" si="19"/>
        <v>-9.6419184303364602E-7</v>
      </c>
    </row>
    <row r="115" spans="1:29" x14ac:dyDescent="0.3">
      <c r="A115" s="17" t="s">
        <v>51</v>
      </c>
      <c r="B115" s="72">
        <v>2006</v>
      </c>
      <c r="C115" s="73"/>
      <c r="D115" s="14"/>
      <c r="E115" s="16"/>
      <c r="F115" s="15"/>
      <c r="G115" s="15"/>
      <c r="H115" s="14"/>
      <c r="I115" s="16"/>
      <c r="J115" s="15"/>
      <c r="K115" s="15"/>
      <c r="L115" s="15"/>
      <c r="M115" s="15"/>
      <c r="N115" s="15"/>
      <c r="O115" s="14"/>
      <c r="P115" s="16"/>
      <c r="Q115" s="15"/>
      <c r="R115" s="15"/>
      <c r="S115" s="15"/>
      <c r="T115" s="15"/>
      <c r="U115" s="14"/>
      <c r="V115" s="16"/>
      <c r="W115" s="15"/>
      <c r="X115" s="15"/>
      <c r="Y115" s="15"/>
      <c r="Z115" s="14"/>
      <c r="AA115" s="15"/>
      <c r="AB115" s="16"/>
      <c r="AC115" s="16"/>
    </row>
    <row r="116" spans="1:29" x14ac:dyDescent="0.3">
      <c r="A116" s="17" t="s">
        <v>51</v>
      </c>
      <c r="B116" s="72">
        <v>2007</v>
      </c>
      <c r="C116" s="73"/>
      <c r="D116" s="14"/>
      <c r="E116" s="16"/>
      <c r="F116" s="15"/>
      <c r="G116" s="15"/>
      <c r="H116" s="14"/>
      <c r="I116" s="16"/>
      <c r="J116" s="15"/>
      <c r="K116" s="15"/>
      <c r="L116" s="15"/>
      <c r="M116" s="15"/>
      <c r="N116" s="15"/>
      <c r="O116" s="14"/>
      <c r="P116" s="16"/>
      <c r="Q116" s="15"/>
      <c r="R116" s="15"/>
      <c r="S116" s="15"/>
      <c r="T116" s="15"/>
      <c r="U116" s="14"/>
      <c r="V116" s="16"/>
      <c r="W116" s="15"/>
      <c r="X116" s="15"/>
      <c r="Y116" s="15"/>
      <c r="Z116" s="14"/>
      <c r="AA116" s="15"/>
      <c r="AB116" s="16"/>
      <c r="AC116" s="16"/>
    </row>
    <row r="117" spans="1:29" x14ac:dyDescent="0.3">
      <c r="A117" s="17" t="s">
        <v>51</v>
      </c>
      <c r="B117" s="72">
        <v>2008</v>
      </c>
      <c r="C117" s="73"/>
      <c r="D117" s="14"/>
      <c r="E117" s="16"/>
      <c r="F117" s="15"/>
      <c r="G117" s="15"/>
      <c r="H117" s="14"/>
      <c r="I117" s="16"/>
      <c r="J117" s="15"/>
      <c r="K117" s="15"/>
      <c r="L117" s="15"/>
      <c r="M117" s="15"/>
      <c r="N117" s="15"/>
      <c r="O117" s="14"/>
      <c r="P117" s="16"/>
      <c r="Q117" s="15"/>
      <c r="R117" s="15"/>
      <c r="S117" s="15"/>
      <c r="T117" s="15"/>
      <c r="U117" s="14"/>
      <c r="V117" s="16"/>
      <c r="W117" s="15"/>
      <c r="X117" s="15"/>
      <c r="Y117" s="15"/>
      <c r="Z117" s="14"/>
      <c r="AA117" s="15"/>
      <c r="AB117" s="16"/>
      <c r="AC117" s="16"/>
    </row>
    <row r="118" spans="1:29" x14ac:dyDescent="0.3">
      <c r="A118" s="17" t="s">
        <v>51</v>
      </c>
      <c r="B118" s="72">
        <v>2009</v>
      </c>
      <c r="C118" s="73"/>
      <c r="D118" s="14"/>
      <c r="E118" s="16"/>
      <c r="F118" s="15"/>
      <c r="G118" s="15"/>
      <c r="H118" s="14"/>
      <c r="I118" s="16"/>
      <c r="J118" s="15"/>
      <c r="K118" s="15"/>
      <c r="L118" s="15"/>
      <c r="M118" s="15"/>
      <c r="N118" s="15"/>
      <c r="O118" s="14"/>
      <c r="P118" s="16"/>
      <c r="Q118" s="15"/>
      <c r="R118" s="15"/>
      <c r="S118" s="15"/>
      <c r="T118" s="15"/>
      <c r="U118" s="14"/>
      <c r="V118" s="16"/>
      <c r="W118" s="15"/>
      <c r="X118" s="15"/>
      <c r="Y118" s="15"/>
      <c r="Z118" s="14"/>
      <c r="AA118" s="15"/>
      <c r="AB118" s="16"/>
      <c r="AC118" s="16"/>
    </row>
    <row r="119" spans="1:29" x14ac:dyDescent="0.3">
      <c r="A119" s="17" t="s">
        <v>51</v>
      </c>
      <c r="B119" s="72">
        <v>2010</v>
      </c>
      <c r="C119" s="73"/>
      <c r="D119" s="14"/>
      <c r="E119" s="16"/>
      <c r="F119" s="15"/>
      <c r="G119" s="15"/>
      <c r="H119" s="14"/>
      <c r="I119" s="16"/>
      <c r="J119" s="15"/>
      <c r="K119" s="15"/>
      <c r="L119" s="15"/>
      <c r="M119" s="15"/>
      <c r="N119" s="15"/>
      <c r="O119" s="14"/>
      <c r="P119" s="16"/>
      <c r="Q119" s="15"/>
      <c r="R119" s="15"/>
      <c r="S119" s="15"/>
      <c r="T119" s="15"/>
      <c r="U119" s="14"/>
      <c r="V119" s="16"/>
      <c r="W119" s="15"/>
      <c r="X119" s="15"/>
      <c r="Y119" s="15"/>
      <c r="Z119" s="14"/>
      <c r="AA119" s="15"/>
      <c r="AB119" s="16"/>
      <c r="AC119" s="16"/>
    </row>
    <row r="120" spans="1:29" x14ac:dyDescent="0.3">
      <c r="A120" s="17" t="s">
        <v>51</v>
      </c>
      <c r="B120" s="72">
        <v>2011</v>
      </c>
      <c r="C120" s="73">
        <f t="shared" ref="C120:AC120" si="20">C33-C74</f>
        <v>2.3229999999999933</v>
      </c>
      <c r="D120" s="14">
        <f t="shared" si="20"/>
        <v>-2.7008104272646938E-3</v>
      </c>
      <c r="E120" s="16">
        <f t="shared" si="20"/>
        <v>-6.8789396053720031E-4</v>
      </c>
      <c r="F120" s="15">
        <f t="shared" si="20"/>
        <v>-1.7159860209138011E-3</v>
      </c>
      <c r="G120" s="15">
        <f t="shared" si="20"/>
        <v>3.23318756008069E-2</v>
      </c>
      <c r="H120" s="14">
        <f t="shared" si="20"/>
        <v>-3.9569780703950069E-6</v>
      </c>
      <c r="I120" s="16">
        <f t="shared" si="20"/>
        <v>0</v>
      </c>
      <c r="J120" s="15">
        <f t="shared" si="20"/>
        <v>0</v>
      </c>
      <c r="K120" s="15">
        <f t="shared" si="20"/>
        <v>3.8316251235462201E-3</v>
      </c>
      <c r="L120" s="15">
        <f t="shared" si="20"/>
        <v>-7.6261494374950112E-3</v>
      </c>
      <c r="M120" s="15">
        <f t="shared" si="20"/>
        <v>0</v>
      </c>
      <c r="N120" s="15">
        <f t="shared" si="20"/>
        <v>2.93803057176512E-3</v>
      </c>
      <c r="O120" s="14">
        <f t="shared" si="20"/>
        <v>0</v>
      </c>
      <c r="P120" s="16">
        <f t="shared" si="20"/>
        <v>-2.9457503412938057E-5</v>
      </c>
      <c r="Q120" s="15">
        <f t="shared" si="20"/>
        <v>0</v>
      </c>
      <c r="R120" s="15">
        <f t="shared" si="20"/>
        <v>-8.0738061689469842E-4</v>
      </c>
      <c r="S120" s="15">
        <f t="shared" si="20"/>
        <v>0</v>
      </c>
      <c r="T120" s="15">
        <f t="shared" si="20"/>
        <v>0</v>
      </c>
      <c r="U120" s="14">
        <f t="shared" si="20"/>
        <v>-7.1119703137921542E-4</v>
      </c>
      <c r="V120" s="16">
        <f t="shared" si="20"/>
        <v>-7.9591314835232851E-3</v>
      </c>
      <c r="W120" s="15">
        <f t="shared" si="20"/>
        <v>-1.9424130993864024E-4</v>
      </c>
      <c r="X120" s="15">
        <f t="shared" si="20"/>
        <v>0</v>
      </c>
      <c r="Y120" s="15">
        <f t="shared" si="20"/>
        <v>7.4466212648424701E-4</v>
      </c>
      <c r="Z120" s="14">
        <f t="shared" si="20"/>
        <v>-1.7409988653173003E-2</v>
      </c>
      <c r="AA120" s="15">
        <f t="shared" si="20"/>
        <v>0</v>
      </c>
      <c r="AB120" s="16">
        <f t="shared" si="20"/>
        <v>0</v>
      </c>
      <c r="AC120" s="16">
        <f t="shared" si="20"/>
        <v>2.9725981356226117E-2</v>
      </c>
    </row>
    <row r="121" spans="1:29" x14ac:dyDescent="0.3">
      <c r="A121" s="17" t="s">
        <v>51</v>
      </c>
      <c r="B121" s="72">
        <v>2012</v>
      </c>
      <c r="C121" s="73">
        <f t="shared" ref="C121:AC121" si="21">C34-C75</f>
        <v>1.1800000000000068</v>
      </c>
      <c r="D121" s="14">
        <f t="shared" si="21"/>
        <v>-4.3982326824920648E-4</v>
      </c>
      <c r="E121" s="16">
        <f t="shared" si="21"/>
        <v>-1.8749223069609855E-4</v>
      </c>
      <c r="F121" s="15">
        <f t="shared" si="21"/>
        <v>-5.2757870909679594E-4</v>
      </c>
      <c r="G121" s="15">
        <f t="shared" si="21"/>
        <v>-7.9495656067402054E-4</v>
      </c>
      <c r="H121" s="14">
        <f t="shared" si="21"/>
        <v>-9.8761817566000304E-5</v>
      </c>
      <c r="I121" s="16">
        <f t="shared" si="21"/>
        <v>3.4616668716723198E-3</v>
      </c>
      <c r="J121" s="15">
        <f t="shared" si="21"/>
        <v>-3.3430341584760048E-4</v>
      </c>
      <c r="K121" s="15">
        <f t="shared" si="21"/>
        <v>-1.4975641392160274E-4</v>
      </c>
      <c r="L121" s="15">
        <f t="shared" si="21"/>
        <v>-1.3621621781760018E-3</v>
      </c>
      <c r="M121" s="15">
        <f t="shared" si="21"/>
        <v>3.5143826108348402E-4</v>
      </c>
      <c r="N121" s="15">
        <f t="shared" si="21"/>
        <v>2.5918571754907E-3</v>
      </c>
      <c r="O121" s="14">
        <f t="shared" si="21"/>
        <v>0</v>
      </c>
      <c r="P121" s="16">
        <f t="shared" si="21"/>
        <v>0</v>
      </c>
      <c r="Q121" s="15">
        <f t="shared" si="21"/>
        <v>0</v>
      </c>
      <c r="R121" s="15">
        <f t="shared" si="21"/>
        <v>-2.4402871134469872E-4</v>
      </c>
      <c r="S121" s="15">
        <f t="shared" si="21"/>
        <v>0</v>
      </c>
      <c r="T121" s="15">
        <f t="shared" si="21"/>
        <v>0</v>
      </c>
      <c r="U121" s="14">
        <f t="shared" si="21"/>
        <v>-4.7481055627377096E-5</v>
      </c>
      <c r="V121" s="16">
        <f t="shared" si="21"/>
        <v>-6.6805845267718655E-4</v>
      </c>
      <c r="W121" s="15">
        <f t="shared" si="21"/>
        <v>-1.4263977037199879E-4</v>
      </c>
      <c r="X121" s="15">
        <f t="shared" si="21"/>
        <v>0</v>
      </c>
      <c r="Y121" s="15">
        <f t="shared" si="21"/>
        <v>1.1187905403121099E-3</v>
      </c>
      <c r="Z121" s="14">
        <f t="shared" si="21"/>
        <v>-2.4911643998429822E-3</v>
      </c>
      <c r="AA121" s="15">
        <f t="shared" si="21"/>
        <v>-3.5545864466900515E-5</v>
      </c>
      <c r="AB121" s="16">
        <f t="shared" si="21"/>
        <v>0</v>
      </c>
      <c r="AC121" s="16">
        <f t="shared" si="21"/>
        <v>3.1374432129644969E-3</v>
      </c>
    </row>
    <row r="122" spans="1:29" x14ac:dyDescent="0.3">
      <c r="A122" s="17" t="s">
        <v>51</v>
      </c>
      <c r="B122" s="72">
        <v>2013</v>
      </c>
      <c r="C122" s="73">
        <f t="shared" ref="C122:AC122" si="22">C35-C76</f>
        <v>-1.2180000000000746</v>
      </c>
      <c r="D122" s="14">
        <f t="shared" si="22"/>
        <v>-5.0154790854500114E-5</v>
      </c>
      <c r="E122" s="16">
        <f t="shared" si="22"/>
        <v>-2.7307644467039482E-5</v>
      </c>
      <c r="F122" s="15">
        <f t="shared" si="22"/>
        <v>-7.6721961958195473E-5</v>
      </c>
      <c r="G122" s="15">
        <f t="shared" si="22"/>
        <v>-1.0322758310390284E-4</v>
      </c>
      <c r="H122" s="14">
        <f t="shared" si="22"/>
        <v>-5.4963025940008708E-8</v>
      </c>
      <c r="I122" s="16">
        <f t="shared" si="22"/>
        <v>1.6076221921104998E-4</v>
      </c>
      <c r="J122" s="15">
        <f t="shared" si="22"/>
        <v>4.292562314702604E-3</v>
      </c>
      <c r="K122" s="15">
        <f t="shared" si="22"/>
        <v>7.3284972314036981E-3</v>
      </c>
      <c r="L122" s="15">
        <f t="shared" si="22"/>
        <v>1.7596656926509996E-4</v>
      </c>
      <c r="M122" s="15">
        <f t="shared" si="22"/>
        <v>2.0316653443000487E-6</v>
      </c>
      <c r="N122" s="15">
        <f t="shared" si="22"/>
        <v>-9.8277327705200562E-6</v>
      </c>
      <c r="O122" s="14">
        <f t="shared" si="22"/>
        <v>0</v>
      </c>
      <c r="P122" s="16">
        <f t="shared" si="22"/>
        <v>2.0518293058395878E-7</v>
      </c>
      <c r="Q122" s="15">
        <f t="shared" si="22"/>
        <v>0</v>
      </c>
      <c r="R122" s="15">
        <f t="shared" si="22"/>
        <v>-5.5830918584194589E-5</v>
      </c>
      <c r="S122" s="15">
        <f t="shared" si="22"/>
        <v>0</v>
      </c>
      <c r="T122" s="15">
        <f t="shared" si="22"/>
        <v>0</v>
      </c>
      <c r="U122" s="14">
        <f t="shared" si="22"/>
        <v>-8.6258964355325277E-6</v>
      </c>
      <c r="V122" s="16">
        <f t="shared" si="22"/>
        <v>-6.1682850642563736E-5</v>
      </c>
      <c r="W122" s="15">
        <f t="shared" si="22"/>
        <v>-2.58480106291991E-6</v>
      </c>
      <c r="X122" s="15">
        <f t="shared" si="22"/>
        <v>3.842376977230861E-10</v>
      </c>
      <c r="Y122" s="15">
        <f t="shared" si="22"/>
        <v>1.2756281963245998E-3</v>
      </c>
      <c r="Z122" s="14">
        <f t="shared" si="22"/>
        <v>-1.2847884203884052E-2</v>
      </c>
      <c r="AA122" s="15">
        <f t="shared" si="22"/>
        <v>8.2495833701005938E-6</v>
      </c>
      <c r="AB122" s="16">
        <f t="shared" si="22"/>
        <v>0</v>
      </c>
      <c r="AC122" s="16">
        <f t="shared" si="22"/>
        <v>1.1770192941998825E-2</v>
      </c>
    </row>
    <row r="123" spans="1:29" x14ac:dyDescent="0.3">
      <c r="A123" s="17" t="s">
        <v>51</v>
      </c>
      <c r="B123" s="72">
        <v>2014</v>
      </c>
      <c r="C123" s="73">
        <f t="shared" ref="C123:AC123" si="23">C36-C77</f>
        <v>0.1750000000001819</v>
      </c>
      <c r="D123" s="14">
        <f t="shared" si="23"/>
        <v>-1.1573809391290935E-4</v>
      </c>
      <c r="E123" s="16">
        <f t="shared" si="23"/>
        <v>-2.6332219913001442E-5</v>
      </c>
      <c r="F123" s="15">
        <f t="shared" si="23"/>
        <v>-8.3138450326300517E-5</v>
      </c>
      <c r="G123" s="15">
        <f t="shared" si="23"/>
        <v>-8.0506441607099133E-5</v>
      </c>
      <c r="H123" s="14">
        <f t="shared" si="23"/>
        <v>-4.2948445093199394E-5</v>
      </c>
      <c r="I123" s="16">
        <f t="shared" si="23"/>
        <v>4.8702088140500227E-4</v>
      </c>
      <c r="J123" s="15">
        <f t="shared" si="23"/>
        <v>1.4134329115201016E-3</v>
      </c>
      <c r="K123" s="15">
        <f t="shared" si="23"/>
        <v>4.4085373398041958E-4</v>
      </c>
      <c r="L123" s="15">
        <f t="shared" si="23"/>
        <v>9.3428190695130087E-4</v>
      </c>
      <c r="M123" s="15">
        <f t="shared" si="23"/>
        <v>0</v>
      </c>
      <c r="N123" s="15">
        <f t="shared" si="23"/>
        <v>1.901809560463999E-4</v>
      </c>
      <c r="O123" s="14">
        <f t="shared" si="23"/>
        <v>0</v>
      </c>
      <c r="P123" s="16">
        <f t="shared" si="23"/>
        <v>-1.0742972480300064E-7</v>
      </c>
      <c r="Q123" s="15">
        <f t="shared" si="23"/>
        <v>0</v>
      </c>
      <c r="R123" s="15">
        <f t="shared" si="23"/>
        <v>-1.0739463193269738E-4</v>
      </c>
      <c r="S123" s="15">
        <f t="shared" si="23"/>
        <v>0</v>
      </c>
      <c r="T123" s="15">
        <f t="shared" si="23"/>
        <v>0</v>
      </c>
      <c r="U123" s="14">
        <f t="shared" si="23"/>
        <v>-2.1093649254176269E-5</v>
      </c>
      <c r="V123" s="16">
        <f t="shared" si="23"/>
        <v>-9.2543699721323036E-5</v>
      </c>
      <c r="W123" s="15">
        <f t="shared" si="23"/>
        <v>-1.0689951546429682E-5</v>
      </c>
      <c r="X123" s="15">
        <f t="shared" si="23"/>
        <v>-4.411898349202118E-10</v>
      </c>
      <c r="Y123" s="15">
        <f t="shared" si="23"/>
        <v>1.1968698899331499E-3</v>
      </c>
      <c r="Z123" s="14">
        <f t="shared" si="23"/>
        <v>-4.0814740111159153E-3</v>
      </c>
      <c r="AA123" s="15">
        <f t="shared" si="23"/>
        <v>-6.7281449825026818E-7</v>
      </c>
      <c r="AB123" s="16">
        <f t="shared" si="23"/>
        <v>0</v>
      </c>
      <c r="AC123" s="16">
        <f t="shared" si="23"/>
        <v>3.2590696231518668E-3</v>
      </c>
    </row>
    <row r="124" spans="1:29" x14ac:dyDescent="0.3">
      <c r="A124" s="17" t="s">
        <v>51</v>
      </c>
      <c r="B124" s="72">
        <v>2015</v>
      </c>
      <c r="C124" s="73">
        <f t="shared" ref="C124:AC124" si="24">C37-C78</f>
        <v>2.8000000000247383E-2</v>
      </c>
      <c r="D124" s="14">
        <f t="shared" si="24"/>
        <v>-4.5703239543504193E-5</v>
      </c>
      <c r="E124" s="16">
        <f t="shared" si="24"/>
        <v>-6.8688953391102953E-6</v>
      </c>
      <c r="F124" s="15">
        <f t="shared" si="24"/>
        <v>-2.2409869045100783E-5</v>
      </c>
      <c r="G124" s="15">
        <f t="shared" si="24"/>
        <v>1.0884508902286975E-3</v>
      </c>
      <c r="H124" s="14">
        <f t="shared" si="24"/>
        <v>-1.8264850619700151E-5</v>
      </c>
      <c r="I124" s="16">
        <f t="shared" si="24"/>
        <v>-1.6060491001909996E-4</v>
      </c>
      <c r="J124" s="15">
        <f t="shared" si="24"/>
        <v>-3.4519065863640938E-3</v>
      </c>
      <c r="K124" s="15">
        <f t="shared" si="24"/>
        <v>-8.5711892546719987E-4</v>
      </c>
      <c r="L124" s="15">
        <f t="shared" si="24"/>
        <v>1.4173789852629931E-3</v>
      </c>
      <c r="M124" s="15">
        <f t="shared" si="24"/>
        <v>0</v>
      </c>
      <c r="N124" s="15">
        <f t="shared" si="24"/>
        <v>7.474885290062001E-4</v>
      </c>
      <c r="O124" s="14">
        <f t="shared" si="24"/>
        <v>0</v>
      </c>
      <c r="P124" s="16">
        <f t="shared" si="24"/>
        <v>-3.6603347500078261E-10</v>
      </c>
      <c r="Q124" s="15">
        <f t="shared" si="24"/>
        <v>-1.1704342303645553E-4</v>
      </c>
      <c r="R124" s="15">
        <f t="shared" si="24"/>
        <v>-1.4096789221983846E-4</v>
      </c>
      <c r="S124" s="15">
        <f t="shared" si="24"/>
        <v>0</v>
      </c>
      <c r="T124" s="15">
        <f t="shared" si="24"/>
        <v>0</v>
      </c>
      <c r="U124" s="14">
        <f t="shared" si="24"/>
        <v>-5.2820168851394102E-5</v>
      </c>
      <c r="V124" s="16">
        <f t="shared" si="24"/>
        <v>-1.3367275588606342E-4</v>
      </c>
      <c r="W124" s="15">
        <f t="shared" si="24"/>
        <v>-1.6451544478600019E-5</v>
      </c>
      <c r="X124" s="15">
        <f t="shared" si="24"/>
        <v>-7.7060420843098974E-6</v>
      </c>
      <c r="Y124" s="15">
        <f t="shared" si="24"/>
        <v>5.3189113781491508E-3</v>
      </c>
      <c r="Z124" s="14">
        <f t="shared" si="24"/>
        <v>-3.540125478253997E-3</v>
      </c>
      <c r="AA124" s="15">
        <f t="shared" si="24"/>
        <v>-5.6483540609997274E-7</v>
      </c>
      <c r="AB124" s="16">
        <f t="shared" si="24"/>
        <v>0</v>
      </c>
      <c r="AC124" s="16">
        <f t="shared" si="24"/>
        <v>-1.2569871030508328E-3</v>
      </c>
    </row>
    <row r="125" spans="1:29" x14ac:dyDescent="0.3">
      <c r="A125" s="17" t="s">
        <v>51</v>
      </c>
      <c r="B125" s="72">
        <v>2016</v>
      </c>
      <c r="C125" s="73">
        <f t="shared" ref="C125:AC125" si="25">C38-C79</f>
        <v>-0.88599999999996726</v>
      </c>
      <c r="D125" s="14">
        <f t="shared" si="25"/>
        <v>-2.1991813130659704E-4</v>
      </c>
      <c r="E125" s="16">
        <f t="shared" si="25"/>
        <v>-4.4618375423998921E-5</v>
      </c>
      <c r="F125" s="15">
        <f t="shared" si="25"/>
        <v>-3.2348051970849945E-4</v>
      </c>
      <c r="G125" s="15">
        <f t="shared" si="25"/>
        <v>1.5049543942429605E-4</v>
      </c>
      <c r="H125" s="14">
        <f t="shared" si="25"/>
        <v>-4.3325351444139723E-5</v>
      </c>
      <c r="I125" s="16">
        <f t="shared" si="25"/>
        <v>4.4481922630968699E-3</v>
      </c>
      <c r="J125" s="15">
        <f t="shared" si="25"/>
        <v>6.9572944301050932E-4</v>
      </c>
      <c r="K125" s="15">
        <f t="shared" si="25"/>
        <v>-2.6079971884289919E-4</v>
      </c>
      <c r="L125" s="15">
        <f t="shared" si="25"/>
        <v>-3.9580538245279767E-4</v>
      </c>
      <c r="M125" s="15">
        <f t="shared" si="25"/>
        <v>0</v>
      </c>
      <c r="N125" s="15">
        <f t="shared" si="25"/>
        <v>2.315899517282994E-4</v>
      </c>
      <c r="O125" s="14">
        <f t="shared" si="25"/>
        <v>0</v>
      </c>
      <c r="P125" s="16">
        <f t="shared" si="25"/>
        <v>0</v>
      </c>
      <c r="Q125" s="15">
        <f t="shared" si="25"/>
        <v>0</v>
      </c>
      <c r="R125" s="15">
        <f t="shared" si="25"/>
        <v>-6.3869096643279569E-5</v>
      </c>
      <c r="S125" s="15">
        <f t="shared" si="25"/>
        <v>0</v>
      </c>
      <c r="T125" s="15">
        <f t="shared" si="25"/>
        <v>0</v>
      </c>
      <c r="U125" s="14">
        <f t="shared" si="25"/>
        <v>-3.7004996612514073E-5</v>
      </c>
      <c r="V125" s="16">
        <f t="shared" si="25"/>
        <v>-6.9846931106121168E-4</v>
      </c>
      <c r="W125" s="15">
        <f t="shared" si="25"/>
        <v>-4.2681640127349707E-5</v>
      </c>
      <c r="X125" s="15">
        <f t="shared" si="25"/>
        <v>1.4553644653329871E-8</v>
      </c>
      <c r="Y125" s="15">
        <f t="shared" si="25"/>
        <v>9.36954663106239E-6</v>
      </c>
      <c r="Z125" s="14">
        <f t="shared" si="25"/>
        <v>-3.5002599249039923E-3</v>
      </c>
      <c r="AA125" s="15">
        <f t="shared" si="25"/>
        <v>8.1015288570301588E-6</v>
      </c>
      <c r="AB125" s="16">
        <f t="shared" si="25"/>
        <v>8.6739722133896691E-5</v>
      </c>
      <c r="AC125" s="16">
        <f t="shared" si="25"/>
        <v>4.5025961248116309E-3</v>
      </c>
    </row>
    <row r="126" spans="1:29" x14ac:dyDescent="0.3">
      <c r="A126" s="17" t="s">
        <v>51</v>
      </c>
      <c r="B126" s="72">
        <v>2017</v>
      </c>
      <c r="C126" s="73">
        <f t="shared" ref="C126:AC126" si="26">C39-C80</f>
        <v>-0.68300000000004957</v>
      </c>
      <c r="D126" s="14">
        <f t="shared" si="26"/>
        <v>-1.0721770661300395E-4</v>
      </c>
      <c r="E126" s="16">
        <f t="shared" si="26"/>
        <v>1.5516091316017389E-6</v>
      </c>
      <c r="F126" s="15">
        <f t="shared" si="26"/>
        <v>6.7456122829906429E-7</v>
      </c>
      <c r="G126" s="15">
        <f t="shared" si="26"/>
        <v>1.805280730820702E-3</v>
      </c>
      <c r="H126" s="14">
        <f t="shared" si="26"/>
        <v>3.7268102220065769E-7</v>
      </c>
      <c r="I126" s="16">
        <f t="shared" si="26"/>
        <v>2.0176992578902101E-5</v>
      </c>
      <c r="J126" s="15">
        <f t="shared" si="26"/>
        <v>2.673598891357501E-3</v>
      </c>
      <c r="K126" s="15">
        <f t="shared" si="26"/>
        <v>4.3500888032608001E-3</v>
      </c>
      <c r="L126" s="15">
        <f t="shared" si="26"/>
        <v>3.1475537341225102E-3</v>
      </c>
      <c r="M126" s="15">
        <f t="shared" si="26"/>
        <v>0</v>
      </c>
      <c r="N126" s="15">
        <f t="shared" si="26"/>
        <v>-2.4981369266550285E-4</v>
      </c>
      <c r="O126" s="14">
        <f t="shared" si="26"/>
        <v>0</v>
      </c>
      <c r="P126" s="16">
        <f t="shared" si="26"/>
        <v>-3.824366143877E-6</v>
      </c>
      <c r="Q126" s="15">
        <f t="shared" si="26"/>
        <v>0</v>
      </c>
      <c r="R126" s="15">
        <f t="shared" si="26"/>
        <v>4.5362836959994546E-5</v>
      </c>
      <c r="S126" s="15">
        <f t="shared" si="26"/>
        <v>0</v>
      </c>
      <c r="T126" s="15">
        <f t="shared" si="26"/>
        <v>0</v>
      </c>
      <c r="U126" s="14">
        <f t="shared" si="26"/>
        <v>0</v>
      </c>
      <c r="V126" s="16">
        <f t="shared" si="26"/>
        <v>-1.659063471059645E-3</v>
      </c>
      <c r="W126" s="15">
        <f t="shared" si="26"/>
        <v>1.1904294305699684E-6</v>
      </c>
      <c r="X126" s="15">
        <f t="shared" si="26"/>
        <v>8.5821240617019179E-7</v>
      </c>
      <c r="Y126" s="15">
        <f t="shared" si="26"/>
        <v>2.0176992578902099E-6</v>
      </c>
      <c r="Z126" s="14">
        <f t="shared" si="26"/>
        <v>-1.0037971192823014E-2</v>
      </c>
      <c r="AA126" s="15">
        <f t="shared" si="26"/>
        <v>9.1632477273798085E-6</v>
      </c>
      <c r="AB126" s="16">
        <f t="shared" si="26"/>
        <v>0</v>
      </c>
      <c r="AC126" s="16">
        <f t="shared" si="26"/>
        <v>1.1744108335581538E-2</v>
      </c>
    </row>
    <row r="127" spans="1:29" x14ac:dyDescent="0.3">
      <c r="A127" s="17" t="s">
        <v>51</v>
      </c>
      <c r="B127" s="72">
        <v>2018</v>
      </c>
      <c r="C127" s="73">
        <f t="shared" ref="C127:AC127" si="27">C40-C81</f>
        <v>-0.50199999999995271</v>
      </c>
      <c r="D127" s="14">
        <f t="shared" si="27"/>
        <v>-7.2376297714001753E-6</v>
      </c>
      <c r="E127" s="16">
        <f t="shared" si="27"/>
        <v>-2.3478215696905169E-6</v>
      </c>
      <c r="F127" s="15">
        <f t="shared" si="27"/>
        <v>-1.0920416091500865E-5</v>
      </c>
      <c r="G127" s="15">
        <f t="shared" si="27"/>
        <v>6.8006599404340021E-4</v>
      </c>
      <c r="H127" s="14">
        <f t="shared" si="27"/>
        <v>-9.1854053353001425E-6</v>
      </c>
      <c r="I127" s="16">
        <f t="shared" si="27"/>
        <v>-3.4937097275170026E-4</v>
      </c>
      <c r="J127" s="15">
        <f t="shared" si="27"/>
        <v>4.9469957630438877E-3</v>
      </c>
      <c r="K127" s="15">
        <f t="shared" si="27"/>
        <v>-2.9055777068745028E-3</v>
      </c>
      <c r="L127" s="15">
        <f t="shared" si="27"/>
        <v>-2.2380297735100085E-4</v>
      </c>
      <c r="M127" s="15">
        <f t="shared" si="27"/>
        <v>0</v>
      </c>
      <c r="N127" s="15">
        <f t="shared" si="27"/>
        <v>3.5714566328735398E-6</v>
      </c>
      <c r="O127" s="14">
        <f t="shared" si="27"/>
        <v>0</v>
      </c>
      <c r="P127" s="16">
        <f t="shared" si="27"/>
        <v>0</v>
      </c>
      <c r="Q127" s="15">
        <f t="shared" si="27"/>
        <v>0</v>
      </c>
      <c r="R127" s="15">
        <f t="shared" si="27"/>
        <v>-1.7811345853002009E-5</v>
      </c>
      <c r="S127" s="15">
        <f t="shared" si="27"/>
        <v>0</v>
      </c>
      <c r="T127" s="15">
        <f t="shared" si="27"/>
        <v>0</v>
      </c>
      <c r="U127" s="14">
        <f t="shared" si="27"/>
        <v>-5.3054187250075116E-6</v>
      </c>
      <c r="V127" s="16">
        <f t="shared" si="27"/>
        <v>-7.7448537799590378E-5</v>
      </c>
      <c r="W127" s="15">
        <f t="shared" si="27"/>
        <v>-2.4705075674798758E-6</v>
      </c>
      <c r="X127" s="15">
        <f t="shared" si="27"/>
        <v>3.4027007160693755E-7</v>
      </c>
      <c r="Y127" s="15">
        <f t="shared" si="27"/>
        <v>6.2357632809972104E-4</v>
      </c>
      <c r="Z127" s="14">
        <f t="shared" si="27"/>
        <v>-2.6458823328380232E-3</v>
      </c>
      <c r="AA127" s="15">
        <f t="shared" si="27"/>
        <v>2.8112606367501625E-6</v>
      </c>
      <c r="AB127" s="16">
        <f t="shared" si="27"/>
        <v>0</v>
      </c>
      <c r="AC127" s="16">
        <f t="shared" si="27"/>
        <v>2.1317757353161992E-3</v>
      </c>
    </row>
    <row r="128" spans="1:29" x14ac:dyDescent="0.3">
      <c r="A128" s="17" t="s">
        <v>51</v>
      </c>
      <c r="B128" s="72">
        <v>2019</v>
      </c>
      <c r="C128" s="73">
        <f t="shared" ref="C128:AC128" si="28">C41-C82</f>
        <v>2.7460000000000946</v>
      </c>
      <c r="D128" s="14">
        <f t="shared" si="28"/>
        <v>-2.5901185836230134E-5</v>
      </c>
      <c r="E128" s="16">
        <f t="shared" si="28"/>
        <v>-1.1662301106979585E-5</v>
      </c>
      <c r="F128" s="15">
        <f t="shared" si="28"/>
        <v>-2.304330273221063E-9</v>
      </c>
      <c r="G128" s="15">
        <f t="shared" si="28"/>
        <v>6.9246945517230027E-4</v>
      </c>
      <c r="H128" s="14">
        <f t="shared" si="28"/>
        <v>-2.304330273221063E-9</v>
      </c>
      <c r="I128" s="16">
        <f t="shared" si="28"/>
        <v>3.9788318661171038E-4</v>
      </c>
      <c r="J128" s="15">
        <f t="shared" si="28"/>
        <v>1.82980942534835E-6</v>
      </c>
      <c r="K128" s="15">
        <f t="shared" si="28"/>
        <v>3.4766379081618701E-4</v>
      </c>
      <c r="L128" s="15">
        <f t="shared" si="28"/>
        <v>1.8030902156917009E-3</v>
      </c>
      <c r="M128" s="15">
        <f t="shared" si="28"/>
        <v>0</v>
      </c>
      <c r="N128" s="15">
        <f t="shared" si="28"/>
        <v>9.6220111167179961E-4</v>
      </c>
      <c r="O128" s="14">
        <f t="shared" si="28"/>
        <v>0</v>
      </c>
      <c r="P128" s="16">
        <f t="shared" si="28"/>
        <v>-2.0969405486309916E-7</v>
      </c>
      <c r="Q128" s="15">
        <f t="shared" si="28"/>
        <v>0</v>
      </c>
      <c r="R128" s="15">
        <f t="shared" si="28"/>
        <v>-2.0973761392209522E-4</v>
      </c>
      <c r="S128" s="15">
        <f t="shared" si="28"/>
        <v>0</v>
      </c>
      <c r="T128" s="15">
        <f t="shared" si="28"/>
        <v>0</v>
      </c>
      <c r="U128" s="14">
        <f t="shared" si="28"/>
        <v>-3.0700842608610314E-5</v>
      </c>
      <c r="V128" s="16">
        <f t="shared" si="28"/>
        <v>-1.5731111752652002E-4</v>
      </c>
      <c r="W128" s="15">
        <f t="shared" si="28"/>
        <v>-6.3993819513499198E-6</v>
      </c>
      <c r="X128" s="15">
        <f t="shared" si="28"/>
        <v>0</v>
      </c>
      <c r="Y128" s="15">
        <f t="shared" si="28"/>
        <v>3.5371671343823897E-3</v>
      </c>
      <c r="Z128" s="14">
        <f t="shared" si="28"/>
        <v>-7.1749532613329947E-3</v>
      </c>
      <c r="AA128" s="15">
        <f t="shared" si="28"/>
        <v>-1.2542469677150059E-4</v>
      </c>
      <c r="AB128" s="16">
        <f t="shared" si="28"/>
        <v>0</v>
      </c>
      <c r="AC128" s="16">
        <f t="shared" si="28"/>
        <v>4.2049232666736408E-3</v>
      </c>
    </row>
    <row r="129" spans="1:29" x14ac:dyDescent="0.3">
      <c r="A129" s="17" t="s">
        <v>51</v>
      </c>
      <c r="B129" s="72">
        <v>2020</v>
      </c>
      <c r="C129" s="73">
        <f t="shared" ref="C129:AC129" si="29">C42-C83</f>
        <v>-1.4249999999999545</v>
      </c>
      <c r="D129" s="14">
        <f t="shared" si="29"/>
        <v>-4.5558795779099964E-5</v>
      </c>
      <c r="E129" s="16">
        <f t="shared" si="29"/>
        <v>-1.6054113816100363E-5</v>
      </c>
      <c r="F129" s="15">
        <f t="shared" si="29"/>
        <v>0</v>
      </c>
      <c r="G129" s="15">
        <f t="shared" si="29"/>
        <v>7.1822324292202097E-4</v>
      </c>
      <c r="H129" s="14">
        <f t="shared" si="29"/>
        <v>0</v>
      </c>
      <c r="I129" s="16">
        <f t="shared" si="29"/>
        <v>1.5223505527491699E-4</v>
      </c>
      <c r="J129" s="15">
        <f t="shared" si="29"/>
        <v>0</v>
      </c>
      <c r="K129" s="15">
        <f t="shared" si="29"/>
        <v>3.8753039001170227E-5</v>
      </c>
      <c r="L129" s="15">
        <f t="shared" si="29"/>
        <v>9.2701825548669944E-4</v>
      </c>
      <c r="M129" s="15">
        <f t="shared" si="29"/>
        <v>0</v>
      </c>
      <c r="N129" s="15">
        <f t="shared" si="29"/>
        <v>1.6485735496347999E-3</v>
      </c>
      <c r="O129" s="14">
        <f t="shared" si="29"/>
        <v>0</v>
      </c>
      <c r="P129" s="16">
        <f t="shared" si="29"/>
        <v>1.2627374120700161E-9</v>
      </c>
      <c r="Q129" s="15">
        <f t="shared" si="29"/>
        <v>0</v>
      </c>
      <c r="R129" s="15">
        <f t="shared" si="29"/>
        <v>-2.5216979100789461E-4</v>
      </c>
      <c r="S129" s="15">
        <f t="shared" si="29"/>
        <v>0</v>
      </c>
      <c r="T129" s="15">
        <f t="shared" si="29"/>
        <v>0</v>
      </c>
      <c r="U129" s="14">
        <f t="shared" si="29"/>
        <v>-3.5229743829098478E-5</v>
      </c>
      <c r="V129" s="16">
        <f t="shared" si="29"/>
        <v>-3.0976879857341766E-4</v>
      </c>
      <c r="W129" s="15">
        <f t="shared" si="29"/>
        <v>0</v>
      </c>
      <c r="X129" s="15">
        <f t="shared" si="29"/>
        <v>0</v>
      </c>
      <c r="Y129" s="15">
        <f t="shared" si="29"/>
        <v>1.6310898779455401E-6</v>
      </c>
      <c r="Z129" s="14">
        <f t="shared" si="29"/>
        <v>-2.8414938539659262E-3</v>
      </c>
      <c r="AA129" s="15">
        <f t="shared" si="29"/>
        <v>1.3839602036297416E-5</v>
      </c>
      <c r="AB129" s="16">
        <f t="shared" si="29"/>
        <v>0</v>
      </c>
      <c r="AC129" s="16">
        <f t="shared" si="29"/>
        <v>3.4848044050570237E-3</v>
      </c>
    </row>
    <row r="130" spans="1:29" x14ac:dyDescent="0.3">
      <c r="A130" s="17" t="s">
        <v>51</v>
      </c>
      <c r="B130" s="72">
        <v>2021</v>
      </c>
      <c r="C130" s="73">
        <f t="shared" ref="C130:AC130" si="30">C43-C84</f>
        <v>2.0679999999999836</v>
      </c>
      <c r="D130" s="14">
        <f t="shared" si="30"/>
        <v>-1.0240605050070017E-4</v>
      </c>
      <c r="E130" s="16">
        <f t="shared" si="30"/>
        <v>-1.4163848663079764E-4</v>
      </c>
      <c r="F130" s="15">
        <f t="shared" si="30"/>
        <v>0</v>
      </c>
      <c r="G130" s="15">
        <f t="shared" si="30"/>
        <v>3.6158232976360202E-3</v>
      </c>
      <c r="H130" s="14">
        <f t="shared" si="30"/>
        <v>-6.994925059950266E-7</v>
      </c>
      <c r="I130" s="16">
        <f t="shared" si="30"/>
        <v>2.0931390935759533E-5</v>
      </c>
      <c r="J130" s="15">
        <f t="shared" si="30"/>
        <v>7.1075868967112601E-5</v>
      </c>
      <c r="K130" s="15">
        <f t="shared" si="30"/>
        <v>1.7962810520779401E-4</v>
      </c>
      <c r="L130" s="15">
        <f t="shared" si="30"/>
        <v>1.7962810520779401E-4</v>
      </c>
      <c r="M130" s="15">
        <f t="shared" si="30"/>
        <v>0</v>
      </c>
      <c r="N130" s="15">
        <f t="shared" si="30"/>
        <v>2.9935330907788008E-3</v>
      </c>
      <c r="O130" s="14">
        <f t="shared" si="30"/>
        <v>0</v>
      </c>
      <c r="P130" s="16">
        <f t="shared" si="30"/>
        <v>0</v>
      </c>
      <c r="Q130" s="15">
        <f t="shared" si="30"/>
        <v>0</v>
      </c>
      <c r="R130" s="15">
        <f t="shared" si="30"/>
        <v>-5.463595883641037E-4</v>
      </c>
      <c r="S130" s="15">
        <f t="shared" si="30"/>
        <v>0</v>
      </c>
      <c r="T130" s="15">
        <f t="shared" si="30"/>
        <v>0</v>
      </c>
      <c r="U130" s="14">
        <f t="shared" si="30"/>
        <v>-9.7228916475601557E-5</v>
      </c>
      <c r="V130" s="16">
        <f t="shared" si="30"/>
        <v>-3.829965402486965E-4</v>
      </c>
      <c r="W130" s="15">
        <f t="shared" si="30"/>
        <v>0</v>
      </c>
      <c r="X130" s="15">
        <f t="shared" si="30"/>
        <v>0</v>
      </c>
      <c r="Y130" s="15">
        <f t="shared" si="30"/>
        <v>0</v>
      </c>
      <c r="Z130" s="14">
        <f t="shared" si="30"/>
        <v>-5.7553550089639582E-3</v>
      </c>
      <c r="AA130" s="15">
        <f t="shared" si="30"/>
        <v>-3.3935775043299199E-5</v>
      </c>
      <c r="AB130" s="16">
        <f t="shared" si="30"/>
        <v>0</v>
      </c>
      <c r="AC130" s="16">
        <f t="shared" si="30"/>
        <v>7.0599203662272819E-3</v>
      </c>
    </row>
    <row r="131" spans="1:29" x14ac:dyDescent="0.3">
      <c r="A131" s="17" t="s">
        <v>51</v>
      </c>
      <c r="B131" s="72">
        <v>2022</v>
      </c>
      <c r="C131" s="73">
        <f t="shared" ref="C131:AC131" si="31">C44-C85</f>
        <v>-1.9360000000000355</v>
      </c>
      <c r="D131" s="14">
        <f t="shared" si="31"/>
        <v>-9.1474133296895466E-5</v>
      </c>
      <c r="E131" s="16">
        <f t="shared" si="31"/>
        <v>-6.7404085279700043E-5</v>
      </c>
      <c r="F131" s="15">
        <f t="shared" si="31"/>
        <v>0</v>
      </c>
      <c r="G131" s="15">
        <f t="shared" si="31"/>
        <v>8.4626381435901066E-5</v>
      </c>
      <c r="H131" s="14">
        <f t="shared" si="31"/>
        <v>1.1530194760180144E-6</v>
      </c>
      <c r="I131" s="16">
        <f t="shared" si="31"/>
        <v>1.7439005807358199E-3</v>
      </c>
      <c r="J131" s="15">
        <f t="shared" si="31"/>
        <v>1.3154141796439001E-4</v>
      </c>
      <c r="K131" s="15">
        <f t="shared" si="31"/>
        <v>6.6942860231382698E-4</v>
      </c>
      <c r="L131" s="15">
        <f t="shared" si="31"/>
        <v>0</v>
      </c>
      <c r="M131" s="15">
        <f t="shared" si="31"/>
        <v>0</v>
      </c>
      <c r="N131" s="15">
        <f t="shared" si="31"/>
        <v>0</v>
      </c>
      <c r="O131" s="14">
        <f t="shared" si="31"/>
        <v>0</v>
      </c>
      <c r="P131" s="16">
        <f t="shared" si="31"/>
        <v>0</v>
      </c>
      <c r="Q131" s="15">
        <f t="shared" si="31"/>
        <v>0</v>
      </c>
      <c r="R131" s="15">
        <f t="shared" si="31"/>
        <v>-7.5857256431499653E-5</v>
      </c>
      <c r="S131" s="15">
        <f t="shared" si="31"/>
        <v>0</v>
      </c>
      <c r="T131" s="15">
        <f t="shared" si="31"/>
        <v>0</v>
      </c>
      <c r="U131" s="14">
        <f t="shared" si="31"/>
        <v>-8.1107378825566803E-6</v>
      </c>
      <c r="V131" s="16">
        <f t="shared" si="31"/>
        <v>-1.2571643717962898E-5</v>
      </c>
      <c r="W131" s="15">
        <f t="shared" si="31"/>
        <v>0</v>
      </c>
      <c r="X131" s="15">
        <f t="shared" si="31"/>
        <v>0</v>
      </c>
      <c r="Y131" s="15">
        <f t="shared" si="31"/>
        <v>0</v>
      </c>
      <c r="Z131" s="14">
        <f t="shared" si="31"/>
        <v>-2.3752321453179848E-3</v>
      </c>
      <c r="AA131" s="15">
        <f t="shared" si="31"/>
        <v>0</v>
      </c>
      <c r="AB131" s="16">
        <f t="shared" si="31"/>
        <v>0</v>
      </c>
      <c r="AC131" s="16">
        <f t="shared" si="31"/>
        <v>2.6306500019259646E-3</v>
      </c>
    </row>
    <row r="132" spans="1:29" x14ac:dyDescent="0.3">
      <c r="A132" s="17" t="s">
        <v>51</v>
      </c>
      <c r="B132" s="72">
        <v>2023</v>
      </c>
      <c r="C132" s="73">
        <f t="shared" ref="C132:AC132" si="32">C45-C86</f>
        <v>-1.7960000000000491</v>
      </c>
      <c r="D132" s="14">
        <f t="shared" si="32"/>
        <v>1.7449999301999766E-7</v>
      </c>
      <c r="E132" s="16">
        <f t="shared" si="32"/>
        <v>2.7652821060330374E-8</v>
      </c>
      <c r="F132" s="15">
        <f t="shared" si="32"/>
        <v>0</v>
      </c>
      <c r="G132" s="15">
        <f t="shared" si="32"/>
        <v>7.1005120255999976E-4</v>
      </c>
      <c r="H132" s="14">
        <f t="shared" si="32"/>
        <v>-7.0095635009599644E-6</v>
      </c>
      <c r="I132" s="16">
        <f t="shared" si="32"/>
        <v>9.0848657914690059E-4</v>
      </c>
      <c r="J132" s="15">
        <f t="shared" si="32"/>
        <v>8.1982584849413404E-6</v>
      </c>
      <c r="K132" s="15">
        <f t="shared" si="32"/>
        <v>4.2303013782297302E-3</v>
      </c>
      <c r="L132" s="15">
        <f t="shared" si="32"/>
        <v>5.6865170416174303E-3</v>
      </c>
      <c r="M132" s="15">
        <f t="shared" si="32"/>
        <v>0</v>
      </c>
      <c r="N132" s="15">
        <f t="shared" si="32"/>
        <v>0</v>
      </c>
      <c r="O132" s="14">
        <f t="shared" si="32"/>
        <v>0</v>
      </c>
      <c r="P132" s="16">
        <f t="shared" si="32"/>
        <v>0</v>
      </c>
      <c r="Q132" s="15">
        <f t="shared" si="32"/>
        <v>0</v>
      </c>
      <c r="R132" s="15">
        <f t="shared" si="32"/>
        <v>-1.9914629099240105E-4</v>
      </c>
      <c r="S132" s="15">
        <f t="shared" si="32"/>
        <v>0</v>
      </c>
      <c r="T132" s="15">
        <f t="shared" si="32"/>
        <v>0</v>
      </c>
      <c r="U132" s="14">
        <f t="shared" si="32"/>
        <v>-2.8398206100363997E-5</v>
      </c>
      <c r="V132" s="16">
        <f t="shared" si="32"/>
        <v>0</v>
      </c>
      <c r="W132" s="15">
        <f t="shared" si="32"/>
        <v>0</v>
      </c>
      <c r="X132" s="15">
        <f t="shared" si="32"/>
        <v>0</v>
      </c>
      <c r="Y132" s="15">
        <f t="shared" si="32"/>
        <v>0</v>
      </c>
      <c r="Z132" s="14">
        <f t="shared" si="32"/>
        <v>-1.1318051035698939E-2</v>
      </c>
      <c r="AA132" s="15">
        <f t="shared" si="32"/>
        <v>8.8484834391399508E-6</v>
      </c>
      <c r="AB132" s="16">
        <f t="shared" si="32"/>
        <v>0</v>
      </c>
      <c r="AC132" s="16">
        <f t="shared" si="32"/>
        <v>1.1536544896538048E-2</v>
      </c>
    </row>
    <row r="133" spans="1:29" ht="15" thickBot="1" x14ac:dyDescent="0.35">
      <c r="A133" s="4" t="s">
        <v>51</v>
      </c>
      <c r="B133" s="5">
        <v>2024</v>
      </c>
      <c r="C133" s="74">
        <f t="shared" ref="C133:AC133" si="33">C46-C87</f>
        <v>-0.46800000000007458</v>
      </c>
      <c r="D133" s="20">
        <f t="shared" si="33"/>
        <v>-7.7952009248403314E-5</v>
      </c>
      <c r="E133" s="21">
        <f t="shared" si="33"/>
        <v>2.0045392725893827E-9</v>
      </c>
      <c r="F133" s="22">
        <f t="shared" si="33"/>
        <v>0</v>
      </c>
      <c r="G133" s="22">
        <f t="shared" si="33"/>
        <v>1.6211350721387005E-3</v>
      </c>
      <c r="H133" s="20">
        <f t="shared" si="33"/>
        <v>-3.8776047548497172E-6</v>
      </c>
      <c r="I133" s="21">
        <f t="shared" si="33"/>
        <v>5.4220768564239991E-4</v>
      </c>
      <c r="J133" s="22">
        <f t="shared" si="33"/>
        <v>1.9916868760795972E-3</v>
      </c>
      <c r="K133" s="22">
        <f t="shared" si="33"/>
        <v>3.2239434246775986E-3</v>
      </c>
      <c r="L133" s="22">
        <f t="shared" si="33"/>
        <v>6.6905206774772949E-3</v>
      </c>
      <c r="M133" s="22">
        <f t="shared" si="33"/>
        <v>0</v>
      </c>
      <c r="N133" s="22">
        <f t="shared" si="33"/>
        <v>0</v>
      </c>
      <c r="O133" s="20">
        <f t="shared" si="33"/>
        <v>0</v>
      </c>
      <c r="P133" s="21">
        <f t="shared" si="33"/>
        <v>0</v>
      </c>
      <c r="Q133" s="22">
        <f t="shared" si="33"/>
        <v>0</v>
      </c>
      <c r="R133" s="22">
        <f t="shared" si="33"/>
        <v>-1.9900151520040044E-4</v>
      </c>
      <c r="S133" s="22">
        <f t="shared" si="33"/>
        <v>0</v>
      </c>
      <c r="T133" s="22">
        <f t="shared" si="33"/>
        <v>0</v>
      </c>
      <c r="U133" s="20">
        <f t="shared" si="33"/>
        <v>-3.7687641890263822E-5</v>
      </c>
      <c r="V133" s="21">
        <f t="shared" si="33"/>
        <v>-1.0014506443576515E-4</v>
      </c>
      <c r="W133" s="22">
        <f t="shared" si="33"/>
        <v>0</v>
      </c>
      <c r="X133" s="22">
        <f t="shared" si="33"/>
        <v>0</v>
      </c>
      <c r="Y133" s="22">
        <f t="shared" si="33"/>
        <v>0</v>
      </c>
      <c r="Z133" s="20">
        <f t="shared" si="33"/>
        <v>-1.3658477217810994E-2</v>
      </c>
      <c r="AA133" s="22">
        <f t="shared" si="33"/>
        <v>7.6453127857006864E-6</v>
      </c>
      <c r="AB133" s="21">
        <f t="shared" si="33"/>
        <v>0</v>
      </c>
      <c r="AC133" s="21">
        <f t="shared" si="33"/>
        <v>1.4065616131260755E-2</v>
      </c>
    </row>
  </sheetData>
  <mergeCells count="33">
    <mergeCell ref="J9:N9"/>
    <mergeCell ref="O9:P9"/>
    <mergeCell ref="Q9:V9"/>
    <mergeCell ref="W9:Y9"/>
    <mergeCell ref="AC8:AC9"/>
    <mergeCell ref="D49:I49"/>
    <mergeCell ref="J49:Y49"/>
    <mergeCell ref="Z49:AB50"/>
    <mergeCell ref="AC49:AC50"/>
    <mergeCell ref="D50:E50"/>
    <mergeCell ref="F50:G50"/>
    <mergeCell ref="H50:I50"/>
    <mergeCell ref="J50:N50"/>
    <mergeCell ref="O50:P50"/>
    <mergeCell ref="D8:I8"/>
    <mergeCell ref="J8:Y8"/>
    <mergeCell ref="Z8:AB9"/>
    <mergeCell ref="D9:E9"/>
    <mergeCell ref="F9:G9"/>
    <mergeCell ref="H9:I9"/>
    <mergeCell ref="D95:I95"/>
    <mergeCell ref="J95:Y95"/>
    <mergeCell ref="Z95:AB96"/>
    <mergeCell ref="AC95:AC96"/>
    <mergeCell ref="D96:E96"/>
    <mergeCell ref="F96:G96"/>
    <mergeCell ref="H96:I96"/>
    <mergeCell ref="J96:N96"/>
    <mergeCell ref="O96:P96"/>
    <mergeCell ref="Q96:V96"/>
    <mergeCell ref="W96:Y96"/>
    <mergeCell ref="Q50:V50"/>
    <mergeCell ref="W50:Y50"/>
  </mergeCells>
  <conditionalFormatting sqref="D98:AC133">
    <cfRule type="colorScale" priority="2">
      <colorScale>
        <cfvo type="min"/>
        <cfvo type="percentile" val="50"/>
        <cfvo type="max"/>
        <color rgb="FFF8696B"/>
        <color rgb="FFFCFCFF"/>
        <color rgb="FF63BE7B"/>
      </colorScale>
    </cfRule>
  </conditionalFormatting>
  <conditionalFormatting sqref="C98:C133">
    <cfRule type="colorScale" priority="1">
      <colorScale>
        <cfvo type="min"/>
        <cfvo type="percentile" val="50"/>
        <cfvo type="max"/>
        <color rgb="FFF8696B"/>
        <color rgb="FFFCFCFF"/>
        <color rgb="FF63BE7B"/>
      </colorScale>
    </cfRule>
  </conditionalFormatting>
  <pageMargins left="0.7" right="0.7" top="0.75" bottom="0.75" header="0.3" footer="0.3"/>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8CC1C-B93E-496C-9911-E98C5968FA32}">
  <dimension ref="A1:AB32"/>
  <sheetViews>
    <sheetView tabSelected="1" zoomScale="80" zoomScaleNormal="80" workbookViewId="0">
      <selection activeCell="C16" sqref="C16"/>
    </sheetView>
  </sheetViews>
  <sheetFormatPr defaultRowHeight="14.4" x14ac:dyDescent="0.3"/>
  <cols>
    <col min="26" max="26" width="10.109375" customWidth="1"/>
    <col min="27" max="27" width="10.6640625" customWidth="1"/>
  </cols>
  <sheetData>
    <row r="1" spans="1:28" x14ac:dyDescent="0.3">
      <c r="A1" t="s">
        <v>86</v>
      </c>
    </row>
    <row r="2" spans="1:28" x14ac:dyDescent="0.3">
      <c r="A2" t="s">
        <v>30</v>
      </c>
    </row>
    <row r="3" spans="1:28" x14ac:dyDescent="0.3">
      <c r="A3" t="s">
        <v>0</v>
      </c>
    </row>
    <row r="4" spans="1:28" x14ac:dyDescent="0.3">
      <c r="A4" t="s">
        <v>83</v>
      </c>
    </row>
    <row r="5" spans="1:28" x14ac:dyDescent="0.3">
      <c r="A5" t="s">
        <v>1</v>
      </c>
      <c r="D5" s="40"/>
    </row>
    <row r="6" spans="1:28" ht="15.6" x14ac:dyDescent="0.3">
      <c r="A6" s="39"/>
    </row>
    <row r="7" spans="1:28" ht="15" thickBot="1" x14ac:dyDescent="0.35">
      <c r="A7" t="s">
        <v>82</v>
      </c>
    </row>
    <row r="8" spans="1:28" x14ac:dyDescent="0.3">
      <c r="B8" s="1"/>
      <c r="C8" s="2"/>
      <c r="D8" s="1" t="s">
        <v>2</v>
      </c>
      <c r="E8" s="2"/>
      <c r="F8" s="2"/>
      <c r="G8" s="2"/>
      <c r="H8" s="2"/>
      <c r="I8" s="3"/>
      <c r="J8" s="2" t="s">
        <v>3</v>
      </c>
      <c r="K8" s="2"/>
      <c r="L8" s="2"/>
      <c r="M8" s="2"/>
      <c r="N8" s="2"/>
      <c r="O8" s="2"/>
      <c r="P8" s="2"/>
      <c r="Q8" s="2"/>
      <c r="R8" s="2"/>
      <c r="S8" s="2"/>
      <c r="T8" s="2"/>
      <c r="U8" s="2"/>
      <c r="V8" s="2"/>
      <c r="W8" s="2"/>
      <c r="X8" s="2"/>
      <c r="Y8" s="2"/>
      <c r="Z8" s="1"/>
      <c r="AA8" s="2"/>
      <c r="AB8" s="41" t="s">
        <v>52</v>
      </c>
    </row>
    <row r="9" spans="1:28" x14ac:dyDescent="0.3">
      <c r="B9" s="17"/>
      <c r="D9" s="17" t="s">
        <v>5</v>
      </c>
      <c r="F9" t="s">
        <v>6</v>
      </c>
      <c r="H9" t="s">
        <v>7</v>
      </c>
      <c r="I9" s="42"/>
      <c r="J9" t="s">
        <v>53</v>
      </c>
      <c r="O9" t="s">
        <v>54</v>
      </c>
      <c r="Q9" t="s">
        <v>55</v>
      </c>
      <c r="W9" t="s">
        <v>11</v>
      </c>
      <c r="Z9" s="17" t="s">
        <v>4</v>
      </c>
      <c r="AB9" s="43" t="s">
        <v>56</v>
      </c>
    </row>
    <row r="10" spans="1:28" ht="45.6" thickBot="1" x14ac:dyDescent="0.35">
      <c r="A10" t="s">
        <v>12</v>
      </c>
      <c r="B10" s="44" t="s">
        <v>27</v>
      </c>
      <c r="C10" s="31" t="s">
        <v>57</v>
      </c>
      <c r="D10" s="45" t="s">
        <v>36</v>
      </c>
      <c r="E10" s="31" t="s">
        <v>58</v>
      </c>
      <c r="F10" s="31" t="s">
        <v>36</v>
      </c>
      <c r="G10" s="31" t="s">
        <v>43</v>
      </c>
      <c r="H10" s="31" t="s">
        <v>36</v>
      </c>
      <c r="I10" s="46" t="s">
        <v>43</v>
      </c>
      <c r="J10" s="31" t="s">
        <v>59</v>
      </c>
      <c r="K10" s="31" t="s">
        <v>21</v>
      </c>
      <c r="L10" s="31" t="s">
        <v>22</v>
      </c>
      <c r="M10" s="31" t="s">
        <v>7</v>
      </c>
      <c r="N10" s="31" t="s">
        <v>6</v>
      </c>
      <c r="O10" s="31" t="s">
        <v>39</v>
      </c>
      <c r="P10" s="31" t="s">
        <v>41</v>
      </c>
      <c r="Q10" s="31" t="s">
        <v>23</v>
      </c>
      <c r="R10" s="31" t="s">
        <v>60</v>
      </c>
      <c r="S10" s="31" t="s">
        <v>24</v>
      </c>
      <c r="T10" s="31" t="s">
        <v>25</v>
      </c>
      <c r="U10" s="31" t="s">
        <v>61</v>
      </c>
      <c r="V10" s="31" t="s">
        <v>62</v>
      </c>
      <c r="W10" s="31" t="s">
        <v>63</v>
      </c>
      <c r="X10" s="31" t="s">
        <v>35</v>
      </c>
      <c r="Y10" s="31" t="s">
        <v>64</v>
      </c>
      <c r="Z10" s="45" t="s">
        <v>65</v>
      </c>
      <c r="AA10" s="31" t="s">
        <v>66</v>
      </c>
      <c r="AB10" s="47" t="s">
        <v>37</v>
      </c>
    </row>
    <row r="11" spans="1:28" x14ac:dyDescent="0.3">
      <c r="A11" t="s">
        <v>87</v>
      </c>
      <c r="B11" s="17">
        <v>1991</v>
      </c>
      <c r="C11" s="48">
        <v>154</v>
      </c>
      <c r="D11" s="49">
        <v>0</v>
      </c>
      <c r="E11" s="50">
        <v>0</v>
      </c>
      <c r="F11" s="50">
        <v>0</v>
      </c>
      <c r="G11" s="51">
        <v>0</v>
      </c>
      <c r="H11" s="50">
        <v>6.4935064935064939E-3</v>
      </c>
      <c r="I11" s="52">
        <v>0</v>
      </c>
      <c r="J11" s="49">
        <v>2.5974025974025976E-2</v>
      </c>
      <c r="K11" s="50">
        <v>3.896103896103896E-2</v>
      </c>
      <c r="L11" s="50">
        <v>3.896103896103896E-2</v>
      </c>
      <c r="M11" s="50">
        <v>0</v>
      </c>
      <c r="N11" s="50">
        <v>0</v>
      </c>
      <c r="O11" s="50">
        <v>0</v>
      </c>
      <c r="P11" s="50">
        <v>6.4935064935064939E-3</v>
      </c>
      <c r="Q11" s="50">
        <v>3.2467532467532464E-2</v>
      </c>
      <c r="R11" s="50">
        <v>0</v>
      </c>
      <c r="S11" s="50">
        <v>0</v>
      </c>
      <c r="T11" s="50">
        <v>0</v>
      </c>
      <c r="U11" s="50">
        <v>1.378338642489586E-2</v>
      </c>
      <c r="V11" s="50">
        <v>2.51776525361431E-2</v>
      </c>
      <c r="W11" s="50">
        <v>1.2987012987012988E-2</v>
      </c>
      <c r="X11" s="50">
        <v>0</v>
      </c>
      <c r="Y11" s="52">
        <v>0.13636363636363635</v>
      </c>
      <c r="Z11" s="49">
        <v>0.63636363636363635</v>
      </c>
      <c r="AA11" s="34">
        <v>2.5974025974025976E-2</v>
      </c>
      <c r="AB11" s="53">
        <f t="shared" ref="AB11:AB26" si="0">+SUM(F11:P11)</f>
        <v>0.11688311688311688</v>
      </c>
    </row>
    <row r="12" spans="1:28" x14ac:dyDescent="0.3">
      <c r="A12" t="s">
        <v>87</v>
      </c>
      <c r="B12" s="17">
        <v>1992</v>
      </c>
      <c r="C12" s="48">
        <v>159</v>
      </c>
      <c r="D12" s="49">
        <v>0</v>
      </c>
      <c r="E12" s="50">
        <v>0</v>
      </c>
      <c r="F12" s="50">
        <v>0</v>
      </c>
      <c r="G12" s="51">
        <v>0</v>
      </c>
      <c r="H12" s="50">
        <v>4.40251572327044E-2</v>
      </c>
      <c r="I12" s="52">
        <v>0</v>
      </c>
      <c r="J12" s="49">
        <v>3.1446540880503145E-2</v>
      </c>
      <c r="K12" s="50">
        <v>2.5157232704402517E-2</v>
      </c>
      <c r="L12" s="50">
        <v>3.1446540880503145E-2</v>
      </c>
      <c r="M12" s="50">
        <v>0</v>
      </c>
      <c r="N12" s="50">
        <v>0</v>
      </c>
      <c r="O12" s="50">
        <v>0</v>
      </c>
      <c r="P12" s="50">
        <v>2.5157232704402517E-2</v>
      </c>
      <c r="Q12" s="50">
        <v>0</v>
      </c>
      <c r="R12" s="50">
        <v>0</v>
      </c>
      <c r="S12" s="50">
        <v>0</v>
      </c>
      <c r="T12" s="50">
        <v>0</v>
      </c>
      <c r="U12" s="50">
        <v>6.2316081010905307E-2</v>
      </c>
      <c r="V12" s="50">
        <v>0.39051410766833999</v>
      </c>
      <c r="W12" s="50">
        <v>1.2578616352201259E-2</v>
      </c>
      <c r="X12" s="50">
        <v>0</v>
      </c>
      <c r="Y12" s="52">
        <v>6.2893081761006289E-2</v>
      </c>
      <c r="Z12" s="49">
        <v>0.31446540880503143</v>
      </c>
      <c r="AA12" s="34">
        <v>0</v>
      </c>
      <c r="AB12" s="53">
        <f t="shared" si="0"/>
        <v>0.15723270440251572</v>
      </c>
    </row>
    <row r="13" spans="1:28" x14ac:dyDescent="0.3">
      <c r="A13" t="s">
        <v>87</v>
      </c>
      <c r="B13" s="17">
        <v>1993</v>
      </c>
      <c r="C13" s="48">
        <v>349</v>
      </c>
      <c r="D13" s="49">
        <v>0</v>
      </c>
      <c r="E13" s="50">
        <v>0</v>
      </c>
      <c r="F13" s="50">
        <v>0</v>
      </c>
      <c r="G13" s="51">
        <v>1.1461318051575931E-2</v>
      </c>
      <c r="H13" s="50">
        <v>1.7191977077363897E-2</v>
      </c>
      <c r="I13" s="52">
        <v>0</v>
      </c>
      <c r="J13" s="49">
        <v>2.2922636103151862E-2</v>
      </c>
      <c r="K13" s="50">
        <v>1.1461318051575931E-2</v>
      </c>
      <c r="L13" s="50">
        <v>2.5787965616045846E-2</v>
      </c>
      <c r="M13" s="50">
        <v>0</v>
      </c>
      <c r="N13" s="50">
        <v>0</v>
      </c>
      <c r="O13" s="50">
        <v>0</v>
      </c>
      <c r="P13" s="50">
        <v>0</v>
      </c>
      <c r="Q13" s="50">
        <v>5.730659025787966E-2</v>
      </c>
      <c r="R13" s="50">
        <v>0</v>
      </c>
      <c r="S13" s="50">
        <v>0</v>
      </c>
      <c r="T13" s="50">
        <v>0</v>
      </c>
      <c r="U13" s="50">
        <v>5.614497018508479E-2</v>
      </c>
      <c r="V13" s="50">
        <v>0.44242236505846827</v>
      </c>
      <c r="W13" s="50">
        <v>1.4326647564469915E-2</v>
      </c>
      <c r="X13" s="50">
        <v>0</v>
      </c>
      <c r="Y13" s="52">
        <v>0</v>
      </c>
      <c r="Z13" s="49">
        <v>0.34097421203438394</v>
      </c>
      <c r="AA13" s="34">
        <v>0</v>
      </c>
      <c r="AB13" s="53">
        <f t="shared" si="0"/>
        <v>8.882521489971347E-2</v>
      </c>
    </row>
    <row r="14" spans="1:28" x14ac:dyDescent="0.3">
      <c r="A14" t="s">
        <v>87</v>
      </c>
      <c r="B14" s="17">
        <v>1994</v>
      </c>
      <c r="C14" s="48">
        <v>298</v>
      </c>
      <c r="D14" s="49">
        <v>6.7114093959731542E-3</v>
      </c>
      <c r="E14" s="50">
        <v>0</v>
      </c>
      <c r="F14" s="50">
        <v>0</v>
      </c>
      <c r="G14" s="51">
        <v>0</v>
      </c>
      <c r="H14" s="50">
        <v>2.0134228187919462E-2</v>
      </c>
      <c r="I14" s="52">
        <v>0</v>
      </c>
      <c r="J14" s="49">
        <v>1.3422818791946308E-2</v>
      </c>
      <c r="K14" s="50">
        <v>0</v>
      </c>
      <c r="L14" s="50">
        <v>0</v>
      </c>
      <c r="M14" s="50">
        <v>0</v>
      </c>
      <c r="N14" s="50">
        <v>0</v>
      </c>
      <c r="O14" s="50">
        <v>0</v>
      </c>
      <c r="P14" s="50">
        <v>0</v>
      </c>
      <c r="Q14" s="50">
        <v>7.829977628635347E-3</v>
      </c>
      <c r="R14" s="50">
        <v>0</v>
      </c>
      <c r="S14" s="50">
        <v>1.5659955257270694E-2</v>
      </c>
      <c r="T14" s="50">
        <v>0</v>
      </c>
      <c r="U14" s="50">
        <v>3.2050404054239146E-2</v>
      </c>
      <c r="V14" s="50">
        <v>0.22969456238871386</v>
      </c>
      <c r="W14" s="50">
        <v>0</v>
      </c>
      <c r="X14" s="50">
        <v>0</v>
      </c>
      <c r="Y14" s="52">
        <v>3.3557046979865771E-3</v>
      </c>
      <c r="Z14" s="49">
        <v>0.67114093959731547</v>
      </c>
      <c r="AA14" s="34">
        <v>0</v>
      </c>
      <c r="AB14" s="53">
        <f t="shared" si="0"/>
        <v>3.3557046979865772E-2</v>
      </c>
    </row>
    <row r="15" spans="1:28" x14ac:dyDescent="0.3">
      <c r="A15" t="s">
        <v>87</v>
      </c>
      <c r="B15" s="17">
        <v>1995</v>
      </c>
      <c r="C15" s="48">
        <v>535</v>
      </c>
      <c r="D15" s="49">
        <v>0</v>
      </c>
      <c r="E15" s="50">
        <v>0</v>
      </c>
      <c r="F15" s="50">
        <v>7.4766355140186919E-3</v>
      </c>
      <c r="G15" s="51">
        <v>0</v>
      </c>
      <c r="H15" s="50">
        <v>1.4953271028037384E-2</v>
      </c>
      <c r="I15" s="52">
        <v>0</v>
      </c>
      <c r="J15" s="49">
        <v>4.1121495327102804E-2</v>
      </c>
      <c r="K15" s="50">
        <v>0</v>
      </c>
      <c r="L15" s="50">
        <v>1.4953271028037384E-2</v>
      </c>
      <c r="M15" s="50">
        <v>0</v>
      </c>
      <c r="N15" s="50">
        <v>0</v>
      </c>
      <c r="O15" s="50">
        <v>2.0560747663551402E-2</v>
      </c>
      <c r="P15" s="50">
        <v>0</v>
      </c>
      <c r="Q15" s="50">
        <v>2.9906542056074768E-2</v>
      </c>
      <c r="R15" s="50">
        <v>0</v>
      </c>
      <c r="S15" s="50">
        <v>0</v>
      </c>
      <c r="T15" s="50">
        <v>0</v>
      </c>
      <c r="U15" s="50">
        <v>3.2862421212779831E-2</v>
      </c>
      <c r="V15" s="50">
        <v>0.16900673766572485</v>
      </c>
      <c r="W15" s="50">
        <v>3.7383177570093459E-3</v>
      </c>
      <c r="X15" s="50">
        <v>0</v>
      </c>
      <c r="Y15" s="52">
        <v>1.4953271028037384E-2</v>
      </c>
      <c r="Z15" s="49">
        <v>0.6504672897196262</v>
      </c>
      <c r="AA15" s="34">
        <v>0</v>
      </c>
      <c r="AB15" s="53">
        <f t="shared" si="0"/>
        <v>9.9065420560747658E-2</v>
      </c>
    </row>
    <row r="16" spans="1:28" x14ac:dyDescent="0.3">
      <c r="A16" t="s">
        <v>87</v>
      </c>
      <c r="B16" s="17">
        <v>1996</v>
      </c>
      <c r="C16" s="48">
        <v>360</v>
      </c>
      <c r="D16" s="49">
        <v>0</v>
      </c>
      <c r="E16" s="50">
        <v>0</v>
      </c>
      <c r="F16" s="50">
        <v>5.5555555555555558E-3</v>
      </c>
      <c r="G16" s="51">
        <v>0</v>
      </c>
      <c r="H16" s="50">
        <v>2.7777777777777779E-3</v>
      </c>
      <c r="I16" s="52">
        <v>0</v>
      </c>
      <c r="J16" s="49">
        <v>5.8333333333333334E-2</v>
      </c>
      <c r="K16" s="50">
        <v>1.1111111111111112E-2</v>
      </c>
      <c r="L16" s="50">
        <v>0</v>
      </c>
      <c r="M16" s="50">
        <v>0</v>
      </c>
      <c r="N16" s="50">
        <v>0</v>
      </c>
      <c r="O16" s="50">
        <v>5.5555555555555558E-3</v>
      </c>
      <c r="P16" s="50">
        <v>0</v>
      </c>
      <c r="Q16" s="50">
        <v>4.4444444444444446E-2</v>
      </c>
      <c r="R16" s="50">
        <v>0</v>
      </c>
      <c r="S16" s="50">
        <v>0</v>
      </c>
      <c r="T16" s="50">
        <v>0</v>
      </c>
      <c r="U16" s="50">
        <v>4.8245614035087717E-2</v>
      </c>
      <c r="V16" s="50">
        <v>0.31842105263157894</v>
      </c>
      <c r="W16" s="50">
        <v>0</v>
      </c>
      <c r="X16" s="50">
        <v>0</v>
      </c>
      <c r="Y16" s="52">
        <v>1.6666666666666666E-2</v>
      </c>
      <c r="Z16" s="49">
        <v>0.48888888888888887</v>
      </c>
      <c r="AA16" s="34">
        <v>0</v>
      </c>
      <c r="AB16" s="53">
        <f t="shared" si="0"/>
        <v>8.3333333333333329E-2</v>
      </c>
    </row>
    <row r="17" spans="1:28" x14ac:dyDescent="0.3">
      <c r="A17" t="s">
        <v>87</v>
      </c>
      <c r="B17" s="17">
        <v>1997</v>
      </c>
      <c r="C17" s="48">
        <v>325</v>
      </c>
      <c r="D17" s="49">
        <v>0</v>
      </c>
      <c r="E17" s="50">
        <v>0</v>
      </c>
      <c r="F17" s="50">
        <v>0</v>
      </c>
      <c r="G17" s="51">
        <v>0</v>
      </c>
      <c r="H17" s="50">
        <v>6.1538461538461538E-3</v>
      </c>
      <c r="I17" s="52">
        <v>3.0769230769230769E-3</v>
      </c>
      <c r="J17" s="49">
        <v>6.7692307692307691E-2</v>
      </c>
      <c r="K17" s="50">
        <v>0</v>
      </c>
      <c r="L17" s="50">
        <v>0</v>
      </c>
      <c r="M17" s="50">
        <v>0</v>
      </c>
      <c r="N17" s="50">
        <v>0</v>
      </c>
      <c r="O17" s="50">
        <v>2.1538461538461538E-2</v>
      </c>
      <c r="P17" s="50">
        <v>0</v>
      </c>
      <c r="Q17" s="50">
        <v>0</v>
      </c>
      <c r="R17" s="50">
        <v>0</v>
      </c>
      <c r="S17" s="50">
        <v>0</v>
      </c>
      <c r="T17" s="50">
        <v>0</v>
      </c>
      <c r="U17" s="50">
        <v>4.4162895927601808E-2</v>
      </c>
      <c r="V17" s="50">
        <v>0.33122171945701356</v>
      </c>
      <c r="W17" s="50">
        <v>1.2307692307692308E-2</v>
      </c>
      <c r="X17" s="50">
        <v>1.2307692307692308E-2</v>
      </c>
      <c r="Y17" s="52">
        <v>0</v>
      </c>
      <c r="Z17" s="49">
        <v>0.50153846153846149</v>
      </c>
      <c r="AA17" s="34">
        <v>0</v>
      </c>
      <c r="AB17" s="53">
        <f t="shared" si="0"/>
        <v>9.8461538461538461E-2</v>
      </c>
    </row>
    <row r="18" spans="1:28" x14ac:dyDescent="0.3">
      <c r="A18" t="s">
        <v>87</v>
      </c>
      <c r="B18" s="17">
        <v>1998</v>
      </c>
      <c r="C18" s="48">
        <v>230</v>
      </c>
      <c r="D18" s="49">
        <v>0</v>
      </c>
      <c r="E18" s="50">
        <v>0</v>
      </c>
      <c r="F18" s="50">
        <v>0</v>
      </c>
      <c r="G18" s="51">
        <v>0</v>
      </c>
      <c r="H18" s="50">
        <v>0</v>
      </c>
      <c r="I18" s="52">
        <v>0</v>
      </c>
      <c r="J18" s="49">
        <v>5.6521739130434782E-2</v>
      </c>
      <c r="K18" s="50">
        <v>0</v>
      </c>
      <c r="L18" s="50">
        <v>2.1739130434782608E-2</v>
      </c>
      <c r="M18" s="50">
        <v>0</v>
      </c>
      <c r="N18" s="50">
        <v>0</v>
      </c>
      <c r="O18" s="50">
        <v>0</v>
      </c>
      <c r="P18" s="50">
        <v>0</v>
      </c>
      <c r="Q18" s="50">
        <v>7.3913043478260873E-2</v>
      </c>
      <c r="R18" s="50">
        <v>0</v>
      </c>
      <c r="S18" s="50">
        <v>0</v>
      </c>
      <c r="T18" s="50">
        <v>0</v>
      </c>
      <c r="U18" s="50">
        <v>2.8654570352618966E-2</v>
      </c>
      <c r="V18" s="50">
        <v>0.37569325573433759</v>
      </c>
      <c r="W18" s="50">
        <v>0</v>
      </c>
      <c r="X18" s="50">
        <v>0</v>
      </c>
      <c r="Y18" s="52">
        <v>0</v>
      </c>
      <c r="Z18" s="49">
        <v>0.44347826086956521</v>
      </c>
      <c r="AA18" s="34">
        <v>0</v>
      </c>
      <c r="AB18" s="53">
        <f t="shared" si="0"/>
        <v>7.8260869565217384E-2</v>
      </c>
    </row>
    <row r="19" spans="1:28" x14ac:dyDescent="0.3">
      <c r="A19" t="s">
        <v>87</v>
      </c>
      <c r="B19" s="36">
        <v>1999</v>
      </c>
      <c r="C19" s="54"/>
      <c r="D19" s="55"/>
      <c r="E19" s="56"/>
      <c r="F19" s="56"/>
      <c r="G19" s="57"/>
      <c r="H19" s="56"/>
      <c r="I19" s="58"/>
      <c r="J19" s="55"/>
      <c r="K19" s="56"/>
      <c r="L19" s="56"/>
      <c r="M19" s="56"/>
      <c r="N19" s="56"/>
      <c r="O19" s="56"/>
      <c r="P19" s="56"/>
      <c r="Q19" s="56"/>
      <c r="R19" s="56"/>
      <c r="S19" s="56"/>
      <c r="T19" s="56"/>
      <c r="U19" s="56"/>
      <c r="V19" s="56"/>
      <c r="W19" s="56"/>
      <c r="X19" s="56"/>
      <c r="Y19" s="58"/>
      <c r="Z19" s="55"/>
      <c r="AA19" s="35"/>
      <c r="AB19" s="59"/>
    </row>
    <row r="20" spans="1:28" x14ac:dyDescent="0.3">
      <c r="A20" t="s">
        <v>87</v>
      </c>
      <c r="B20" s="36">
        <v>2000</v>
      </c>
      <c r="C20" s="54"/>
      <c r="D20" s="55"/>
      <c r="E20" s="56"/>
      <c r="F20" s="56"/>
      <c r="G20" s="57"/>
      <c r="H20" s="56"/>
      <c r="I20" s="58"/>
      <c r="J20" s="55"/>
      <c r="K20" s="56"/>
      <c r="L20" s="56"/>
      <c r="M20" s="56"/>
      <c r="N20" s="56"/>
      <c r="O20" s="56"/>
      <c r="P20" s="56"/>
      <c r="Q20" s="56"/>
      <c r="R20" s="56"/>
      <c r="S20" s="56"/>
      <c r="T20" s="56"/>
      <c r="U20" s="56"/>
      <c r="V20" s="56"/>
      <c r="W20" s="56"/>
      <c r="X20" s="56"/>
      <c r="Y20" s="58"/>
      <c r="Z20" s="55"/>
      <c r="AA20" s="35"/>
      <c r="AB20" s="59"/>
    </row>
    <row r="21" spans="1:28" x14ac:dyDescent="0.3">
      <c r="A21" t="s">
        <v>87</v>
      </c>
      <c r="B21" s="17">
        <v>2001</v>
      </c>
      <c r="C21" s="48">
        <v>312</v>
      </c>
      <c r="D21" s="49">
        <v>0</v>
      </c>
      <c r="E21" s="50">
        <v>0</v>
      </c>
      <c r="F21" s="50">
        <v>9.6153846153846159E-3</v>
      </c>
      <c r="G21" s="51">
        <v>0</v>
      </c>
      <c r="H21" s="50">
        <v>1.9230769230769232E-2</v>
      </c>
      <c r="I21" s="52">
        <v>0</v>
      </c>
      <c r="J21" s="49">
        <v>8.6538461538461536E-2</v>
      </c>
      <c r="K21" s="50">
        <v>9.6153846153846159E-3</v>
      </c>
      <c r="L21" s="50">
        <v>6.0897435897435896E-2</v>
      </c>
      <c r="M21" s="50">
        <v>0</v>
      </c>
      <c r="N21" s="50">
        <v>0</v>
      </c>
      <c r="O21" s="50">
        <v>0</v>
      </c>
      <c r="P21" s="50">
        <v>0</v>
      </c>
      <c r="Q21" s="50">
        <v>2.8846153846153848E-2</v>
      </c>
      <c r="R21" s="50">
        <v>0</v>
      </c>
      <c r="S21" s="50">
        <v>0</v>
      </c>
      <c r="T21" s="50">
        <v>0</v>
      </c>
      <c r="U21" s="50">
        <v>5.6077694235588976E-2</v>
      </c>
      <c r="V21" s="50">
        <v>0.51764025448235973</v>
      </c>
      <c r="W21" s="50">
        <v>3.205128205128205E-3</v>
      </c>
      <c r="X21" s="50">
        <v>0</v>
      </c>
      <c r="Y21" s="52">
        <v>0</v>
      </c>
      <c r="Z21" s="49">
        <v>0.20833333333333334</v>
      </c>
      <c r="AA21" s="34">
        <v>0</v>
      </c>
      <c r="AB21" s="53">
        <f t="shared" si="0"/>
        <v>0.1858974358974359</v>
      </c>
    </row>
    <row r="22" spans="1:28" x14ac:dyDescent="0.3">
      <c r="A22" t="s">
        <v>87</v>
      </c>
      <c r="B22" s="17">
        <v>2002</v>
      </c>
      <c r="C22" s="48">
        <v>135</v>
      </c>
      <c r="D22" s="49">
        <v>0</v>
      </c>
      <c r="E22" s="50">
        <v>0</v>
      </c>
      <c r="F22" s="50">
        <v>0.12592592592592591</v>
      </c>
      <c r="G22" s="51">
        <v>0</v>
      </c>
      <c r="H22" s="50">
        <v>0.1111111111111111</v>
      </c>
      <c r="I22" s="52">
        <v>0</v>
      </c>
      <c r="J22" s="49">
        <v>0.11851851851851852</v>
      </c>
      <c r="K22" s="50">
        <v>0</v>
      </c>
      <c r="L22" s="50">
        <v>0</v>
      </c>
      <c r="M22" s="50">
        <v>0</v>
      </c>
      <c r="N22" s="50">
        <v>0</v>
      </c>
      <c r="O22" s="50">
        <v>0</v>
      </c>
      <c r="P22" s="50">
        <v>0</v>
      </c>
      <c r="Q22" s="50">
        <v>0</v>
      </c>
      <c r="R22" s="50">
        <v>0</v>
      </c>
      <c r="S22" s="50">
        <v>0</v>
      </c>
      <c r="T22" s="50">
        <v>0</v>
      </c>
      <c r="U22" s="50">
        <v>2.5490196078431376E-2</v>
      </c>
      <c r="V22" s="50">
        <v>0.16710239651416123</v>
      </c>
      <c r="W22" s="50">
        <v>3.7037037037037035E-2</v>
      </c>
      <c r="X22" s="50">
        <v>0</v>
      </c>
      <c r="Y22" s="52">
        <v>0</v>
      </c>
      <c r="Z22" s="49">
        <v>0.4148148148148148</v>
      </c>
      <c r="AA22" s="34">
        <v>0</v>
      </c>
      <c r="AB22" s="53">
        <f t="shared" si="0"/>
        <v>0.35555555555555551</v>
      </c>
    </row>
    <row r="23" spans="1:28" x14ac:dyDescent="0.3">
      <c r="A23" t="s">
        <v>87</v>
      </c>
      <c r="B23" s="17">
        <v>2003</v>
      </c>
      <c r="C23" s="48">
        <v>152</v>
      </c>
      <c r="D23" s="49">
        <v>0</v>
      </c>
      <c r="E23" s="50">
        <v>0</v>
      </c>
      <c r="F23" s="50">
        <v>5.2631578947368418E-2</v>
      </c>
      <c r="G23" s="51">
        <v>0</v>
      </c>
      <c r="H23" s="50">
        <v>0</v>
      </c>
      <c r="I23" s="52">
        <v>7.2368421052631582E-2</v>
      </c>
      <c r="J23" s="49">
        <v>0.125</v>
      </c>
      <c r="K23" s="50">
        <v>0</v>
      </c>
      <c r="L23" s="50">
        <v>0</v>
      </c>
      <c r="M23" s="50">
        <v>0</v>
      </c>
      <c r="N23" s="50">
        <v>0</v>
      </c>
      <c r="O23" s="50">
        <v>0</v>
      </c>
      <c r="P23" s="50">
        <v>0</v>
      </c>
      <c r="Q23" s="50">
        <v>0</v>
      </c>
      <c r="R23" s="50">
        <v>0</v>
      </c>
      <c r="S23" s="50">
        <v>0</v>
      </c>
      <c r="T23" s="50">
        <v>0</v>
      </c>
      <c r="U23" s="50">
        <v>9.3911248710010331E-2</v>
      </c>
      <c r="V23" s="50">
        <v>0.50477296181630538</v>
      </c>
      <c r="W23" s="50">
        <v>0</v>
      </c>
      <c r="X23" s="50">
        <v>0</v>
      </c>
      <c r="Y23" s="52">
        <v>0</v>
      </c>
      <c r="Z23" s="49">
        <v>0.15131578947368421</v>
      </c>
      <c r="AA23" s="34">
        <v>0</v>
      </c>
      <c r="AB23" s="53">
        <f t="shared" si="0"/>
        <v>0.25</v>
      </c>
    </row>
    <row r="24" spans="1:28" x14ac:dyDescent="0.3">
      <c r="A24" t="s">
        <v>87</v>
      </c>
      <c r="B24" s="36">
        <v>2004</v>
      </c>
      <c r="C24" s="54"/>
      <c r="D24" s="55"/>
      <c r="E24" s="56"/>
      <c r="F24" s="56"/>
      <c r="G24" s="57"/>
      <c r="H24" s="56"/>
      <c r="I24" s="58"/>
      <c r="J24" s="55"/>
      <c r="K24" s="56"/>
      <c r="L24" s="56"/>
      <c r="M24" s="56"/>
      <c r="N24" s="56"/>
      <c r="O24" s="56"/>
      <c r="P24" s="56"/>
      <c r="Q24" s="56"/>
      <c r="R24" s="56"/>
      <c r="S24" s="56"/>
      <c r="T24" s="56"/>
      <c r="U24" s="56"/>
      <c r="V24" s="56"/>
      <c r="W24" s="56"/>
      <c r="X24" s="56"/>
      <c r="Y24" s="58"/>
      <c r="Z24" s="55"/>
      <c r="AA24" s="35"/>
      <c r="AB24" s="59"/>
    </row>
    <row r="25" spans="1:28" x14ac:dyDescent="0.3">
      <c r="A25" t="s">
        <v>87</v>
      </c>
      <c r="B25" s="17">
        <v>2005</v>
      </c>
      <c r="C25" s="48">
        <v>224</v>
      </c>
      <c r="D25" s="49">
        <v>0</v>
      </c>
      <c r="E25" s="50">
        <v>0</v>
      </c>
      <c r="F25" s="50">
        <v>4.0178571428571432E-2</v>
      </c>
      <c r="G25" s="51">
        <v>0</v>
      </c>
      <c r="H25" s="50">
        <v>4.464285714285714E-3</v>
      </c>
      <c r="I25" s="52">
        <v>0</v>
      </c>
      <c r="J25" s="49">
        <v>2.2321428571428572E-2</v>
      </c>
      <c r="K25" s="50">
        <v>0</v>
      </c>
      <c r="L25" s="50">
        <v>1.7857142857142856E-2</v>
      </c>
      <c r="M25" s="50">
        <v>0</v>
      </c>
      <c r="N25" s="50">
        <v>0</v>
      </c>
      <c r="O25" s="50">
        <v>0</v>
      </c>
      <c r="P25" s="50">
        <v>0</v>
      </c>
      <c r="Q25" s="50">
        <v>0</v>
      </c>
      <c r="R25" s="50">
        <v>0</v>
      </c>
      <c r="S25" s="50">
        <v>7.1428571428571425E-2</v>
      </c>
      <c r="T25" s="50">
        <v>0</v>
      </c>
      <c r="U25" s="50">
        <v>1.0730668414154652E-2</v>
      </c>
      <c r="V25" s="50">
        <v>0.57409076015727389</v>
      </c>
      <c r="W25" s="50">
        <v>0</v>
      </c>
      <c r="X25" s="50">
        <v>0</v>
      </c>
      <c r="Y25" s="52">
        <v>8.9285714285714281E-3</v>
      </c>
      <c r="Z25" s="49">
        <v>0.25</v>
      </c>
      <c r="AA25" s="34">
        <v>0</v>
      </c>
      <c r="AB25" s="53">
        <f t="shared" si="0"/>
        <v>8.4821428571428575E-2</v>
      </c>
    </row>
    <row r="26" spans="1:28" ht="15" thickBot="1" x14ac:dyDescent="0.35">
      <c r="A26" t="s">
        <v>87</v>
      </c>
      <c r="B26" s="4">
        <v>2006</v>
      </c>
      <c r="C26" s="60">
        <v>90</v>
      </c>
      <c r="D26" s="61">
        <v>0</v>
      </c>
      <c r="E26" s="62">
        <v>0</v>
      </c>
      <c r="F26" s="62">
        <v>0</v>
      </c>
      <c r="G26" s="63">
        <v>0</v>
      </c>
      <c r="H26" s="62">
        <v>8.8888888888888892E-2</v>
      </c>
      <c r="I26" s="64">
        <v>0</v>
      </c>
      <c r="J26" s="61">
        <v>4.4444444444444446E-2</v>
      </c>
      <c r="K26" s="62">
        <v>0</v>
      </c>
      <c r="L26" s="62">
        <v>2.2222222222222223E-2</v>
      </c>
      <c r="M26" s="62">
        <v>0</v>
      </c>
      <c r="N26" s="62">
        <v>0</v>
      </c>
      <c r="O26" s="62">
        <v>0</v>
      </c>
      <c r="P26" s="62">
        <v>0</v>
      </c>
      <c r="Q26" s="62">
        <v>0</v>
      </c>
      <c r="R26" s="62">
        <v>0</v>
      </c>
      <c r="S26" s="62">
        <v>0</v>
      </c>
      <c r="T26" s="62">
        <v>0</v>
      </c>
      <c r="U26" s="62">
        <v>8.6419753086419762E-3</v>
      </c>
      <c r="V26" s="62">
        <v>0.30246913580246915</v>
      </c>
      <c r="W26" s="62">
        <v>1.1111111111111112E-2</v>
      </c>
      <c r="X26" s="62">
        <v>0</v>
      </c>
      <c r="Y26" s="64">
        <v>0</v>
      </c>
      <c r="Z26" s="61">
        <v>0.52222222222222225</v>
      </c>
      <c r="AA26" s="65">
        <v>0</v>
      </c>
      <c r="AB26" s="66">
        <f t="shared" si="0"/>
        <v>0.15555555555555556</v>
      </c>
    </row>
    <row r="27" spans="1:28" x14ac:dyDescent="0.3">
      <c r="B27" s="67"/>
      <c r="C27" s="67"/>
      <c r="D27" s="67"/>
      <c r="E27" s="67"/>
      <c r="F27" s="67"/>
      <c r="G27" s="67"/>
      <c r="H27" s="67"/>
      <c r="I27" s="67"/>
      <c r="J27" s="67"/>
      <c r="K27" s="67"/>
      <c r="L27" s="67"/>
      <c r="M27" s="67"/>
      <c r="N27" s="67"/>
      <c r="O27" s="67"/>
      <c r="P27" s="67"/>
      <c r="Q27" s="67"/>
      <c r="R27" s="67"/>
      <c r="S27" s="67"/>
      <c r="T27" s="67"/>
      <c r="U27" s="67"/>
      <c r="V27" s="67"/>
      <c r="W27" s="67"/>
      <c r="X27" s="67"/>
      <c r="Y27" s="67"/>
      <c r="Z27" s="67"/>
      <c r="AA27" s="67"/>
    </row>
    <row r="28" spans="1:28" x14ac:dyDescent="0.3">
      <c r="A28" s="23" t="s">
        <v>31</v>
      </c>
    </row>
    <row r="29" spans="1:28" x14ac:dyDescent="0.3">
      <c r="A29" t="s">
        <v>32</v>
      </c>
    </row>
    <row r="30" spans="1:28" x14ac:dyDescent="0.3">
      <c r="A30" t="s">
        <v>33</v>
      </c>
    </row>
    <row r="31" spans="1:28" x14ac:dyDescent="0.3">
      <c r="A31" t="s">
        <v>34</v>
      </c>
    </row>
    <row r="32" spans="1:28" x14ac:dyDescent="0.3">
      <c r="A32" t="s">
        <v>67</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Chilliwack (CHI)</vt:lpstr>
      <vt:lpstr>Harrison (HAR)</vt:lpstr>
      <vt:lpstr>Nicola (NIC)</vt:lpstr>
      <vt:lpstr>Lower Shuswap (SHU)</vt:lpstr>
      <vt:lpstr>Middle Shuswap (MSH)</vt:lpstr>
      <vt:lpstr>Dome (DOM)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Pontbriand, Tommy (DFO/MPO)</dc:creator>
  <cp:lastModifiedBy>Freshwater, Cameron (DFO/MPO)</cp:lastModifiedBy>
  <dcterms:created xsi:type="dcterms:W3CDTF">2025-05-14T17:25:23Z</dcterms:created>
  <dcterms:modified xsi:type="dcterms:W3CDTF">2025-07-09T20:39:38Z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2025-07-09T20:39:38Z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0ee699d4-cc5d-4d42-979e-797f127c3dff</vt:lpwstr>
  </property>
  <property fmtid="{D5CDD505-2E9C-101B-9397-08002B2CF9AE}" pid="8" name="MSIP_Label_4e6cdb53-fd15-486d-84de-c510e3a62203_ContentBits">
    <vt:lpwstr>1</vt:lpwstr>
  </property>
</Properties>
</file>