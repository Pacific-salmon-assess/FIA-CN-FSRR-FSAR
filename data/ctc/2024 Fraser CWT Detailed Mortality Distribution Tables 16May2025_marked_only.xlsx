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FIA-CN-FSRR-FSAR\data\ctc\"/>
    </mc:Choice>
  </mc:AlternateContent>
  <xr:revisionPtr revIDLastSave="0" documentId="13_ncr:1_{1426CD70-F1D6-4270-BD52-7031399072B1}" xr6:coauthVersionLast="47" xr6:coauthVersionMax="47" xr10:uidLastSave="{00000000-0000-0000-0000-000000000000}"/>
  <bookViews>
    <workbookView xWindow="-108" yWindow="-108" windowWidth="23256" windowHeight="12456" activeTab="5" xr2:uid="{0D881A0E-FFD4-4CC3-9854-94C1AF18330E}"/>
  </bookViews>
  <sheets>
    <sheet name="Chilliwack (CHI)" sheetId="1" r:id="rId1"/>
    <sheet name="Harrison (HAR)" sheetId="2" r:id="rId2"/>
    <sheet name="Nicola (NIC)" sheetId="3" r:id="rId3"/>
    <sheet name="Lower Shuswap (SHU)" sheetId="4" r:id="rId4"/>
    <sheet name="Middle Shuswap (MSH)" sheetId="5" r:id="rId5"/>
    <sheet name="Dome (DOM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6" l="1"/>
  <c r="AB25" i="6"/>
  <c r="AB23" i="6"/>
  <c r="AB22" i="6"/>
  <c r="AB21" i="6"/>
  <c r="AB18" i="6"/>
  <c r="AB17" i="6"/>
  <c r="AB16" i="6"/>
  <c r="AB15" i="6"/>
  <c r="AB14" i="6"/>
  <c r="AB13" i="6"/>
  <c r="AB12" i="6"/>
  <c r="AB11" i="6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</calcChain>
</file>

<file path=xl/sharedStrings.xml><?xml version="1.0" encoding="utf-8"?>
<sst xmlns="http://schemas.openxmlformats.org/spreadsheetml/2006/main" count="481" uniqueCount="69">
  <si>
    <t>No pseudo recoveries included</t>
  </si>
  <si>
    <t>For US ISBM Net and Sport, Puget Sound recoveries for 2024 will not be available until next year, so the 2024 values were infilled based on the average mortality (%) of the last 3 years (2021-2022-2023)</t>
  </si>
  <si>
    <t>AABM Fisheries</t>
  </si>
  <si>
    <t>ISBM Fisheries</t>
  </si>
  <si>
    <t>Escapement</t>
  </si>
  <si>
    <t>SEAK</t>
  </si>
  <si>
    <t>NBC</t>
  </si>
  <si>
    <t>WCVI</t>
  </si>
  <si>
    <t>Canadian Ocean Sport</t>
  </si>
  <si>
    <t>Canadian Ocean</t>
  </si>
  <si>
    <t>Terminal Fraser Fisheries</t>
  </si>
  <si>
    <t>US ISBM Fisheries</t>
  </si>
  <si>
    <t>Stock</t>
  </si>
  <si>
    <t>Total Estimated CWTs</t>
  </si>
  <si>
    <t>AABM SEAK Troll</t>
  </si>
  <si>
    <t>AABM SEAK Net &amp; Sport</t>
  </si>
  <si>
    <t>AABM NBC Troll</t>
  </si>
  <si>
    <t>AABM NBC Sport</t>
  </si>
  <si>
    <t>AABM WCVI Troll</t>
  </si>
  <si>
    <t>AABM WCVI Sport</t>
  </si>
  <si>
    <t>Juan De Fuca</t>
  </si>
  <si>
    <t>Johnstone Strait</t>
  </si>
  <si>
    <t>Strait of Georgia</t>
  </si>
  <si>
    <t>Fraser Mainstem Sport</t>
  </si>
  <si>
    <t>Chiliwack Sport</t>
  </si>
  <si>
    <t>Nicola/ Thompson Sport</t>
  </si>
  <si>
    <t>CHI</t>
  </si>
  <si>
    <t>Catch Year</t>
  </si>
  <si>
    <t>Canadian Strays</t>
  </si>
  <si>
    <t>US Strays</t>
  </si>
  <si>
    <t>For Canadian domestic use only</t>
  </si>
  <si>
    <t>Net</t>
  </si>
  <si>
    <t>Troll</t>
  </si>
  <si>
    <t>Total Mortality</t>
  </si>
  <si>
    <t>Canadian Marine</t>
  </si>
  <si>
    <r>
      <t>Cdn. Ocean Net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</si>
  <si>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Net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</si>
  <si>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Cdn. Ocean Troll</t>
    </r>
    <r>
      <rPr>
        <vertAlign val="superscript"/>
        <sz val="11"/>
        <color theme="1"/>
        <rFont val="Calibri"/>
        <family val="2"/>
        <scheme val="minor"/>
      </rPr>
      <t>2</t>
    </r>
  </si>
  <si>
    <r>
      <t>Troll</t>
    </r>
    <r>
      <rPr>
        <vertAlign val="superscript"/>
        <sz val="11"/>
        <color theme="1"/>
        <rFont val="Calibri"/>
        <family val="2"/>
        <scheme val="minor"/>
      </rPr>
      <t>2</t>
    </r>
  </si>
  <si>
    <t>Sport</t>
  </si>
  <si>
    <r>
      <t>Commercial Net</t>
    </r>
    <r>
      <rPr>
        <vertAlign val="superscript"/>
        <sz val="11"/>
        <color theme="1"/>
        <rFont val="Calibri"/>
        <family val="2"/>
        <scheme val="minor"/>
      </rPr>
      <t>3</t>
    </r>
  </si>
  <si>
    <t>HAR</t>
  </si>
  <si>
    <t>NIC</t>
  </si>
  <si>
    <t>SHU</t>
  </si>
  <si>
    <t>MSH</t>
  </si>
  <si>
    <t>Canadian</t>
  </si>
  <si>
    <t>Cdn. Ocean Sport</t>
  </si>
  <si>
    <t>Cdn. Ocn Net</t>
  </si>
  <si>
    <t>Terminal Fraser River</t>
  </si>
  <si>
    <t>Marine</t>
  </si>
  <si>
    <t>Estimated # of CWTs</t>
  </si>
  <si>
    <t>Net &amp; Sport</t>
  </si>
  <si>
    <t>Juan de Fuca</t>
  </si>
  <si>
    <t>Shuswap Sport</t>
  </si>
  <si>
    <t>Comm. Net</t>
  </si>
  <si>
    <r>
      <t>FN FSC</t>
    </r>
    <r>
      <rPr>
        <vertAlign val="superscript"/>
        <sz val="11"/>
        <color theme="1"/>
        <rFont val="Calibri"/>
        <family val="2"/>
        <scheme val="minor"/>
      </rPr>
      <t>3</t>
    </r>
  </si>
  <si>
    <r>
      <t>Troll</t>
    </r>
    <r>
      <rPr>
        <vertAlign val="superscript"/>
        <sz val="11"/>
        <color theme="1"/>
        <rFont val="Calibri"/>
        <family val="2"/>
        <scheme val="minor"/>
      </rPr>
      <t>4</t>
    </r>
  </si>
  <si>
    <r>
      <t>Sport</t>
    </r>
    <r>
      <rPr>
        <vertAlign val="superscript"/>
        <sz val="11"/>
        <color theme="1"/>
        <rFont val="Calibri"/>
        <family val="2"/>
        <scheme val="minor"/>
      </rPr>
      <t>4</t>
    </r>
  </si>
  <si>
    <t>Esc.</t>
  </si>
  <si>
    <t>Stray</t>
  </si>
  <si>
    <r>
      <t xml:space="preserve">Table 1: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Mortality Distribution Table for Lower Shuswap AFC+CWT Chinook</t>
    </r>
  </si>
  <si>
    <r>
      <t xml:space="preserve">Table 1: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Mortality Distribution table for Harrison AFC+CWT Chinook</t>
    </r>
  </si>
  <si>
    <r>
      <t xml:space="preserve">Table 1: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Mortality Distribution table for Chilliwack AFC+CWT Chinook</t>
    </r>
  </si>
  <si>
    <r>
      <t xml:space="preserve">Table 1: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Mortality Distribution Table for Middle Shuswap AFC+CWT Chinook</t>
    </r>
  </si>
  <si>
    <r>
      <rPr>
        <b/>
        <sz val="11"/>
        <color theme="1"/>
        <rFont val="Calibri"/>
        <family val="2"/>
        <scheme val="minor"/>
      </rPr>
      <t>Table 1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Mortality Distribution Table for Nicola AFC+CWT Chinook</t>
    </r>
  </si>
  <si>
    <r>
      <rPr>
        <b/>
        <sz val="11"/>
        <color theme="1"/>
        <rFont val="Calibri"/>
        <family val="2"/>
        <scheme val="minor"/>
      </rPr>
      <t>Table 1</t>
    </r>
    <r>
      <rPr>
        <sz val="11"/>
        <color theme="1"/>
        <rFont val="Calibri"/>
        <family val="2"/>
        <scheme val="minor"/>
      </rPr>
      <t>: Marked Mortality Distribution Table for Dome AFC+CWT Chinook</t>
    </r>
  </si>
  <si>
    <t xml:space="preserve">2024 is the first year that fisheries impact on marked and unmarked Chinook are available as separate outputs from the CTC cohort analysis. This is achieved through the inclusion of a Mark Selective Fishery (MSF) algorithm in the exploitation rate analysis. </t>
  </si>
  <si>
    <t>Updated May 16, 2025 by Tommy Pontbriand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</si>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</sst>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10" xfId="2" applyNumberFormat="1" applyFont="1" applyBorder="1"/>
    <xf numFmtId="164" fontId="0" fillId="0" borderId="0" xfId="2" applyNumberFormat="1" applyFont="1" applyBorder="1"/>
    <xf numFmtId="164" fontId="0" fillId="0" borderId="11" xfId="2" applyNumberFormat="1" applyFont="1" applyBorder="1"/>
    <xf numFmtId="0" fontId="0" fillId="0" borderId="10" xfId="0" applyBorder="1"/>
    <xf numFmtId="1" fontId="0" fillId="0" borderId="11" xfId="0" applyNumberFormat="1" applyBorder="1"/>
    <xf numFmtId="1" fontId="0" fillId="0" borderId="6" xfId="0" applyNumberFormat="1" applyBorder="1"/>
    <xf numFmtId="164" fontId="0" fillId="0" borderId="4" xfId="2" applyNumberFormat="1" applyFont="1" applyBorder="1"/>
    <xf numFmtId="164" fontId="0" fillId="0" borderId="6" xfId="2" applyNumberFormat="1" applyFont="1" applyBorder="1"/>
    <xf numFmtId="164" fontId="0" fillId="0" borderId="5" xfId="2" applyNumberFormat="1" applyFont="1" applyBorder="1"/>
    <xf numFmtId="164" fontId="0" fillId="0" borderId="0" xfId="0" applyNumberFormat="1"/>
    <xf numFmtId="164" fontId="0" fillId="0" borderId="14" xfId="0" applyNumberFormat="1" applyBorder="1"/>
    <xf numFmtId="164" fontId="0" fillId="0" borderId="15" xfId="0" applyNumberFormat="1" applyBorder="1"/>
    <xf numFmtId="9" fontId="0" fillId="0" borderId="14" xfId="0" applyNumberFormat="1" applyBorder="1"/>
    <xf numFmtId="9" fontId="0" fillId="0" borderId="15" xfId="0" applyNumberFormat="1" applyBorder="1"/>
    <xf numFmtId="0" fontId="0" fillId="0" borderId="12" xfId="0" applyFill="1" applyBorder="1" applyAlignment="1">
      <alignment horizontal="center" wrapText="1"/>
    </xf>
    <xf numFmtId="0" fontId="0" fillId="0" borderId="5" xfId="0" applyBorder="1" applyAlignment="1">
      <alignment wrapText="1"/>
    </xf>
    <xf numFmtId="164" fontId="0" fillId="0" borderId="13" xfId="0" applyNumberFormat="1" applyBorder="1"/>
    <xf numFmtId="164" fontId="0" fillId="0" borderId="10" xfId="2" applyNumberFormat="1" applyFont="1" applyFill="1" applyBorder="1"/>
    <xf numFmtId="164" fontId="0" fillId="0" borderId="0" xfId="2" applyNumberFormat="1" applyFont="1" applyFill="1" applyBorder="1"/>
    <xf numFmtId="164" fontId="0" fillId="2" borderId="0" xfId="2" applyNumberFormat="1" applyFont="1" applyFill="1" applyBorder="1"/>
    <xf numFmtId="0" fontId="0" fillId="2" borderId="10" xfId="0" applyFill="1" applyBorder="1"/>
    <xf numFmtId="1" fontId="0" fillId="0" borderId="11" xfId="0" applyNumberFormat="1" applyFill="1" applyBorder="1"/>
    <xf numFmtId="164" fontId="0" fillId="0" borderId="11" xfId="2" applyNumberFormat="1" applyFont="1" applyFill="1" applyBorder="1"/>
    <xf numFmtId="0" fontId="5" fillId="0" borderId="0" xfId="0" applyFont="1"/>
    <xf numFmtId="0" fontId="6" fillId="0" borderId="0" xfId="0" applyFont="1"/>
    <xf numFmtId="0" fontId="4" fillId="0" borderId="13" xfId="0" applyFont="1" applyBorder="1" applyAlignment="1">
      <alignment horizontal="center"/>
    </xf>
    <xf numFmtId="0" fontId="0" fillId="0" borderId="11" xfId="0" applyBorder="1"/>
    <xf numFmtId="0" fontId="4" fillId="0" borderId="14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4" fillId="0" borderId="15" xfId="0" applyFont="1" applyBorder="1" applyAlignment="1">
      <alignment horizontal="center" wrapText="1"/>
    </xf>
    <xf numFmtId="165" fontId="0" fillId="0" borderId="11" xfId="1" applyNumberFormat="1" applyFont="1" applyBorder="1"/>
    <xf numFmtId="164" fontId="0" fillId="0" borderId="10" xfId="3" applyNumberFormat="1" applyFont="1" applyFill="1" applyBorder="1"/>
    <xf numFmtId="164" fontId="0" fillId="0" borderId="0" xfId="3" applyNumberFormat="1" applyFont="1" applyFill="1" applyBorder="1"/>
    <xf numFmtId="164" fontId="7" fillId="0" borderId="0" xfId="3" applyNumberFormat="1" applyFont="1" applyFill="1" applyBorder="1"/>
    <xf numFmtId="164" fontId="0" fillId="0" borderId="11" xfId="3" applyNumberFormat="1" applyFont="1" applyFill="1" applyBorder="1"/>
    <xf numFmtId="9" fontId="0" fillId="0" borderId="14" xfId="2" applyFont="1" applyBorder="1"/>
    <xf numFmtId="165" fontId="0" fillId="2" borderId="11" xfId="1" applyNumberFormat="1" applyFont="1" applyFill="1" applyBorder="1"/>
    <xf numFmtId="164" fontId="0" fillId="2" borderId="10" xfId="3" applyNumberFormat="1" applyFont="1" applyFill="1" applyBorder="1"/>
    <xf numFmtId="164" fontId="0" fillId="2" borderId="0" xfId="3" applyNumberFormat="1" applyFont="1" applyFill="1" applyBorder="1"/>
    <xf numFmtId="164" fontId="7" fillId="2" borderId="0" xfId="3" applyNumberFormat="1" applyFont="1" applyFill="1" applyBorder="1"/>
    <xf numFmtId="164" fontId="0" fillId="2" borderId="11" xfId="3" applyNumberFormat="1" applyFont="1" applyFill="1" applyBorder="1"/>
    <xf numFmtId="9" fontId="0" fillId="2" borderId="14" xfId="2" applyFont="1" applyFill="1" applyBorder="1"/>
    <xf numFmtId="165" fontId="0" fillId="0" borderId="6" xfId="1" applyNumberFormat="1" applyFont="1" applyFill="1" applyBorder="1"/>
    <xf numFmtId="164" fontId="0" fillId="0" borderId="4" xfId="3" applyNumberFormat="1" applyFont="1" applyFill="1" applyBorder="1"/>
    <xf numFmtId="164" fontId="0" fillId="0" borderId="5" xfId="3" applyNumberFormat="1" applyFont="1" applyFill="1" applyBorder="1"/>
    <xf numFmtId="164" fontId="7" fillId="0" borderId="5" xfId="3" applyNumberFormat="1" applyFont="1" applyFill="1" applyBorder="1"/>
    <xf numFmtId="164" fontId="0" fillId="0" borderId="6" xfId="3" applyNumberFormat="1" applyFont="1" applyFill="1" applyBorder="1"/>
    <xf numFmtId="164" fontId="0" fillId="0" borderId="5" xfId="2" applyNumberFormat="1" applyFont="1" applyFill="1" applyBorder="1"/>
    <xf numFmtId="9" fontId="0" fillId="0" borderId="15" xfId="2" applyFont="1" applyFill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Percent 2" xfId="3" xr:uid="{8F0AF009-0955-4D33-A121-72FE92CD7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74EC-B1D9-4307-85C4-57864E07507B}">
  <dimension ref="A1:AF50"/>
  <sheetViews>
    <sheetView zoomScale="70" zoomScaleNormal="70" workbookViewId="0">
      <selection activeCell="C51" sqref="C51"/>
    </sheetView>
  </sheetViews>
  <sheetFormatPr defaultRowHeight="14.4" x14ac:dyDescent="0.3"/>
  <cols>
    <col min="3" max="3" width="10.21875" customWidth="1"/>
    <col min="11" max="11" width="10.77734375" customWidth="1"/>
    <col min="17" max="17" width="10.77734375" customWidth="1"/>
    <col min="18" max="18" width="9.44140625" customWidth="1"/>
    <col min="19" max="19" width="10.21875" customWidth="1"/>
    <col min="20" max="20" width="10.77734375" customWidth="1"/>
    <col min="21" max="21" width="12.33203125" customWidth="1"/>
    <col min="26" max="26" width="12.77734375" customWidth="1"/>
    <col min="27" max="27" width="10.109375" customWidth="1"/>
    <col min="28" max="28" width="9.5546875" customWidth="1"/>
    <col min="29" max="29" width="12.21875" customWidth="1"/>
  </cols>
  <sheetData>
    <row r="1" spans="1:32" x14ac:dyDescent="0.3">
      <c r="A1" t="s">
        <v>67</v>
      </c>
    </row>
    <row r="2" spans="1:32" x14ac:dyDescent="0.3">
      <c r="A2" t="s">
        <v>30</v>
      </c>
    </row>
    <row r="3" spans="1:32" x14ac:dyDescent="0.3">
      <c r="A3" t="s">
        <v>0</v>
      </c>
    </row>
    <row r="4" spans="1:32" x14ac:dyDescent="0.3">
      <c r="A4" t="s">
        <v>66</v>
      </c>
    </row>
    <row r="5" spans="1:32" x14ac:dyDescent="0.3">
      <c r="A5" t="s">
        <v>1</v>
      </c>
    </row>
    <row r="7" spans="1:32" ht="15" thickBot="1" x14ac:dyDescent="0.35">
      <c r="A7" t="s">
        <v>62</v>
      </c>
    </row>
    <row r="8" spans="1:32" ht="15" thickBot="1" x14ac:dyDescent="0.35">
      <c r="A8" s="1"/>
      <c r="B8" s="2"/>
      <c r="C8" s="3"/>
      <c r="D8" s="66" t="s">
        <v>2</v>
      </c>
      <c r="E8" s="67"/>
      <c r="F8" s="67"/>
      <c r="G8" s="67"/>
      <c r="H8" s="67"/>
      <c r="I8" s="68"/>
      <c r="J8" s="66" t="s">
        <v>3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69" t="s">
        <v>4</v>
      </c>
      <c r="AA8" s="70"/>
      <c r="AB8" s="71"/>
      <c r="AC8" s="64" t="s">
        <v>34</v>
      </c>
    </row>
    <row r="9" spans="1:32" ht="15" thickBot="1" x14ac:dyDescent="0.35">
      <c r="A9" s="4"/>
      <c r="B9" s="5"/>
      <c r="C9" s="6"/>
      <c r="D9" s="61" t="s">
        <v>5</v>
      </c>
      <c r="E9" s="63"/>
      <c r="F9" s="61" t="s">
        <v>6</v>
      </c>
      <c r="G9" s="63"/>
      <c r="H9" s="61" t="s">
        <v>7</v>
      </c>
      <c r="I9" s="63"/>
      <c r="J9" s="61" t="s">
        <v>8</v>
      </c>
      <c r="K9" s="62"/>
      <c r="L9" s="62"/>
      <c r="M9" s="62"/>
      <c r="N9" s="63"/>
      <c r="O9" s="61" t="s">
        <v>9</v>
      </c>
      <c r="P9" s="63"/>
      <c r="Q9" s="61" t="s">
        <v>10</v>
      </c>
      <c r="R9" s="62"/>
      <c r="S9" s="62"/>
      <c r="T9" s="62"/>
      <c r="U9" s="62"/>
      <c r="V9" s="63"/>
      <c r="W9" s="61" t="s">
        <v>11</v>
      </c>
      <c r="X9" s="62"/>
      <c r="Y9" s="63"/>
      <c r="Z9" s="72"/>
      <c r="AA9" s="73"/>
      <c r="AB9" s="74"/>
      <c r="AC9" s="65"/>
    </row>
    <row r="10" spans="1:32" ht="43.8" thickBot="1" x14ac:dyDescent="0.35">
      <c r="A10" s="7" t="s">
        <v>12</v>
      </c>
      <c r="B10" s="8" t="s">
        <v>27</v>
      </c>
      <c r="C10" s="9" t="s">
        <v>13</v>
      </c>
      <c r="D10" s="7" t="s">
        <v>14</v>
      </c>
      <c r="E10" s="9" t="s">
        <v>15</v>
      </c>
      <c r="F10" s="7" t="s">
        <v>16</v>
      </c>
      <c r="G10" s="9" t="s">
        <v>17</v>
      </c>
      <c r="H10" s="7" t="s">
        <v>18</v>
      </c>
      <c r="I10" s="9" t="s">
        <v>19</v>
      </c>
      <c r="J10" s="7" t="s">
        <v>20</v>
      </c>
      <c r="K10" s="8" t="s">
        <v>21</v>
      </c>
      <c r="L10" s="8" t="s">
        <v>22</v>
      </c>
      <c r="M10" s="8" t="s">
        <v>7</v>
      </c>
      <c r="N10" s="9" t="s">
        <v>6</v>
      </c>
      <c r="O10" s="25" t="s">
        <v>36</v>
      </c>
      <c r="P10" s="25" t="s">
        <v>38</v>
      </c>
      <c r="Q10" s="7" t="s">
        <v>23</v>
      </c>
      <c r="R10" s="8" t="s">
        <v>53</v>
      </c>
      <c r="S10" s="8" t="s">
        <v>24</v>
      </c>
      <c r="T10" s="8" t="s">
        <v>25</v>
      </c>
      <c r="U10" s="7" t="s">
        <v>40</v>
      </c>
      <c r="V10" s="25" t="s">
        <v>55</v>
      </c>
      <c r="W10" s="7" t="s">
        <v>32</v>
      </c>
      <c r="X10" s="8" t="s">
        <v>31</v>
      </c>
      <c r="Y10" s="9" t="s">
        <v>39</v>
      </c>
      <c r="Z10" s="7" t="s">
        <v>4</v>
      </c>
      <c r="AA10" s="8" t="s">
        <v>28</v>
      </c>
      <c r="AB10" s="9" t="s">
        <v>29</v>
      </c>
      <c r="AC10" s="24" t="s">
        <v>33</v>
      </c>
    </row>
    <row r="11" spans="1:32" x14ac:dyDescent="0.3">
      <c r="A11" s="13" t="s">
        <v>26</v>
      </c>
      <c r="B11">
        <v>1985</v>
      </c>
      <c r="C11" s="14">
        <v>2345.3649999999998</v>
      </c>
      <c r="D11" s="10">
        <v>1.0802841213383299E-2</v>
      </c>
      <c r="E11" s="12">
        <v>9.0126804829806703E-4</v>
      </c>
      <c r="F11" s="10">
        <v>3.3895701267194801E-3</v>
      </c>
      <c r="G11" s="12">
        <v>0</v>
      </c>
      <c r="H11" s="10">
        <v>0.32659274163435897</v>
      </c>
      <c r="I11" s="12">
        <v>0</v>
      </c>
      <c r="J11" s="10">
        <v>4.4069105751771498E-3</v>
      </c>
      <c r="K11" s="11">
        <v>1.66000601698839E-3</v>
      </c>
      <c r="L11" s="11">
        <v>0.208378549649756</v>
      </c>
      <c r="M11" s="11">
        <v>0</v>
      </c>
      <c r="N11" s="12">
        <v>0</v>
      </c>
      <c r="O11" s="10">
        <v>4.2199998719789703E-2</v>
      </c>
      <c r="P11" s="12">
        <v>8.2253938246922703E-2</v>
      </c>
      <c r="Q11" s="10">
        <v>1.5648497485226472E-3</v>
      </c>
      <c r="R11" s="11">
        <v>0</v>
      </c>
      <c r="S11" s="11">
        <v>8.1207946133245237E-3</v>
      </c>
      <c r="T11" s="11">
        <v>0</v>
      </c>
      <c r="U11" s="10">
        <v>1.6092127036431498E-2</v>
      </c>
      <c r="V11" s="12">
        <v>3.0444564663519046E-3</v>
      </c>
      <c r="W11" s="10">
        <v>3.7813571509346597E-2</v>
      </c>
      <c r="X11" s="11">
        <v>3.5057278742321403E-2</v>
      </c>
      <c r="Y11" s="12">
        <v>4.5157284503267697E-2</v>
      </c>
      <c r="Z11" s="10">
        <v>0.12464127440667599</v>
      </c>
      <c r="AA11" s="11">
        <v>4.7922538742364101E-2</v>
      </c>
      <c r="AB11" s="12">
        <v>0</v>
      </c>
      <c r="AC11" s="22">
        <f t="shared" ref="AC11:AC50" si="0">SUM(F11:P11)</f>
        <v>0.66888171496971249</v>
      </c>
      <c r="AF11" s="19"/>
    </row>
    <row r="12" spans="1:32" x14ac:dyDescent="0.3">
      <c r="A12" s="13" t="s">
        <v>26</v>
      </c>
      <c r="B12">
        <v>1986</v>
      </c>
      <c r="C12" s="14">
        <v>2156.5419999999999</v>
      </c>
      <c r="D12" s="10">
        <v>6.5892526090379898E-4</v>
      </c>
      <c r="E12" s="12">
        <v>4.6370532083307398E-7</v>
      </c>
      <c r="F12" s="10">
        <v>7.8180717092456303E-3</v>
      </c>
      <c r="G12" s="12">
        <v>0</v>
      </c>
      <c r="H12" s="10">
        <v>0.211486259020228</v>
      </c>
      <c r="I12" s="12">
        <v>3.4777899062480601E-4</v>
      </c>
      <c r="J12" s="10">
        <v>0</v>
      </c>
      <c r="K12" s="11">
        <v>5.9354281066633497E-5</v>
      </c>
      <c r="L12" s="11">
        <v>0.184383146722855</v>
      </c>
      <c r="M12" s="11">
        <v>0</v>
      </c>
      <c r="N12" s="12">
        <v>0</v>
      </c>
      <c r="O12" s="10">
        <v>6.1622727496148902E-2</v>
      </c>
      <c r="P12" s="12">
        <v>0.125247270862334</v>
      </c>
      <c r="Q12" s="10">
        <v>2.2407333551033087E-3</v>
      </c>
      <c r="R12" s="11">
        <v>0</v>
      </c>
      <c r="S12" s="11">
        <v>9.5429462579067915E-3</v>
      </c>
      <c r="T12" s="11">
        <v>0</v>
      </c>
      <c r="U12" s="10">
        <v>6.1752821609225954E-2</v>
      </c>
      <c r="V12" s="12">
        <v>5.301286309840743E-3</v>
      </c>
      <c r="W12" s="10">
        <v>3.0038830683566602E-2</v>
      </c>
      <c r="X12" s="11">
        <v>3.4995376857951302E-2</v>
      </c>
      <c r="Y12" s="12">
        <v>6.6784695127662705E-2</v>
      </c>
      <c r="Z12" s="10">
        <v>0.186441998347354</v>
      </c>
      <c r="AA12" s="11">
        <v>1.12773134026604E-2</v>
      </c>
      <c r="AB12" s="12">
        <v>0</v>
      </c>
      <c r="AC12" s="22">
        <f t="shared" si="0"/>
        <v>0.59096460908250292</v>
      </c>
      <c r="AF12" s="19"/>
    </row>
    <row r="13" spans="1:32" x14ac:dyDescent="0.3">
      <c r="A13" s="13" t="s">
        <v>26</v>
      </c>
      <c r="B13">
        <v>1987</v>
      </c>
      <c r="C13" s="14">
        <v>2664.0439999999999</v>
      </c>
      <c r="D13" s="10">
        <v>8.34821046499232E-4</v>
      </c>
      <c r="E13" s="12">
        <v>7.6950680994758306E-5</v>
      </c>
      <c r="F13" s="10">
        <v>7.3358397984417704E-3</v>
      </c>
      <c r="G13" s="12">
        <v>0</v>
      </c>
      <c r="H13" s="10">
        <v>0.18237611691098199</v>
      </c>
      <c r="I13" s="12">
        <v>5.2987112825463797E-3</v>
      </c>
      <c r="J13" s="10">
        <v>0</v>
      </c>
      <c r="K13" s="11">
        <v>3.1542271824339199E-3</v>
      </c>
      <c r="L13" s="11">
        <v>0.18630397996429501</v>
      </c>
      <c r="M13" s="11">
        <v>0</v>
      </c>
      <c r="N13" s="12">
        <v>0</v>
      </c>
      <c r="O13" s="10">
        <v>1.25594772458713E-2</v>
      </c>
      <c r="P13" s="12">
        <v>0.152357093201163</v>
      </c>
      <c r="Q13" s="10">
        <v>0</v>
      </c>
      <c r="R13" s="11">
        <v>0</v>
      </c>
      <c r="S13" s="11">
        <v>1.21349347082856E-2</v>
      </c>
      <c r="T13" s="11">
        <v>0</v>
      </c>
      <c r="U13" s="10">
        <v>1.2575329922286604E-2</v>
      </c>
      <c r="V13" s="12">
        <v>6.1105476382941953E-3</v>
      </c>
      <c r="W13" s="10">
        <v>3.89903470062807E-2</v>
      </c>
      <c r="X13" s="11">
        <v>3.3096300211257798E-2</v>
      </c>
      <c r="Y13" s="12">
        <v>2.9758517501963198E-2</v>
      </c>
      <c r="Z13" s="10">
        <v>0.29749884010924699</v>
      </c>
      <c r="AA13" s="11">
        <v>1.9537965589156901E-2</v>
      </c>
      <c r="AB13" s="12">
        <v>0</v>
      </c>
      <c r="AC13" s="22">
        <f t="shared" si="0"/>
        <v>0.54938544558573343</v>
      </c>
      <c r="AF13" s="19"/>
    </row>
    <row r="14" spans="1:32" x14ac:dyDescent="0.3">
      <c r="A14" s="13" t="s">
        <v>26</v>
      </c>
      <c r="B14">
        <v>1988</v>
      </c>
      <c r="C14" s="14">
        <v>2492.2449999999999</v>
      </c>
      <c r="D14" s="10">
        <v>4.3853868510502804E-3</v>
      </c>
      <c r="E14" s="12">
        <v>1.76424990335484E-3</v>
      </c>
      <c r="F14" s="10">
        <v>2.07311381695306E-3</v>
      </c>
      <c r="G14" s="12">
        <v>0</v>
      </c>
      <c r="H14" s="10">
        <v>0.187566925522134</v>
      </c>
      <c r="I14" s="12">
        <v>4.0060170375904598E-7</v>
      </c>
      <c r="J14" s="10">
        <v>1.31397358832967E-4</v>
      </c>
      <c r="K14" s="11">
        <v>4.00601703759046E-6</v>
      </c>
      <c r="L14" s="11">
        <v>0.1296531390148</v>
      </c>
      <c r="M14" s="11">
        <v>0</v>
      </c>
      <c r="N14" s="12">
        <v>0</v>
      </c>
      <c r="O14" s="10">
        <v>7.1483368018764202E-3</v>
      </c>
      <c r="P14" s="12">
        <v>6.2340835935575198E-2</v>
      </c>
      <c r="Q14" s="10">
        <v>0</v>
      </c>
      <c r="R14" s="11">
        <v>0</v>
      </c>
      <c r="S14" s="11">
        <v>2.4284475281873399E-2</v>
      </c>
      <c r="T14" s="11">
        <v>0</v>
      </c>
      <c r="U14" s="10">
        <v>1.4911133306968215E-2</v>
      </c>
      <c r="V14" s="12">
        <v>1.5547415433239585E-2</v>
      </c>
      <c r="W14" s="10">
        <v>4.1791570939551201E-2</v>
      </c>
      <c r="X14" s="11">
        <v>2.63263421659332E-2</v>
      </c>
      <c r="Y14" s="12">
        <v>2.1711811140332798E-2</v>
      </c>
      <c r="Z14" s="10">
        <v>0.43736492211301398</v>
      </c>
      <c r="AA14" s="11">
        <v>2.2994537795769199E-2</v>
      </c>
      <c r="AB14" s="12">
        <v>0</v>
      </c>
      <c r="AC14" s="22">
        <f t="shared" si="0"/>
        <v>0.38891815506891297</v>
      </c>
      <c r="AF14" s="19"/>
    </row>
    <row r="15" spans="1:32" x14ac:dyDescent="0.3">
      <c r="A15" s="13" t="s">
        <v>26</v>
      </c>
      <c r="B15">
        <v>1989</v>
      </c>
      <c r="C15" s="14">
        <v>1221.3599999999999</v>
      </c>
      <c r="D15" s="10">
        <v>4.5490273138141099E-3</v>
      </c>
      <c r="E15" s="12">
        <v>5.7313159101329698E-6</v>
      </c>
      <c r="F15" s="10">
        <v>3.1931617213597997E-5</v>
      </c>
      <c r="G15" s="12">
        <v>0</v>
      </c>
      <c r="H15" s="10">
        <v>0.202320364184188</v>
      </c>
      <c r="I15" s="12">
        <v>1.51716119735377E-3</v>
      </c>
      <c r="J15" s="10">
        <v>5.3948057902665899E-3</v>
      </c>
      <c r="K15" s="11">
        <v>8.3185956638501398E-4</v>
      </c>
      <c r="L15" s="11">
        <v>0.18365428702430101</v>
      </c>
      <c r="M15" s="11">
        <v>1.9077094386585401E-4</v>
      </c>
      <c r="N15" s="12">
        <v>0</v>
      </c>
      <c r="O15" s="10">
        <v>2.5062225715595701E-2</v>
      </c>
      <c r="P15" s="12">
        <v>2.0282308246544801E-2</v>
      </c>
      <c r="Q15" s="10">
        <v>0</v>
      </c>
      <c r="R15" s="11">
        <v>0</v>
      </c>
      <c r="S15" s="11">
        <v>5.7517848955263001E-3</v>
      </c>
      <c r="T15" s="11">
        <v>0</v>
      </c>
      <c r="U15" s="10">
        <v>1.1384345823823149E-2</v>
      </c>
      <c r="V15" s="12">
        <v>1.4849146726725847E-3</v>
      </c>
      <c r="W15" s="10">
        <v>5.4472882688150898E-2</v>
      </c>
      <c r="X15" s="11">
        <v>3.2580074670858702E-2</v>
      </c>
      <c r="Y15" s="12">
        <v>1.9482380297373401E-2</v>
      </c>
      <c r="Z15" s="10">
        <v>0.40879838868147</v>
      </c>
      <c r="AA15" s="11">
        <v>2.2204755354686599E-2</v>
      </c>
      <c r="AB15" s="12">
        <v>0</v>
      </c>
      <c r="AC15" s="22">
        <f t="shared" si="0"/>
        <v>0.43928571428571433</v>
      </c>
      <c r="AF15" s="19"/>
    </row>
    <row r="16" spans="1:32" x14ac:dyDescent="0.3">
      <c r="A16" s="13" t="s">
        <v>26</v>
      </c>
      <c r="B16">
        <v>1990</v>
      </c>
      <c r="C16" s="14">
        <v>1761.886</v>
      </c>
      <c r="D16" s="10">
        <v>7.8177589242436792E-3</v>
      </c>
      <c r="E16" s="12">
        <v>8.0595452827254396E-5</v>
      </c>
      <c r="F16" s="10">
        <v>1.2231211326953E-3</v>
      </c>
      <c r="G16" s="12">
        <v>0</v>
      </c>
      <c r="H16" s="10">
        <v>0.127586574840824</v>
      </c>
      <c r="I16" s="12">
        <v>1.9283313449337799E-2</v>
      </c>
      <c r="J16" s="10">
        <v>3.3288192312101901E-3</v>
      </c>
      <c r="K16" s="11">
        <v>3.6625525147484001E-3</v>
      </c>
      <c r="L16" s="11">
        <v>0.14402293905508101</v>
      </c>
      <c r="M16" s="11">
        <v>5.6757361145953799E-7</v>
      </c>
      <c r="N16" s="12">
        <v>0</v>
      </c>
      <c r="O16" s="10">
        <v>3.14606052832022E-2</v>
      </c>
      <c r="P16" s="12">
        <v>5.0000964875139498E-2</v>
      </c>
      <c r="Q16" s="10">
        <v>0</v>
      </c>
      <c r="R16" s="11">
        <v>0</v>
      </c>
      <c r="S16" s="11">
        <v>1.0560274614816199E-2</v>
      </c>
      <c r="T16" s="11">
        <v>0</v>
      </c>
      <c r="U16" s="10">
        <v>6.3801580301512699E-3</v>
      </c>
      <c r="V16" s="12">
        <v>1.084626865125716E-2</v>
      </c>
      <c r="W16" s="10">
        <v>7.65480854039364E-2</v>
      </c>
      <c r="X16" s="11">
        <v>8.9823632175975096E-2</v>
      </c>
      <c r="Y16" s="12">
        <v>6.8293294798868906E-2</v>
      </c>
      <c r="Z16" s="10">
        <v>0.307698681980559</v>
      </c>
      <c r="AA16" s="11">
        <v>4.1381792011514901E-2</v>
      </c>
      <c r="AB16" s="12">
        <v>0</v>
      </c>
      <c r="AC16" s="22">
        <f t="shared" si="0"/>
        <v>0.38056945795584984</v>
      </c>
      <c r="AF16" s="19"/>
    </row>
    <row r="17" spans="1:32" x14ac:dyDescent="0.3">
      <c r="A17" s="13" t="s">
        <v>26</v>
      </c>
      <c r="B17">
        <v>1991</v>
      </c>
      <c r="C17" s="14">
        <v>3054.4960000000001</v>
      </c>
      <c r="D17" s="10">
        <v>2.6577216012068799E-3</v>
      </c>
      <c r="E17" s="12">
        <v>1.0004923889243901E-3</v>
      </c>
      <c r="F17" s="10">
        <v>3.6444637675086202E-3</v>
      </c>
      <c r="G17" s="12">
        <v>0</v>
      </c>
      <c r="H17" s="10">
        <v>0.19665142792788101</v>
      </c>
      <c r="I17" s="12">
        <v>4.8423700669439403E-3</v>
      </c>
      <c r="J17" s="10">
        <v>4.2363781127884902E-3</v>
      </c>
      <c r="K17" s="11">
        <v>2.2039642546593601E-3</v>
      </c>
      <c r="L17" s="11">
        <v>0.147728463222738</v>
      </c>
      <c r="M17" s="11">
        <v>1.6267822907609E-3</v>
      </c>
      <c r="N17" s="12">
        <v>0</v>
      </c>
      <c r="O17" s="10">
        <v>2.6593257938461901E-2</v>
      </c>
      <c r="P17" s="12">
        <v>8.8832003708631493E-2</v>
      </c>
      <c r="Q17" s="10">
        <v>1.5261254247980712E-3</v>
      </c>
      <c r="R17" s="11">
        <v>0</v>
      </c>
      <c r="S17" s="11">
        <v>1.3626619905364429E-2</v>
      </c>
      <c r="T17" s="11">
        <v>0</v>
      </c>
      <c r="U17" s="10">
        <v>1.3814457731276443E-2</v>
      </c>
      <c r="V17" s="12">
        <v>1.0906150840481401E-2</v>
      </c>
      <c r="W17" s="10">
        <v>0.13251122280075001</v>
      </c>
      <c r="X17" s="11">
        <v>4.3836364493520401E-2</v>
      </c>
      <c r="Y17" s="12">
        <v>5.5069314217468301E-2</v>
      </c>
      <c r="Z17" s="10">
        <v>0.238893748755932</v>
      </c>
      <c r="AA17" s="11">
        <v>9.7986705499041402E-3</v>
      </c>
      <c r="AB17" s="12">
        <v>0</v>
      </c>
      <c r="AC17" s="22">
        <f t="shared" si="0"/>
        <v>0.47635911129037367</v>
      </c>
      <c r="AF17" s="19"/>
    </row>
    <row r="18" spans="1:32" x14ac:dyDescent="0.3">
      <c r="A18" s="13" t="s">
        <v>26</v>
      </c>
      <c r="B18">
        <v>1992</v>
      </c>
      <c r="C18" s="14">
        <v>4152.125</v>
      </c>
      <c r="D18" s="10">
        <v>3.0442243429569201E-3</v>
      </c>
      <c r="E18" s="12">
        <v>1.44504320077069E-6</v>
      </c>
      <c r="F18" s="10">
        <v>9.7371827678598296E-4</v>
      </c>
      <c r="G18" s="12">
        <v>0</v>
      </c>
      <c r="H18" s="10">
        <v>0.186234277628925</v>
      </c>
      <c r="I18" s="12">
        <v>1.3190836017701801E-3</v>
      </c>
      <c r="J18" s="10">
        <v>4.4801156034560601E-3</v>
      </c>
      <c r="K18" s="11">
        <v>1.6721558238251501E-3</v>
      </c>
      <c r="L18" s="11">
        <v>0.10557076195923799</v>
      </c>
      <c r="M18" s="11">
        <v>2.0134268597404899E-4</v>
      </c>
      <c r="N18" s="12">
        <v>0</v>
      </c>
      <c r="O18" s="10">
        <v>1.12564048529367E-2</v>
      </c>
      <c r="P18" s="12">
        <v>7.0518830719210002E-2</v>
      </c>
      <c r="Q18" s="10">
        <v>0</v>
      </c>
      <c r="R18" s="11">
        <v>0</v>
      </c>
      <c r="S18" s="11">
        <v>1.16944937833037E-2</v>
      </c>
      <c r="T18" s="11">
        <v>0</v>
      </c>
      <c r="U18" s="10">
        <v>4.6171297829424706E-3</v>
      </c>
      <c r="V18" s="12">
        <v>5.1301442032694112E-4</v>
      </c>
      <c r="W18" s="10">
        <v>8.42585423126712E-2</v>
      </c>
      <c r="X18" s="11">
        <v>8.2967155372249204E-3</v>
      </c>
      <c r="Y18" s="12">
        <v>3.6934581690098403E-2</v>
      </c>
      <c r="Z18" s="10">
        <v>0.453160730951019</v>
      </c>
      <c r="AA18" s="11">
        <v>1.5252430984134599E-2</v>
      </c>
      <c r="AB18" s="12">
        <v>0</v>
      </c>
      <c r="AC18" s="22">
        <f t="shared" si="0"/>
        <v>0.38222669115212116</v>
      </c>
      <c r="AF18" s="19"/>
    </row>
    <row r="19" spans="1:32" x14ac:dyDescent="0.3">
      <c r="A19" s="13" t="s">
        <v>26</v>
      </c>
      <c r="B19">
        <v>1993</v>
      </c>
      <c r="C19" s="14">
        <v>2012.08</v>
      </c>
      <c r="D19" s="10">
        <v>2.02626138125721E-3</v>
      </c>
      <c r="E19" s="12">
        <v>0</v>
      </c>
      <c r="F19" s="10">
        <v>2.8328893483360498E-4</v>
      </c>
      <c r="G19" s="12">
        <v>0</v>
      </c>
      <c r="H19" s="10">
        <v>0.12523706810862401</v>
      </c>
      <c r="I19" s="12">
        <v>3.5485666573893699E-3</v>
      </c>
      <c r="J19" s="10">
        <v>1.60430996779452E-3</v>
      </c>
      <c r="K19" s="11">
        <v>3.3333664665420901E-3</v>
      </c>
      <c r="L19" s="11">
        <v>7.1515049103415398E-2</v>
      </c>
      <c r="M19" s="11">
        <v>1.9879925251481098E-6</v>
      </c>
      <c r="N19" s="12">
        <v>0</v>
      </c>
      <c r="O19" s="10">
        <v>1.11774879726452E-3</v>
      </c>
      <c r="P19" s="12">
        <v>7.7635084092083806E-2</v>
      </c>
      <c r="Q19" s="10">
        <v>4.547559573805704E-3</v>
      </c>
      <c r="R19" s="11">
        <v>0</v>
      </c>
      <c r="S19" s="11">
        <v>1.5312485752423896E-2</v>
      </c>
      <c r="T19" s="11">
        <v>0</v>
      </c>
      <c r="U19" s="10">
        <v>1.0568804421295394E-2</v>
      </c>
      <c r="V19" s="12">
        <v>2.4644745735756075E-3</v>
      </c>
      <c r="W19" s="10">
        <v>7.1086636714246004E-2</v>
      </c>
      <c r="X19" s="11">
        <v>0</v>
      </c>
      <c r="Y19" s="12">
        <v>1.0799769392867101E-2</v>
      </c>
      <c r="Z19" s="10">
        <v>0.57816289610751104</v>
      </c>
      <c r="AA19" s="11">
        <v>2.07546419625462E-2</v>
      </c>
      <c r="AB19" s="12">
        <v>0</v>
      </c>
      <c r="AC19" s="22">
        <f t="shared" si="0"/>
        <v>0.28427647012047241</v>
      </c>
      <c r="AF19" s="19"/>
    </row>
    <row r="20" spans="1:32" x14ac:dyDescent="0.3">
      <c r="A20" s="13" t="s">
        <v>26</v>
      </c>
      <c r="B20">
        <v>1994</v>
      </c>
      <c r="C20" s="14">
        <v>745.23500000000001</v>
      </c>
      <c r="D20" s="10">
        <v>4.7917770904479804E-3</v>
      </c>
      <c r="E20" s="12">
        <v>3.5451904432829899E-3</v>
      </c>
      <c r="F20" s="10">
        <v>5.3057089374492598E-3</v>
      </c>
      <c r="G20" s="12">
        <v>0</v>
      </c>
      <c r="H20" s="10">
        <v>9.7108965628291702E-2</v>
      </c>
      <c r="I20" s="12">
        <v>9.4601031889269801E-4</v>
      </c>
      <c r="J20" s="10">
        <v>3.9316457224902197E-3</v>
      </c>
      <c r="K20" s="11">
        <v>1.40358410434293E-3</v>
      </c>
      <c r="L20" s="11">
        <v>0.102370393231665</v>
      </c>
      <c r="M20" s="11">
        <v>2.13623890450663E-2</v>
      </c>
      <c r="N20" s="12">
        <v>0</v>
      </c>
      <c r="O20" s="10">
        <v>5.4676712714781202E-2</v>
      </c>
      <c r="P20" s="12">
        <v>2.7324266842002901E-2</v>
      </c>
      <c r="Q20" s="10">
        <v>1.1792010799511032E-2</v>
      </c>
      <c r="R20" s="11">
        <v>0</v>
      </c>
      <c r="S20" s="11">
        <v>4.3739465848794561E-2</v>
      </c>
      <c r="T20" s="11">
        <v>0</v>
      </c>
      <c r="U20" s="10">
        <v>6.8151740726079841E-3</v>
      </c>
      <c r="V20" s="12">
        <v>7.7238639489557153E-3</v>
      </c>
      <c r="W20" s="10">
        <v>1.52247277704348E-2</v>
      </c>
      <c r="X20" s="11">
        <v>3.2031506840124298E-2</v>
      </c>
      <c r="Y20" s="12">
        <v>5.6360745268271097E-2</v>
      </c>
      <c r="Z20" s="10">
        <v>0.50354586137258694</v>
      </c>
      <c r="AA20" s="11">
        <v>0</v>
      </c>
      <c r="AB20" s="12">
        <v>0</v>
      </c>
      <c r="AC20" s="22">
        <f t="shared" si="0"/>
        <v>0.31442967654498222</v>
      </c>
      <c r="AF20" s="19"/>
    </row>
    <row r="21" spans="1:32" x14ac:dyDescent="0.3">
      <c r="A21" s="13" t="s">
        <v>26</v>
      </c>
      <c r="B21">
        <v>1995</v>
      </c>
      <c r="C21" s="14">
        <v>2201.0929999999998</v>
      </c>
      <c r="D21" s="10">
        <v>6.4649699035888104E-4</v>
      </c>
      <c r="E21" s="12">
        <v>1.50379834018826E-4</v>
      </c>
      <c r="F21" s="10">
        <v>4.5431974023814502E-7</v>
      </c>
      <c r="G21" s="12">
        <v>0</v>
      </c>
      <c r="H21" s="10">
        <v>0.111775831371051</v>
      </c>
      <c r="I21" s="12">
        <v>4.3841854932980999E-3</v>
      </c>
      <c r="J21" s="10">
        <v>3.1075470232289098E-4</v>
      </c>
      <c r="K21" s="11">
        <v>2.4301562905338402E-3</v>
      </c>
      <c r="L21" s="11">
        <v>8.96881685598927E-2</v>
      </c>
      <c r="M21" s="11">
        <v>0</v>
      </c>
      <c r="N21" s="12">
        <v>0</v>
      </c>
      <c r="O21" s="10">
        <v>1.17927774973615E-2</v>
      </c>
      <c r="P21" s="12">
        <v>7.6552876230127497E-4</v>
      </c>
      <c r="Q21" s="10">
        <v>1.4863827501457986E-3</v>
      </c>
      <c r="R21" s="11">
        <v>0</v>
      </c>
      <c r="S21" s="11">
        <v>7.4319137507289921E-3</v>
      </c>
      <c r="T21" s="11">
        <v>0</v>
      </c>
      <c r="U21" s="10">
        <v>7.6912060273816992E-3</v>
      </c>
      <c r="V21" s="12">
        <v>1.0698294098237702E-2</v>
      </c>
      <c r="W21" s="10">
        <v>1.27981870825086E-2</v>
      </c>
      <c r="X21" s="11">
        <v>1.01617696299066E-2</v>
      </c>
      <c r="Y21" s="12">
        <v>2.29604110321554E-2</v>
      </c>
      <c r="Z21" s="10">
        <v>0.704368238870416</v>
      </c>
      <c r="AA21" s="11">
        <v>4.58862937640527E-4</v>
      </c>
      <c r="AB21" s="12">
        <v>0</v>
      </c>
      <c r="AC21" s="22">
        <f t="shared" si="0"/>
        <v>0.22114785699650152</v>
      </c>
      <c r="AF21" s="19"/>
    </row>
    <row r="22" spans="1:32" x14ac:dyDescent="0.3">
      <c r="A22" s="13" t="s">
        <v>26</v>
      </c>
      <c r="B22">
        <v>1996</v>
      </c>
      <c r="C22" s="14">
        <v>1700.6010000000001</v>
      </c>
      <c r="D22" s="10">
        <v>3.6845797456311002E-3</v>
      </c>
      <c r="E22" s="12">
        <v>1.17605481826719E-6</v>
      </c>
      <c r="F22" s="10">
        <v>3.36351678024416E-4</v>
      </c>
      <c r="G22" s="12">
        <v>0</v>
      </c>
      <c r="H22" s="10">
        <v>2.5780297671235099E-2</v>
      </c>
      <c r="I22" s="12">
        <v>4.6959868893408901E-3</v>
      </c>
      <c r="J22" s="10">
        <v>1.36645809334465E-2</v>
      </c>
      <c r="K22" s="11">
        <v>8.6087212697158195E-4</v>
      </c>
      <c r="L22" s="11">
        <v>0.16653818267777101</v>
      </c>
      <c r="M22" s="11">
        <v>4.4301985004125003E-3</v>
      </c>
      <c r="N22" s="12">
        <v>0</v>
      </c>
      <c r="O22" s="10">
        <v>1.46124811169698E-2</v>
      </c>
      <c r="P22" s="12">
        <v>4.2102762493965399E-4</v>
      </c>
      <c r="Q22" s="10">
        <v>0</v>
      </c>
      <c r="R22" s="11">
        <v>0</v>
      </c>
      <c r="S22" s="11">
        <v>2.0381618027979501E-2</v>
      </c>
      <c r="T22" s="11">
        <v>0</v>
      </c>
      <c r="U22" s="10">
        <v>8.2655595985883373E-3</v>
      </c>
      <c r="V22" s="12">
        <v>5.9895359410060416E-4</v>
      </c>
      <c r="W22" s="10">
        <v>4.6086060163436297E-2</v>
      </c>
      <c r="X22" s="11">
        <v>8.6581155720830503E-3</v>
      </c>
      <c r="Y22" s="12">
        <v>4.3444641041608202E-2</v>
      </c>
      <c r="Z22" s="10">
        <v>0.63695128957350999</v>
      </c>
      <c r="AA22" s="11">
        <v>5.8802740913359395E-4</v>
      </c>
      <c r="AB22" s="12">
        <v>0</v>
      </c>
      <c r="AC22" s="22">
        <f t="shared" si="0"/>
        <v>0.23133997921911145</v>
      </c>
      <c r="AF22" s="19"/>
    </row>
    <row r="23" spans="1:32" x14ac:dyDescent="0.3">
      <c r="A23" s="13" t="s">
        <v>26</v>
      </c>
      <c r="B23">
        <v>1997</v>
      </c>
      <c r="C23" s="14">
        <v>2293.5590000000002</v>
      </c>
      <c r="D23" s="10">
        <v>7.3946211978850301E-3</v>
      </c>
      <c r="E23" s="12">
        <v>0</v>
      </c>
      <c r="F23" s="10">
        <v>1.18898184001371E-3</v>
      </c>
      <c r="G23" s="12">
        <v>0</v>
      </c>
      <c r="H23" s="10">
        <v>9.9172944755290801E-2</v>
      </c>
      <c r="I23" s="12">
        <v>9.3775656087329799E-3</v>
      </c>
      <c r="J23" s="10">
        <v>1.7034660978854301E-3</v>
      </c>
      <c r="K23" s="11">
        <v>4.5745498589746299E-3</v>
      </c>
      <c r="L23" s="11">
        <v>0.14165888036889401</v>
      </c>
      <c r="M23" s="11">
        <v>1.07243807549751E-2</v>
      </c>
      <c r="N23" s="12">
        <v>1.7222142530451599E-4</v>
      </c>
      <c r="O23" s="10">
        <v>1.21448805110311E-2</v>
      </c>
      <c r="P23" s="12">
        <v>2.6583140002066699E-3</v>
      </c>
      <c r="Q23" s="10">
        <v>0</v>
      </c>
      <c r="R23" s="11">
        <v>0</v>
      </c>
      <c r="S23" s="11">
        <v>2.6437514796872501E-2</v>
      </c>
      <c r="T23" s="11">
        <v>0</v>
      </c>
      <c r="U23" s="10">
        <v>2.6005422321466864E-2</v>
      </c>
      <c r="V23" s="12">
        <v>3.6407591250053607E-4</v>
      </c>
      <c r="W23" s="10">
        <v>5.2987518524703299E-2</v>
      </c>
      <c r="X23" s="11">
        <v>2.2000306074533099E-2</v>
      </c>
      <c r="Y23" s="12">
        <v>3.8614223571314298E-2</v>
      </c>
      <c r="Z23" s="10">
        <v>0.54282013237941595</v>
      </c>
      <c r="AA23" s="11">
        <v>0</v>
      </c>
      <c r="AB23" s="12">
        <v>0</v>
      </c>
      <c r="AC23" s="22">
        <f t="shared" si="0"/>
        <v>0.28337618522130897</v>
      </c>
      <c r="AF23" s="19"/>
    </row>
    <row r="24" spans="1:32" x14ac:dyDescent="0.3">
      <c r="A24" s="13" t="s">
        <v>26</v>
      </c>
      <c r="B24">
        <v>1998</v>
      </c>
      <c r="C24" s="14">
        <v>3277.12</v>
      </c>
      <c r="D24" s="10">
        <v>4.4404843277023702E-3</v>
      </c>
      <c r="E24" s="12">
        <v>0</v>
      </c>
      <c r="F24" s="10">
        <v>1.3456937799043099E-4</v>
      </c>
      <c r="G24" s="12">
        <v>0</v>
      </c>
      <c r="H24" s="10">
        <v>3.9662874719265696E-3</v>
      </c>
      <c r="I24" s="12">
        <v>1.48392490967679E-3</v>
      </c>
      <c r="J24" s="10">
        <v>2.6138804804218302E-3</v>
      </c>
      <c r="K24" s="11">
        <v>2.4899912117957198E-4</v>
      </c>
      <c r="L24" s="11">
        <v>4.7052594961429599E-2</v>
      </c>
      <c r="M24" s="11">
        <v>3.0047724831559399E-3</v>
      </c>
      <c r="N24" s="12">
        <v>2.20162825895909E-3</v>
      </c>
      <c r="O24" s="10">
        <v>3.1094375549262798E-4</v>
      </c>
      <c r="P24" s="12">
        <v>3.6617517820525301E-6</v>
      </c>
      <c r="Q24" s="10">
        <v>0</v>
      </c>
      <c r="R24" s="11">
        <v>0</v>
      </c>
      <c r="S24" s="11">
        <v>1.26159554730983E-2</v>
      </c>
      <c r="T24" s="11">
        <v>0</v>
      </c>
      <c r="U24" s="10">
        <v>1.5423023444838526E-3</v>
      </c>
      <c r="V24" s="12">
        <v>2.2388259839281732E-4</v>
      </c>
      <c r="W24" s="10">
        <v>4.3900131823064202E-2</v>
      </c>
      <c r="X24" s="11">
        <v>2.2718118347817601E-3</v>
      </c>
      <c r="Y24" s="12">
        <v>7.1925959378966904E-3</v>
      </c>
      <c r="Z24" s="10">
        <v>0.86224184649936497</v>
      </c>
      <c r="AA24" s="11">
        <v>4.5497265892002698E-3</v>
      </c>
      <c r="AB24" s="12">
        <v>0</v>
      </c>
      <c r="AC24" s="22">
        <f t="shared" si="0"/>
        <v>6.1021262572014505E-2</v>
      </c>
      <c r="AF24" s="19"/>
    </row>
    <row r="25" spans="1:32" x14ac:dyDescent="0.3">
      <c r="A25" s="13" t="s">
        <v>26</v>
      </c>
      <c r="B25">
        <v>1999</v>
      </c>
      <c r="C25" s="14">
        <v>3310.2330000000002</v>
      </c>
      <c r="D25" s="10">
        <v>1.1896443543400099E-3</v>
      </c>
      <c r="E25" s="12">
        <v>0</v>
      </c>
      <c r="F25" s="10">
        <v>1.4153082275477299E-3</v>
      </c>
      <c r="G25" s="12">
        <v>0</v>
      </c>
      <c r="H25" s="10">
        <v>3.9900514555924003E-3</v>
      </c>
      <c r="I25" s="12">
        <v>1.4437050201602099E-2</v>
      </c>
      <c r="J25" s="10">
        <v>3.0822603726082102E-3</v>
      </c>
      <c r="K25" s="11">
        <v>1.05732738450737E-3</v>
      </c>
      <c r="L25" s="11">
        <v>0.101002859919528</v>
      </c>
      <c r="M25" s="11">
        <v>4.6658347010618299E-3</v>
      </c>
      <c r="N25" s="12">
        <v>2.9605166766206499E-4</v>
      </c>
      <c r="O25" s="10">
        <v>0</v>
      </c>
      <c r="P25" s="12">
        <v>0</v>
      </c>
      <c r="Q25" s="10">
        <v>0</v>
      </c>
      <c r="R25" s="11">
        <v>0</v>
      </c>
      <c r="S25" s="11">
        <v>1.6380720027865101E-2</v>
      </c>
      <c r="T25" s="11">
        <v>0</v>
      </c>
      <c r="U25" s="10">
        <v>3.6784648206053387E-3</v>
      </c>
      <c r="V25" s="12">
        <v>4.0070422882411096E-4</v>
      </c>
      <c r="W25" s="10">
        <v>0.123404606261855</v>
      </c>
      <c r="X25" s="11">
        <v>6.8680965962214704E-3</v>
      </c>
      <c r="Y25" s="12">
        <v>9.5283322956420304E-3</v>
      </c>
      <c r="Z25" s="10">
        <v>0.705394454106403</v>
      </c>
      <c r="AA25" s="11">
        <v>3.2082333781338099E-3</v>
      </c>
      <c r="AB25" s="12">
        <v>0</v>
      </c>
      <c r="AC25" s="22">
        <f t="shared" si="0"/>
        <v>0.12994674393010969</v>
      </c>
      <c r="AF25" s="19"/>
    </row>
    <row r="26" spans="1:32" x14ac:dyDescent="0.3">
      <c r="A26" s="13" t="s">
        <v>26</v>
      </c>
      <c r="B26">
        <v>2000</v>
      </c>
      <c r="C26" s="14">
        <v>3650.1219999999998</v>
      </c>
      <c r="D26" s="10">
        <v>1.51803145209941E-3</v>
      </c>
      <c r="E26" s="12">
        <v>2.8766161788564901E-5</v>
      </c>
      <c r="F26" s="10">
        <v>0</v>
      </c>
      <c r="G26" s="12">
        <v>0</v>
      </c>
      <c r="H26" s="10">
        <v>4.2684874642546201E-2</v>
      </c>
      <c r="I26" s="12">
        <v>1.8411713361909499E-2</v>
      </c>
      <c r="J26" s="10">
        <v>2.4582739974170699E-3</v>
      </c>
      <c r="K26" s="11">
        <v>8.7120375702510802E-5</v>
      </c>
      <c r="L26" s="11">
        <v>4.1159994104306701E-2</v>
      </c>
      <c r="M26" s="11">
        <v>1.72761348798752E-3</v>
      </c>
      <c r="N26" s="12">
        <v>2.7034712812338902E-3</v>
      </c>
      <c r="O26" s="10">
        <v>0</v>
      </c>
      <c r="P26" s="12">
        <v>0</v>
      </c>
      <c r="Q26" s="10">
        <v>0</v>
      </c>
      <c r="R26" s="11">
        <v>0</v>
      </c>
      <c r="S26" s="11">
        <v>1.7692285353749799E-2</v>
      </c>
      <c r="T26" s="11">
        <v>0</v>
      </c>
      <c r="U26" s="10">
        <v>1.4715363291180065E-6</v>
      </c>
      <c r="V26" s="12">
        <v>4.4620779011965357E-7</v>
      </c>
      <c r="W26" s="10">
        <v>3.7550525708455802E-2</v>
      </c>
      <c r="X26" s="11">
        <v>3.56042893908752E-3</v>
      </c>
      <c r="Y26" s="12">
        <v>1.2499856169191101E-2</v>
      </c>
      <c r="Z26" s="10">
        <v>0.81764116377480001</v>
      </c>
      <c r="AA26" s="11">
        <v>2.7396344560538002E-4</v>
      </c>
      <c r="AB26" s="12">
        <v>0</v>
      </c>
      <c r="AC26" s="22">
        <f t="shared" si="0"/>
        <v>0.10923306125110338</v>
      </c>
      <c r="AF26" s="19"/>
    </row>
    <row r="27" spans="1:32" x14ac:dyDescent="0.3">
      <c r="A27" s="13" t="s">
        <v>26</v>
      </c>
      <c r="B27">
        <v>2001</v>
      </c>
      <c r="C27" s="14">
        <v>3354.5349999999999</v>
      </c>
      <c r="D27" s="10">
        <v>1.3143401395424401E-3</v>
      </c>
      <c r="E27" s="12">
        <v>6.3078787372914595E-4</v>
      </c>
      <c r="F27" s="10">
        <v>1.5590834497180699E-4</v>
      </c>
      <c r="G27" s="12">
        <v>0</v>
      </c>
      <c r="H27" s="10">
        <v>5.11746039316925E-2</v>
      </c>
      <c r="I27" s="12">
        <v>2.2230502886391099E-2</v>
      </c>
      <c r="J27" s="10">
        <v>2.8239383401872402E-3</v>
      </c>
      <c r="K27" s="11">
        <v>3.5504175690520399E-4</v>
      </c>
      <c r="L27" s="11">
        <v>8.4628719032593197E-2</v>
      </c>
      <c r="M27" s="11">
        <v>1.2654510982893299E-3</v>
      </c>
      <c r="N27" s="12">
        <v>2.0846406431889999E-3</v>
      </c>
      <c r="O27" s="10">
        <v>5.4254911634548503E-5</v>
      </c>
      <c r="P27" s="12">
        <v>0</v>
      </c>
      <c r="Q27" s="10">
        <v>0</v>
      </c>
      <c r="R27" s="11">
        <v>0</v>
      </c>
      <c r="S27" s="11">
        <v>0.16038914484421801</v>
      </c>
      <c r="T27" s="11">
        <v>0</v>
      </c>
      <c r="U27" s="10">
        <v>1.7562466889156621E-3</v>
      </c>
      <c r="V27" s="12">
        <v>5.8446521303199791E-4</v>
      </c>
      <c r="W27" s="10">
        <v>8.3924299493074297E-2</v>
      </c>
      <c r="X27" s="11">
        <v>9.2140937566607597E-3</v>
      </c>
      <c r="Y27" s="12">
        <v>4.8681560931693998E-2</v>
      </c>
      <c r="Z27" s="10">
        <v>0.52843389620320003</v>
      </c>
      <c r="AA27" s="11">
        <v>2.98103910079937E-4</v>
      </c>
      <c r="AB27" s="12">
        <v>0</v>
      </c>
      <c r="AC27" s="22">
        <f t="shared" si="0"/>
        <v>0.16477306094585392</v>
      </c>
      <c r="AF27" s="19"/>
    </row>
    <row r="28" spans="1:32" x14ac:dyDescent="0.3">
      <c r="A28" s="13" t="s">
        <v>26</v>
      </c>
      <c r="B28">
        <v>2002</v>
      </c>
      <c r="C28" s="14">
        <v>5074.2169999999996</v>
      </c>
      <c r="D28" s="10">
        <v>2.6439547224724499E-3</v>
      </c>
      <c r="E28" s="12">
        <v>5.1436507346847802E-5</v>
      </c>
      <c r="F28" s="10">
        <v>1.1686532128996499E-3</v>
      </c>
      <c r="G28" s="12">
        <v>0</v>
      </c>
      <c r="H28" s="10">
        <v>8.1346540756928598E-2</v>
      </c>
      <c r="I28" s="12">
        <v>4.2672987773286E-2</v>
      </c>
      <c r="J28" s="10">
        <v>1.22304584135838E-3</v>
      </c>
      <c r="K28" s="11">
        <v>1.5765979263401599E-6</v>
      </c>
      <c r="L28" s="11">
        <v>3.7758534962142903E-2</v>
      </c>
      <c r="M28" s="11">
        <v>5.4315769309826499E-3</v>
      </c>
      <c r="N28" s="12">
        <v>2.0777589921755399E-3</v>
      </c>
      <c r="O28" s="10">
        <v>1.0573059843518699E-3</v>
      </c>
      <c r="P28" s="12">
        <v>0</v>
      </c>
      <c r="Q28" s="10">
        <v>0</v>
      </c>
      <c r="R28" s="11">
        <v>0</v>
      </c>
      <c r="S28" s="11">
        <v>5.3054096819272797E-2</v>
      </c>
      <c r="T28" s="11">
        <v>0</v>
      </c>
      <c r="U28" s="10">
        <v>4.1428699268622428E-3</v>
      </c>
      <c r="V28" s="12">
        <v>1.6436386122877374E-3</v>
      </c>
      <c r="W28" s="10">
        <v>8.0125268588237403E-2</v>
      </c>
      <c r="X28" s="11">
        <v>2.7870309842878199E-3</v>
      </c>
      <c r="Y28" s="12">
        <v>2.8021072019584502E-2</v>
      </c>
      <c r="Z28" s="10">
        <v>0.65479265076759596</v>
      </c>
      <c r="AA28" s="11">
        <v>0</v>
      </c>
      <c r="AB28" s="12">
        <v>0</v>
      </c>
      <c r="AC28" s="22">
        <f t="shared" si="0"/>
        <v>0.17273798105205193</v>
      </c>
      <c r="AF28" s="19"/>
    </row>
    <row r="29" spans="1:32" x14ac:dyDescent="0.3">
      <c r="A29" s="13" t="s">
        <v>26</v>
      </c>
      <c r="B29">
        <v>2003</v>
      </c>
      <c r="C29" s="14">
        <v>4985.4740000000002</v>
      </c>
      <c r="D29" s="10">
        <v>1.6680460072602901E-3</v>
      </c>
      <c r="E29" s="12">
        <v>1.00291366477892E-6</v>
      </c>
      <c r="F29" s="10">
        <v>2.6837969669483801E-4</v>
      </c>
      <c r="G29" s="12">
        <v>0</v>
      </c>
      <c r="H29" s="10">
        <v>5.4377978904312799E-2</v>
      </c>
      <c r="I29" s="12">
        <v>2.48140898939599E-2</v>
      </c>
      <c r="J29" s="10">
        <v>4.7802876918022199E-3</v>
      </c>
      <c r="K29" s="11">
        <v>0</v>
      </c>
      <c r="L29" s="11">
        <v>3.0092424511691401E-2</v>
      </c>
      <c r="M29" s="11">
        <v>4.7136942244609004E-3</v>
      </c>
      <c r="N29" s="12">
        <v>1.4766900800204799E-3</v>
      </c>
      <c r="O29" s="10">
        <v>0</v>
      </c>
      <c r="P29" s="12">
        <v>0</v>
      </c>
      <c r="Q29" s="10">
        <v>0</v>
      </c>
      <c r="R29" s="11">
        <v>0</v>
      </c>
      <c r="S29" s="11">
        <v>6.0411708094355698E-2</v>
      </c>
      <c r="T29" s="11">
        <v>0</v>
      </c>
      <c r="U29" s="10">
        <v>1.8404202933096302E-3</v>
      </c>
      <c r="V29" s="12">
        <v>8.0165546518394938E-4</v>
      </c>
      <c r="W29" s="10">
        <v>7.7573366143319597E-2</v>
      </c>
      <c r="X29" s="11">
        <v>2.50628124828251E-3</v>
      </c>
      <c r="Y29" s="12">
        <v>1.7109305955662402E-2</v>
      </c>
      <c r="Z29" s="10">
        <v>0.66165824954658303</v>
      </c>
      <c r="AA29" s="11">
        <v>5.5906419329435901E-2</v>
      </c>
      <c r="AB29" s="12">
        <v>0</v>
      </c>
      <c r="AC29" s="22">
        <f t="shared" si="0"/>
        <v>0.12052354500294254</v>
      </c>
      <c r="AF29" s="19"/>
    </row>
    <row r="30" spans="1:32" x14ac:dyDescent="0.3">
      <c r="A30" s="13" t="s">
        <v>26</v>
      </c>
      <c r="B30">
        <v>2004</v>
      </c>
      <c r="C30" s="14">
        <v>6910.93</v>
      </c>
      <c r="D30" s="10">
        <v>1.42904066457047E-3</v>
      </c>
      <c r="E30" s="12">
        <v>0</v>
      </c>
      <c r="F30" s="10">
        <v>1.5604267443021401E-3</v>
      </c>
      <c r="G30" s="12">
        <v>0</v>
      </c>
      <c r="H30" s="10">
        <v>5.0954647203777202E-2</v>
      </c>
      <c r="I30" s="12">
        <v>2.5150450084142101E-2</v>
      </c>
      <c r="J30" s="10">
        <v>3.1170913321361998E-3</v>
      </c>
      <c r="K30" s="11">
        <v>0</v>
      </c>
      <c r="L30" s="11">
        <v>2.73065998353333E-2</v>
      </c>
      <c r="M30" s="11">
        <v>8.6269141779760495E-4</v>
      </c>
      <c r="N30" s="12">
        <v>1.74940275766069E-4</v>
      </c>
      <c r="O30" s="10">
        <v>0</v>
      </c>
      <c r="P30" s="12">
        <v>0</v>
      </c>
      <c r="Q30" s="10">
        <v>0</v>
      </c>
      <c r="R30" s="11">
        <v>0</v>
      </c>
      <c r="S30" s="11">
        <v>4.6251662222016397E-2</v>
      </c>
      <c r="T30" s="11">
        <v>0</v>
      </c>
      <c r="U30" s="10">
        <v>5.9794731152708527E-3</v>
      </c>
      <c r="V30" s="12">
        <v>6.3179338576446753E-4</v>
      </c>
      <c r="W30" s="10">
        <v>6.2416056883805797E-2</v>
      </c>
      <c r="X30" s="11">
        <v>6.9542015329340605E-4</v>
      </c>
      <c r="Y30" s="12">
        <v>1.18167887679372E-2</v>
      </c>
      <c r="Z30" s="10">
        <v>0.75801086105632698</v>
      </c>
      <c r="AA30" s="11">
        <v>3.6420568577601002E-3</v>
      </c>
      <c r="AB30" s="12">
        <v>0</v>
      </c>
      <c r="AC30" s="22">
        <f t="shared" si="0"/>
        <v>0.10912684689325461</v>
      </c>
      <c r="AF30" s="19"/>
    </row>
    <row r="31" spans="1:32" x14ac:dyDescent="0.3">
      <c r="A31" s="13" t="s">
        <v>26</v>
      </c>
      <c r="B31">
        <v>2005</v>
      </c>
      <c r="C31" s="14">
        <v>5119.24</v>
      </c>
      <c r="D31" s="10">
        <v>2.5433462779631401E-4</v>
      </c>
      <c r="E31" s="12">
        <v>0</v>
      </c>
      <c r="F31" s="10">
        <v>1.08336393683437E-3</v>
      </c>
      <c r="G31" s="12">
        <v>0</v>
      </c>
      <c r="H31" s="10">
        <v>6.0482024675537802E-2</v>
      </c>
      <c r="I31" s="12">
        <v>8.6436072542017905E-2</v>
      </c>
      <c r="J31" s="10">
        <v>2.6282416921261799E-2</v>
      </c>
      <c r="K31" s="11">
        <v>0</v>
      </c>
      <c r="L31" s="11">
        <v>8.8737976730921E-2</v>
      </c>
      <c r="M31" s="11">
        <v>1.9813683281112E-2</v>
      </c>
      <c r="N31" s="12">
        <v>2.2257210054617499E-3</v>
      </c>
      <c r="O31" s="10">
        <v>8.4309389675029896E-4</v>
      </c>
      <c r="P31" s="12">
        <v>0</v>
      </c>
      <c r="Q31" s="10">
        <v>0</v>
      </c>
      <c r="R31" s="11">
        <v>0</v>
      </c>
      <c r="S31" s="11">
        <v>4.67782327064174E-2</v>
      </c>
      <c r="T31" s="11">
        <v>0</v>
      </c>
      <c r="U31" s="10">
        <v>2.5896772566825484E-2</v>
      </c>
      <c r="V31" s="12">
        <v>1.2687832578672153E-3</v>
      </c>
      <c r="W31" s="10">
        <v>2.96842890741594E-2</v>
      </c>
      <c r="X31" s="11">
        <v>6.3339480079074202E-3</v>
      </c>
      <c r="Y31" s="12">
        <v>1.4834819230979601E-2</v>
      </c>
      <c r="Z31" s="10">
        <v>0.58904446753814999</v>
      </c>
      <c r="AA31" s="11">
        <v>0</v>
      </c>
      <c r="AB31" s="12">
        <v>0</v>
      </c>
      <c r="AC31" s="22">
        <f t="shared" si="0"/>
        <v>0.28590435298989691</v>
      </c>
      <c r="AF31" s="19"/>
    </row>
    <row r="32" spans="1:32" x14ac:dyDescent="0.3">
      <c r="A32" s="13" t="s">
        <v>26</v>
      </c>
      <c r="B32">
        <v>2006</v>
      </c>
      <c r="C32" s="14">
        <v>2962.4180000000001</v>
      </c>
      <c r="D32" s="10">
        <v>1.8565914735867799E-4</v>
      </c>
      <c r="E32" s="12">
        <v>0</v>
      </c>
      <c r="F32" s="10">
        <v>4.1054300912295302E-3</v>
      </c>
      <c r="G32" s="12">
        <v>0</v>
      </c>
      <c r="H32" s="10">
        <v>7.2024609626325495E-2</v>
      </c>
      <c r="I32" s="12">
        <v>3.8814576470977399E-2</v>
      </c>
      <c r="J32" s="10">
        <v>1.11810689781118E-2</v>
      </c>
      <c r="K32" s="11">
        <v>0</v>
      </c>
      <c r="L32" s="11">
        <v>7.0506930487189895E-2</v>
      </c>
      <c r="M32" s="11">
        <v>3.6844901698544902E-3</v>
      </c>
      <c r="N32" s="12">
        <v>0</v>
      </c>
      <c r="O32" s="10">
        <v>2.2279097683041399E-5</v>
      </c>
      <c r="P32" s="12">
        <v>0</v>
      </c>
      <c r="Q32" s="10">
        <v>0</v>
      </c>
      <c r="R32" s="11">
        <v>0</v>
      </c>
      <c r="S32" s="11">
        <v>4.2752575767497997E-2</v>
      </c>
      <c r="T32" s="11">
        <v>0</v>
      </c>
      <c r="U32" s="10">
        <v>5.4157126017942182E-3</v>
      </c>
      <c r="V32" s="12">
        <v>5.9424277924924101E-4</v>
      </c>
      <c r="W32" s="10">
        <v>2.56567439166249E-2</v>
      </c>
      <c r="X32" s="11">
        <v>2.0230095820373802E-3</v>
      </c>
      <c r="Y32" s="12">
        <v>1.54080214203397E-2</v>
      </c>
      <c r="Z32" s="10">
        <v>0.69866237647759399</v>
      </c>
      <c r="AA32" s="11">
        <v>8.9622733861325406E-3</v>
      </c>
      <c r="AB32" s="12">
        <v>0</v>
      </c>
      <c r="AC32" s="22">
        <f t="shared" si="0"/>
        <v>0.20033938492137165</v>
      </c>
      <c r="AF32" s="19"/>
    </row>
    <row r="33" spans="1:32" x14ac:dyDescent="0.3">
      <c r="A33" s="13" t="s">
        <v>26</v>
      </c>
      <c r="B33">
        <v>2007</v>
      </c>
      <c r="C33" s="14">
        <v>2830.922</v>
      </c>
      <c r="D33" s="10">
        <v>2.8930503913566E-4</v>
      </c>
      <c r="E33" s="12">
        <v>0</v>
      </c>
      <c r="F33" s="10">
        <v>1.8004734853167999E-3</v>
      </c>
      <c r="G33" s="12">
        <v>0</v>
      </c>
      <c r="H33" s="10">
        <v>5.3948501583582997E-2</v>
      </c>
      <c r="I33" s="12">
        <v>3.6626229899658101E-2</v>
      </c>
      <c r="J33" s="10">
        <v>1.76620903013223E-6</v>
      </c>
      <c r="K33" s="11">
        <v>0</v>
      </c>
      <c r="L33" s="11">
        <v>0.13045113924014901</v>
      </c>
      <c r="M33" s="11">
        <v>7.9691351439566301E-4</v>
      </c>
      <c r="N33" s="12">
        <v>0</v>
      </c>
      <c r="O33" s="10">
        <v>3.8150115050856197E-5</v>
      </c>
      <c r="P33" s="12">
        <v>0</v>
      </c>
      <c r="Q33" s="10">
        <v>0</v>
      </c>
      <c r="R33" s="11">
        <v>0</v>
      </c>
      <c r="S33" s="11">
        <v>4.1308096796732703E-2</v>
      </c>
      <c r="T33" s="11">
        <v>0</v>
      </c>
      <c r="U33" s="10">
        <v>1.2984011668225158E-2</v>
      </c>
      <c r="V33" s="12">
        <v>3.7539980685319424E-3</v>
      </c>
      <c r="W33" s="10">
        <v>2.0005143200695699E-2</v>
      </c>
      <c r="X33" s="11">
        <v>4.1587157823493497E-3</v>
      </c>
      <c r="Y33" s="12">
        <v>1.38470787962367E-2</v>
      </c>
      <c r="Z33" s="10">
        <v>0.67893781601895098</v>
      </c>
      <c r="AA33" s="11">
        <v>1.0526605819588101E-3</v>
      </c>
      <c r="AB33" s="12">
        <v>0</v>
      </c>
      <c r="AC33" s="22">
        <f t="shared" si="0"/>
        <v>0.22366317404718355</v>
      </c>
      <c r="AF33" s="19"/>
    </row>
    <row r="34" spans="1:32" x14ac:dyDescent="0.3">
      <c r="A34" s="13" t="s">
        <v>26</v>
      </c>
      <c r="B34">
        <v>2008</v>
      </c>
      <c r="C34" s="14">
        <v>3363.0210000000002</v>
      </c>
      <c r="D34" s="10">
        <v>2.4097381491224698E-3</v>
      </c>
      <c r="E34" s="12">
        <v>0</v>
      </c>
      <c r="F34" s="10">
        <v>0</v>
      </c>
      <c r="G34" s="12">
        <v>0</v>
      </c>
      <c r="H34" s="10">
        <v>8.9814187898321199E-2</v>
      </c>
      <c r="I34" s="12">
        <v>4.6680648143440098E-2</v>
      </c>
      <c r="J34" s="10">
        <v>3.32736548478288E-4</v>
      </c>
      <c r="K34" s="11">
        <v>0</v>
      </c>
      <c r="L34" s="11">
        <v>0.16457226999177199</v>
      </c>
      <c r="M34" s="11">
        <v>7.4959389192039002E-3</v>
      </c>
      <c r="N34" s="12">
        <v>0</v>
      </c>
      <c r="O34" s="10">
        <v>4.2551027781271699E-4</v>
      </c>
      <c r="P34" s="12">
        <v>0</v>
      </c>
      <c r="Q34" s="10">
        <v>1.907321248361139E-3</v>
      </c>
      <c r="R34" s="11">
        <v>0</v>
      </c>
      <c r="S34" s="11">
        <v>7.9681524019033861E-2</v>
      </c>
      <c r="T34" s="11">
        <v>0</v>
      </c>
      <c r="U34" s="10">
        <v>5.8255298763655768E-3</v>
      </c>
      <c r="V34" s="12">
        <v>1.8535776879345018E-3</v>
      </c>
      <c r="W34" s="10">
        <v>3.5011080810973198E-2</v>
      </c>
      <c r="X34" s="11">
        <v>7.2723304433721997E-3</v>
      </c>
      <c r="Y34" s="12">
        <v>2.9834187773433499E-2</v>
      </c>
      <c r="Z34" s="10">
        <v>0.52170652517483496</v>
      </c>
      <c r="AA34" s="11">
        <v>5.1768930375397596E-3</v>
      </c>
      <c r="AB34" s="12">
        <v>0</v>
      </c>
      <c r="AC34" s="22">
        <f t="shared" si="0"/>
        <v>0.30932129177902823</v>
      </c>
      <c r="AF34" s="19"/>
    </row>
    <row r="35" spans="1:32" x14ac:dyDescent="0.3">
      <c r="A35" s="13" t="s">
        <v>26</v>
      </c>
      <c r="B35">
        <v>2009</v>
      </c>
      <c r="C35" s="14">
        <v>3469.4490000000001</v>
      </c>
      <c r="D35" s="10">
        <v>3.2887066505373001E-4</v>
      </c>
      <c r="E35" s="12">
        <v>0</v>
      </c>
      <c r="F35" s="10">
        <v>2.35772308513542E-4</v>
      </c>
      <c r="G35" s="12">
        <v>0</v>
      </c>
      <c r="H35" s="10">
        <v>1.7551490164576598E-2</v>
      </c>
      <c r="I35" s="12">
        <v>2.89048779791834E-2</v>
      </c>
      <c r="J35" s="10">
        <v>6.3528819705953301E-3</v>
      </c>
      <c r="K35" s="11">
        <v>0</v>
      </c>
      <c r="L35" s="11">
        <v>0.15686381324527299</v>
      </c>
      <c r="M35" s="11">
        <v>8.2670187686863308E-3</v>
      </c>
      <c r="N35" s="12">
        <v>3.63458289774543E-4</v>
      </c>
      <c r="O35" s="10">
        <v>2.5566019272800999E-4</v>
      </c>
      <c r="P35" s="12">
        <v>0</v>
      </c>
      <c r="Q35" s="10">
        <v>0</v>
      </c>
      <c r="R35" s="11">
        <v>0</v>
      </c>
      <c r="S35" s="11">
        <v>0.12040615094788799</v>
      </c>
      <c r="T35" s="11">
        <v>0</v>
      </c>
      <c r="U35" s="10">
        <v>2.5514776925592366E-2</v>
      </c>
      <c r="V35" s="12">
        <v>2.9978197432158132E-3</v>
      </c>
      <c r="W35" s="10">
        <v>1.1739616290656001E-2</v>
      </c>
      <c r="X35" s="11">
        <v>6.8030975523779196E-3</v>
      </c>
      <c r="Y35" s="12">
        <v>2.1228442902605001E-2</v>
      </c>
      <c r="Z35" s="10">
        <v>0.58122197501678197</v>
      </c>
      <c r="AA35" s="11">
        <v>1.09642770364977E-2</v>
      </c>
      <c r="AB35" s="12">
        <v>0</v>
      </c>
      <c r="AC35" s="22">
        <f t="shared" si="0"/>
        <v>0.21879497291933075</v>
      </c>
      <c r="AF35" s="19"/>
    </row>
    <row r="36" spans="1:32" x14ac:dyDescent="0.3">
      <c r="A36" s="13" t="s">
        <v>26</v>
      </c>
      <c r="B36">
        <v>2010</v>
      </c>
      <c r="C36" s="14">
        <v>7362.067</v>
      </c>
      <c r="D36" s="10">
        <v>1.60539152930828E-3</v>
      </c>
      <c r="E36" s="12">
        <v>0</v>
      </c>
      <c r="F36" s="10">
        <v>4.5055281349653598E-4</v>
      </c>
      <c r="G36" s="12">
        <v>0</v>
      </c>
      <c r="H36" s="10">
        <v>2.3102207572954701E-2</v>
      </c>
      <c r="I36" s="12">
        <v>2.6743576226622202E-2</v>
      </c>
      <c r="J36" s="10">
        <v>1.5538570893201599E-2</v>
      </c>
      <c r="K36" s="11">
        <v>0</v>
      </c>
      <c r="L36" s="11">
        <v>0.162349242407058</v>
      </c>
      <c r="M36" s="11">
        <v>3.4622070133292701E-3</v>
      </c>
      <c r="N36" s="12">
        <v>3.2029048363727198E-4</v>
      </c>
      <c r="O36" s="10">
        <v>8.3943816322236701E-5</v>
      </c>
      <c r="P36" s="12">
        <v>3.02904062133637E-5</v>
      </c>
      <c r="Q36" s="10">
        <v>8.3501879048630964E-4</v>
      </c>
      <c r="R36" s="11">
        <v>0</v>
      </c>
      <c r="S36" s="11">
        <v>5.2426110183210889E-2</v>
      </c>
      <c r="T36" s="11">
        <v>0</v>
      </c>
      <c r="U36" s="10">
        <v>1.2368347780863322E-2</v>
      </c>
      <c r="V36" s="12">
        <v>5.879320247945592E-4</v>
      </c>
      <c r="W36" s="10">
        <v>2.78822510036923E-2</v>
      </c>
      <c r="X36" s="11">
        <v>6.9214257354626102E-3</v>
      </c>
      <c r="Y36" s="12">
        <v>2.1344413192653601E-2</v>
      </c>
      <c r="Z36" s="10">
        <v>0.63878935087116195</v>
      </c>
      <c r="AA36" s="11">
        <v>4.0939589384339998E-3</v>
      </c>
      <c r="AB36" s="12">
        <v>1.06491831709763E-3</v>
      </c>
      <c r="AC36" s="22">
        <f t="shared" si="0"/>
        <v>0.23208088163283516</v>
      </c>
      <c r="AF36" s="19"/>
    </row>
    <row r="37" spans="1:32" x14ac:dyDescent="0.3">
      <c r="A37" s="13" t="s">
        <v>26</v>
      </c>
      <c r="B37">
        <v>2011</v>
      </c>
      <c r="C37" s="14">
        <v>6731.53</v>
      </c>
      <c r="D37" s="10">
        <v>1.48554637652956E-6</v>
      </c>
      <c r="E37" s="12">
        <v>0</v>
      </c>
      <c r="F37" s="10">
        <v>7.6639337565159802E-4</v>
      </c>
      <c r="G37" s="12">
        <v>0</v>
      </c>
      <c r="H37" s="10">
        <v>3.1110460771919601E-2</v>
      </c>
      <c r="I37" s="12">
        <v>3.2723021363642399E-2</v>
      </c>
      <c r="J37" s="10">
        <v>5.1169644939560504E-3</v>
      </c>
      <c r="K37" s="11">
        <v>0</v>
      </c>
      <c r="L37" s="11">
        <v>0.13726626784698301</v>
      </c>
      <c r="M37" s="11">
        <v>1.9836500765799199E-3</v>
      </c>
      <c r="N37" s="12">
        <v>3.6080950393149801E-3</v>
      </c>
      <c r="O37" s="10">
        <v>5.1028518033790203E-4</v>
      </c>
      <c r="P37" s="12">
        <v>1.1587261736930501E-5</v>
      </c>
      <c r="Q37" s="10">
        <v>2.3827304250527764E-3</v>
      </c>
      <c r="R37" s="11">
        <v>0</v>
      </c>
      <c r="S37" s="11">
        <v>2.3970268076030928E-2</v>
      </c>
      <c r="T37" s="11">
        <v>0</v>
      </c>
      <c r="U37" s="10">
        <v>6.6176927972690404E-3</v>
      </c>
      <c r="V37" s="12">
        <v>6.6806212561482383E-3</v>
      </c>
      <c r="W37" s="10">
        <v>1.45983156875183E-2</v>
      </c>
      <c r="X37" s="11">
        <v>7.2487235442759701E-3</v>
      </c>
      <c r="Y37" s="12">
        <v>2.8068656011337699E-2</v>
      </c>
      <c r="Z37" s="10">
        <v>0.69733478124586801</v>
      </c>
      <c r="AA37" s="11">
        <v>0</v>
      </c>
      <c r="AB37" s="12">
        <v>0</v>
      </c>
      <c r="AC37" s="22">
        <f t="shared" si="0"/>
        <v>0.21309672541012237</v>
      </c>
      <c r="AF37" s="19"/>
    </row>
    <row r="38" spans="1:32" x14ac:dyDescent="0.3">
      <c r="A38" s="13" t="s">
        <v>26</v>
      </c>
      <c r="B38">
        <v>2012</v>
      </c>
      <c r="C38" s="14">
        <v>6325.2330000000002</v>
      </c>
      <c r="D38" s="10">
        <v>2.2433956187859001E-4</v>
      </c>
      <c r="E38" s="12">
        <v>2.59278986244459E-5</v>
      </c>
      <c r="F38" s="10">
        <v>3.0575948743706398E-4</v>
      </c>
      <c r="G38" s="12">
        <v>1.32327141150373E-4</v>
      </c>
      <c r="H38" s="10">
        <v>1.1827074196318101E-2</v>
      </c>
      <c r="I38" s="12">
        <v>3.13006651296482E-2</v>
      </c>
      <c r="J38" s="10">
        <v>3.57963097960186E-3</v>
      </c>
      <c r="K38" s="11">
        <v>3.3737887600346101E-4</v>
      </c>
      <c r="L38" s="11">
        <v>0.20157834501906899</v>
      </c>
      <c r="M38" s="11">
        <v>1.1917347550675201E-3</v>
      </c>
      <c r="N38" s="12">
        <v>2.0849824820682499E-3</v>
      </c>
      <c r="O38" s="10">
        <v>1.12090732467879E-4</v>
      </c>
      <c r="P38" s="12">
        <v>0</v>
      </c>
      <c r="Q38" s="10">
        <v>1.4427308952964168E-3</v>
      </c>
      <c r="R38" s="11">
        <v>0</v>
      </c>
      <c r="S38" s="11">
        <v>4.6282151334338481E-2</v>
      </c>
      <c r="T38" s="11">
        <v>0</v>
      </c>
      <c r="U38" s="10">
        <v>1.8277126929388842E-3</v>
      </c>
      <c r="V38" s="12">
        <v>2.5529954959926464E-3</v>
      </c>
      <c r="W38" s="10">
        <v>5.2140846036817901E-2</v>
      </c>
      <c r="X38" s="11">
        <v>4.2613449970933899E-3</v>
      </c>
      <c r="Y38" s="12">
        <v>5.1060253432561299E-2</v>
      </c>
      <c r="Z38" s="10">
        <v>0.58773170885562598</v>
      </c>
      <c r="AA38" s="11">
        <v>0</v>
      </c>
      <c r="AB38" s="12">
        <v>0</v>
      </c>
      <c r="AC38" s="22">
        <f t="shared" si="0"/>
        <v>0.25244998879883168</v>
      </c>
      <c r="AF38" s="19"/>
    </row>
    <row r="39" spans="1:32" x14ac:dyDescent="0.3">
      <c r="A39" s="13" t="s">
        <v>26</v>
      </c>
      <c r="B39">
        <v>2013</v>
      </c>
      <c r="C39" s="14">
        <v>13720.563</v>
      </c>
      <c r="D39" s="10">
        <v>3.3708529307434402E-4</v>
      </c>
      <c r="E39" s="12">
        <v>2.7615484874782498E-4</v>
      </c>
      <c r="F39" s="10">
        <v>7.7460378265819E-4</v>
      </c>
      <c r="G39" s="12">
        <v>2.2331445145509001E-4</v>
      </c>
      <c r="H39" s="10">
        <v>2.1995598868647E-2</v>
      </c>
      <c r="I39" s="12">
        <v>3.10841472029974E-2</v>
      </c>
      <c r="J39" s="10">
        <v>9.4680517118721705E-3</v>
      </c>
      <c r="K39" s="11">
        <v>1.6187382398229601E-4</v>
      </c>
      <c r="L39" s="11">
        <v>0.13138520627761399</v>
      </c>
      <c r="M39" s="11">
        <v>1.7022625091987801E-3</v>
      </c>
      <c r="N39" s="12">
        <v>6.9173546304185905E-4</v>
      </c>
      <c r="O39" s="10">
        <v>3.3628357670162698E-4</v>
      </c>
      <c r="P39" s="12">
        <v>1.96784927848806E-5</v>
      </c>
      <c r="Q39" s="10">
        <v>3.3303127926208307E-3</v>
      </c>
      <c r="R39" s="11">
        <v>0</v>
      </c>
      <c r="S39" s="11">
        <v>5.1466345332851167E-2</v>
      </c>
      <c r="T39" s="11">
        <v>0</v>
      </c>
      <c r="U39" s="10">
        <v>5.2288074914511509E-3</v>
      </c>
      <c r="V39" s="12">
        <v>1.7053149888869159E-2</v>
      </c>
      <c r="W39" s="10">
        <v>4.9817926567590501E-2</v>
      </c>
      <c r="X39" s="11">
        <v>6.9687373615791104E-3</v>
      </c>
      <c r="Y39" s="12">
        <v>3.5047249883259197E-2</v>
      </c>
      <c r="Z39" s="10">
        <v>0.63003682866366295</v>
      </c>
      <c r="AA39" s="11">
        <v>2.59464571533982E-3</v>
      </c>
      <c r="AB39" s="12">
        <v>0</v>
      </c>
      <c r="AC39" s="22">
        <f t="shared" si="0"/>
        <v>0.19784275616095329</v>
      </c>
      <c r="AF39" s="19"/>
    </row>
    <row r="40" spans="1:32" x14ac:dyDescent="0.3">
      <c r="A40" s="13" t="s">
        <v>26</v>
      </c>
      <c r="B40">
        <v>2014</v>
      </c>
      <c r="C40" s="14">
        <v>12324.564</v>
      </c>
      <c r="D40" s="10">
        <v>1.13894495578099E-3</v>
      </c>
      <c r="E40" s="12">
        <v>4.0569386470791198E-7</v>
      </c>
      <c r="F40" s="10">
        <v>1.3014659179829801E-4</v>
      </c>
      <c r="G40" s="12">
        <v>0</v>
      </c>
      <c r="H40" s="10">
        <v>1.3118597947968E-2</v>
      </c>
      <c r="I40" s="12">
        <v>1.73864162659223E-2</v>
      </c>
      <c r="J40" s="10">
        <v>9.1668151506211493E-3</v>
      </c>
      <c r="K40" s="11">
        <v>7.4793720897550601E-4</v>
      </c>
      <c r="L40" s="11">
        <v>0.13059626287793999</v>
      </c>
      <c r="M40" s="11">
        <v>6.4911018353265896E-4</v>
      </c>
      <c r="N40" s="12">
        <v>9.1987026883871901E-4</v>
      </c>
      <c r="O40" s="10">
        <v>1.46049791294848E-6</v>
      </c>
      <c r="P40" s="12">
        <v>5.5214934986746805E-4</v>
      </c>
      <c r="Q40" s="10">
        <v>5.4612651346004444E-3</v>
      </c>
      <c r="R40" s="11">
        <v>0</v>
      </c>
      <c r="S40" s="11">
        <v>3.1495742026058558E-2</v>
      </c>
      <c r="T40" s="11">
        <v>0</v>
      </c>
      <c r="U40" s="10">
        <v>1.6516706334598081E-2</v>
      </c>
      <c r="V40" s="12">
        <v>1.8217747557645009E-2</v>
      </c>
      <c r="W40" s="10">
        <v>3.3201499055057801E-2</v>
      </c>
      <c r="X40" s="11">
        <v>7.6795414426019401E-3</v>
      </c>
      <c r="Y40" s="12">
        <v>2.2568993110019999E-2</v>
      </c>
      <c r="Z40" s="10">
        <v>0.68708637482023704</v>
      </c>
      <c r="AA40" s="11">
        <v>3.3640135261579999E-3</v>
      </c>
      <c r="AB40" s="12">
        <v>0</v>
      </c>
      <c r="AC40" s="22">
        <f t="shared" si="0"/>
        <v>0.17326876634337704</v>
      </c>
      <c r="AF40" s="19"/>
    </row>
    <row r="41" spans="1:32" x14ac:dyDescent="0.3">
      <c r="A41" s="13" t="s">
        <v>26</v>
      </c>
      <c r="B41">
        <v>2015</v>
      </c>
      <c r="C41" s="14">
        <v>6900.2240000000002</v>
      </c>
      <c r="D41" s="10">
        <v>7.5939563701120402E-5</v>
      </c>
      <c r="E41" s="12">
        <v>2.72454923202493E-5</v>
      </c>
      <c r="F41" s="10">
        <v>5.1389636046597902E-4</v>
      </c>
      <c r="G41" s="12">
        <v>7.7591683980114299E-4</v>
      </c>
      <c r="H41" s="10">
        <v>4.3136280793203202E-3</v>
      </c>
      <c r="I41" s="12">
        <v>1.04771961026193E-2</v>
      </c>
      <c r="J41" s="10">
        <v>7.6425055186614202E-3</v>
      </c>
      <c r="K41" s="11">
        <v>1.6808149996289999E-3</v>
      </c>
      <c r="L41" s="11">
        <v>0.15604623849892399</v>
      </c>
      <c r="M41" s="11">
        <v>9.1170953290791704E-4</v>
      </c>
      <c r="N41" s="12">
        <v>0</v>
      </c>
      <c r="O41" s="10">
        <v>0</v>
      </c>
      <c r="P41" s="12">
        <v>1.99848584625659E-4</v>
      </c>
      <c r="Q41" s="10">
        <v>4.0932887879470302E-3</v>
      </c>
      <c r="R41" s="11">
        <v>0</v>
      </c>
      <c r="S41" s="11">
        <v>5.3631069145940374E-2</v>
      </c>
      <c r="T41" s="11">
        <v>0</v>
      </c>
      <c r="U41" s="10">
        <v>9.5447494445304905E-3</v>
      </c>
      <c r="V41" s="12">
        <v>3.0535833446691606E-2</v>
      </c>
      <c r="W41" s="10">
        <v>2.7387081926615701E-2</v>
      </c>
      <c r="X41" s="11">
        <v>4.3655104529939899E-3</v>
      </c>
      <c r="Y41" s="12">
        <v>2.05629556373822E-2</v>
      </c>
      <c r="Z41" s="10">
        <v>0.65701055501966299</v>
      </c>
      <c r="AA41" s="11">
        <v>1.0204016565259299E-2</v>
      </c>
      <c r="AB41" s="12">
        <v>0</v>
      </c>
      <c r="AC41" s="22">
        <f t="shared" si="0"/>
        <v>0.18256175451695472</v>
      </c>
      <c r="AF41" s="19"/>
    </row>
    <row r="42" spans="1:32" x14ac:dyDescent="0.3">
      <c r="A42" s="13" t="s">
        <v>26</v>
      </c>
      <c r="B42">
        <v>2016</v>
      </c>
      <c r="C42" s="14">
        <v>7814.3410000000003</v>
      </c>
      <c r="D42" s="10">
        <v>6.0593721210784103E-4</v>
      </c>
      <c r="E42" s="12">
        <v>2.6656118538978502E-4</v>
      </c>
      <c r="F42" s="10">
        <v>6.3984922081081403E-4</v>
      </c>
      <c r="G42" s="12">
        <v>0</v>
      </c>
      <c r="H42" s="10">
        <v>1.0287495772196301E-2</v>
      </c>
      <c r="I42" s="12">
        <v>2.60672013161443E-2</v>
      </c>
      <c r="J42" s="10">
        <v>3.6379267298419699E-3</v>
      </c>
      <c r="K42" s="11">
        <v>1.4188016622258999E-3</v>
      </c>
      <c r="L42" s="11">
        <v>0.20221167722268599</v>
      </c>
      <c r="M42" s="11">
        <v>1.3109230835972E-3</v>
      </c>
      <c r="N42" s="12">
        <v>0</v>
      </c>
      <c r="O42" s="10">
        <v>0</v>
      </c>
      <c r="P42" s="12">
        <v>0</v>
      </c>
      <c r="Q42" s="10">
        <v>3.0360215449926429E-3</v>
      </c>
      <c r="R42" s="11">
        <v>0</v>
      </c>
      <c r="S42" s="11">
        <v>5.6484544552647557E-2</v>
      </c>
      <c r="T42" s="11">
        <v>0</v>
      </c>
      <c r="U42" s="10">
        <v>1.4660099249141532E-3</v>
      </c>
      <c r="V42" s="12">
        <v>7.0355387021549766E-3</v>
      </c>
      <c r="W42" s="10">
        <v>2.0046604057847001E-2</v>
      </c>
      <c r="X42" s="11">
        <v>2.1735678030943401E-3</v>
      </c>
      <c r="Y42" s="12">
        <v>7.2125083868236602E-3</v>
      </c>
      <c r="Z42" s="10">
        <v>0.65362133543954604</v>
      </c>
      <c r="AA42" s="11">
        <v>2.4774961829794702E-3</v>
      </c>
      <c r="AB42" s="12">
        <v>0</v>
      </c>
      <c r="AC42" s="22">
        <f t="shared" si="0"/>
        <v>0.2455738750075025</v>
      </c>
      <c r="AF42" s="19"/>
    </row>
    <row r="43" spans="1:32" x14ac:dyDescent="0.3">
      <c r="A43" s="13" t="s">
        <v>26</v>
      </c>
      <c r="B43">
        <v>2017</v>
      </c>
      <c r="C43" s="14">
        <v>6362.5339999999997</v>
      </c>
      <c r="D43" s="10">
        <v>2.81963129784454E-4</v>
      </c>
      <c r="E43" s="12">
        <v>3.8710991564052901E-4</v>
      </c>
      <c r="F43" s="10">
        <v>9.3091840452247496E-4</v>
      </c>
      <c r="G43" s="12">
        <v>0</v>
      </c>
      <c r="H43" s="10">
        <v>1.4945303239244E-2</v>
      </c>
      <c r="I43" s="12">
        <v>3.2953222725410999E-2</v>
      </c>
      <c r="J43" s="10">
        <v>6.3910071050307903E-3</v>
      </c>
      <c r="K43" s="11">
        <v>2.4611263373995299E-3</v>
      </c>
      <c r="L43" s="11">
        <v>0.26447560044472801</v>
      </c>
      <c r="M43" s="11">
        <v>3.1619477396898801E-3</v>
      </c>
      <c r="N43" s="12">
        <v>1.9715415273222898E-3</v>
      </c>
      <c r="O43" s="10">
        <v>3.14340166983783E-5</v>
      </c>
      <c r="P43" s="12">
        <v>6.4439734231675604E-6</v>
      </c>
      <c r="Q43" s="10">
        <v>9.9471764795148153E-4</v>
      </c>
      <c r="R43" s="11">
        <v>0</v>
      </c>
      <c r="S43" s="11">
        <v>7.6909148956140511E-2</v>
      </c>
      <c r="T43" s="11">
        <v>0</v>
      </c>
      <c r="U43" s="10">
        <v>3.688768853169174E-3</v>
      </c>
      <c r="V43" s="12">
        <v>5.3381377221041366E-3</v>
      </c>
      <c r="W43" s="10">
        <v>4.2919849229882297E-2</v>
      </c>
      <c r="X43" s="11">
        <v>2.7000248643072101E-3</v>
      </c>
      <c r="Y43" s="12">
        <v>1.3447472343566301E-2</v>
      </c>
      <c r="Z43" s="10">
        <v>0.517589375553828</v>
      </c>
      <c r="AA43" s="11">
        <v>8.4148862701558802E-3</v>
      </c>
      <c r="AB43" s="12">
        <v>0</v>
      </c>
      <c r="AC43" s="22">
        <f t="shared" si="0"/>
        <v>0.32732854551346946</v>
      </c>
      <c r="AF43" s="19"/>
    </row>
    <row r="44" spans="1:32" x14ac:dyDescent="0.3">
      <c r="A44" s="13" t="s">
        <v>26</v>
      </c>
      <c r="B44">
        <v>2018</v>
      </c>
      <c r="C44" s="14">
        <v>6971.1019999999999</v>
      </c>
      <c r="D44" s="10">
        <v>1.83486054285248E-3</v>
      </c>
      <c r="E44" s="12">
        <v>2.34683124705391E-4</v>
      </c>
      <c r="F44" s="10">
        <v>2.4922888805815799E-3</v>
      </c>
      <c r="G44" s="12">
        <v>0</v>
      </c>
      <c r="H44" s="10">
        <v>4.3612903670036699E-3</v>
      </c>
      <c r="I44" s="12">
        <v>1.2867692941517701E-2</v>
      </c>
      <c r="J44" s="10">
        <v>8.6190103085566697E-3</v>
      </c>
      <c r="K44" s="11">
        <v>2.47765704762317E-3</v>
      </c>
      <c r="L44" s="11">
        <v>0.22025972364197199</v>
      </c>
      <c r="M44" s="11">
        <v>1.50521395326019E-3</v>
      </c>
      <c r="N44" s="12">
        <v>3.3660388271467001E-3</v>
      </c>
      <c r="O44" s="10">
        <v>1.06955829939083E-3</v>
      </c>
      <c r="P44" s="12">
        <v>0</v>
      </c>
      <c r="Q44" s="10">
        <v>0</v>
      </c>
      <c r="R44" s="11">
        <v>0</v>
      </c>
      <c r="S44" s="11">
        <v>2.0740479769195699E-2</v>
      </c>
      <c r="T44" s="11">
        <v>0</v>
      </c>
      <c r="U44" s="10">
        <v>3.2286408799976391E-3</v>
      </c>
      <c r="V44" s="12">
        <v>1.4233304161116352E-2</v>
      </c>
      <c r="W44" s="10">
        <v>4.1678489283329997E-2</v>
      </c>
      <c r="X44" s="11">
        <v>3.3808141094478299E-3</v>
      </c>
      <c r="Y44" s="12">
        <v>1.1841312894288501E-2</v>
      </c>
      <c r="Z44" s="10">
        <v>0.645808940968013</v>
      </c>
      <c r="AA44" s="11">
        <v>0</v>
      </c>
      <c r="AB44" s="12">
        <v>0</v>
      </c>
      <c r="AC44" s="22">
        <f t="shared" si="0"/>
        <v>0.25701847426705249</v>
      </c>
      <c r="AF44" s="19"/>
    </row>
    <row r="45" spans="1:32" x14ac:dyDescent="0.3">
      <c r="A45" s="13" t="s">
        <v>26</v>
      </c>
      <c r="B45">
        <v>2019</v>
      </c>
      <c r="C45" s="14">
        <v>11787.614</v>
      </c>
      <c r="D45" s="10">
        <v>1.0701062997142601E-3</v>
      </c>
      <c r="E45" s="12">
        <v>1.65360012636993E-3</v>
      </c>
      <c r="F45" s="10">
        <v>1.3358937610274599E-3</v>
      </c>
      <c r="G45" s="12">
        <v>0</v>
      </c>
      <c r="H45" s="10">
        <v>4.3056211375771198E-3</v>
      </c>
      <c r="I45" s="12">
        <v>8.6326206474015895E-3</v>
      </c>
      <c r="J45" s="10">
        <v>6.0928360904929501E-4</v>
      </c>
      <c r="K45" s="11">
        <v>5.3445930618359196E-6</v>
      </c>
      <c r="L45" s="11">
        <v>0.165225803966774</v>
      </c>
      <c r="M45" s="11">
        <v>2.54504431515996E-7</v>
      </c>
      <c r="N45" s="12">
        <v>6.1607039388972197E-4</v>
      </c>
      <c r="O45" s="10">
        <v>8.0974826627339504E-4</v>
      </c>
      <c r="P45" s="12">
        <v>5.0052538198145997E-6</v>
      </c>
      <c r="Q45" s="10">
        <v>0</v>
      </c>
      <c r="R45" s="11">
        <v>0</v>
      </c>
      <c r="S45" s="11">
        <v>6.6245891662214298E-2</v>
      </c>
      <c r="T45" s="11">
        <v>0</v>
      </c>
      <c r="U45" s="10">
        <v>2.9497413365947044E-3</v>
      </c>
      <c r="V45" s="12">
        <v>1.6410095990908359E-3</v>
      </c>
      <c r="W45" s="10">
        <v>1.4661745795204999E-2</v>
      </c>
      <c r="X45" s="11">
        <v>6.0767174764969395E-4</v>
      </c>
      <c r="Y45" s="12">
        <v>1.7729033203835801E-2</v>
      </c>
      <c r="Z45" s="10">
        <v>0.71089365498395196</v>
      </c>
      <c r="AA45" s="11">
        <v>1.00189911206797E-3</v>
      </c>
      <c r="AB45" s="12">
        <v>0</v>
      </c>
      <c r="AC45" s="22">
        <f t="shared" si="0"/>
        <v>0.18154564613330573</v>
      </c>
      <c r="AF45" s="19"/>
    </row>
    <row r="46" spans="1:32" x14ac:dyDescent="0.3">
      <c r="A46" s="13" t="s">
        <v>26</v>
      </c>
      <c r="B46">
        <v>2020</v>
      </c>
      <c r="C46" s="14">
        <v>9571.5419999999995</v>
      </c>
      <c r="D46" s="10">
        <v>2.0677963905920299E-3</v>
      </c>
      <c r="E46" s="12">
        <v>1.8564406863596299E-3</v>
      </c>
      <c r="F46" s="10">
        <v>1.08070361076616E-3</v>
      </c>
      <c r="G46" s="12">
        <v>0</v>
      </c>
      <c r="H46" s="10">
        <v>5.3766676257597798E-3</v>
      </c>
      <c r="I46" s="12">
        <v>2.4384785648958098E-3</v>
      </c>
      <c r="J46" s="10">
        <v>2.2879281102250802E-3</v>
      </c>
      <c r="K46" s="11">
        <v>0</v>
      </c>
      <c r="L46" s="11">
        <v>0.242255323123484</v>
      </c>
      <c r="M46" s="11">
        <v>1.2523582929479899E-3</v>
      </c>
      <c r="N46" s="12">
        <v>1.84609752535171E-4</v>
      </c>
      <c r="O46" s="10">
        <v>1.1875829411812601E-3</v>
      </c>
      <c r="P46" s="12">
        <v>9.4028736435571194E-6</v>
      </c>
      <c r="Q46" s="10">
        <v>9.1812200071989002E-4</v>
      </c>
      <c r="R46" s="11">
        <v>0</v>
      </c>
      <c r="S46" s="11">
        <v>0.10562312286870609</v>
      </c>
      <c r="T46" s="11">
        <v>0</v>
      </c>
      <c r="U46" s="10">
        <v>3.5686458126809044E-3</v>
      </c>
      <c r="V46" s="12">
        <v>1.8421750301132335E-2</v>
      </c>
      <c r="W46" s="10">
        <v>3.9153565851771802E-3</v>
      </c>
      <c r="X46" s="11">
        <v>2.9765318900549099E-4</v>
      </c>
      <c r="Y46" s="12">
        <v>2.89489405155407E-2</v>
      </c>
      <c r="Z46" s="10">
        <v>0.57512990069938597</v>
      </c>
      <c r="AA46" s="11">
        <v>3.1792160552604801E-3</v>
      </c>
      <c r="AB46" s="12">
        <v>0</v>
      </c>
      <c r="AC46" s="22">
        <f t="shared" si="0"/>
        <v>0.2560730548954388</v>
      </c>
      <c r="AF46" s="19"/>
    </row>
    <row r="47" spans="1:32" x14ac:dyDescent="0.3">
      <c r="A47" s="13" t="s">
        <v>26</v>
      </c>
      <c r="B47">
        <v>2021</v>
      </c>
      <c r="C47" s="14">
        <v>12181.962</v>
      </c>
      <c r="D47" s="10">
        <v>8.06438240408236E-4</v>
      </c>
      <c r="E47" s="12">
        <v>2.2903535571691998E-3</v>
      </c>
      <c r="F47" s="10">
        <v>3.7736121652653303E-4</v>
      </c>
      <c r="G47" s="12">
        <v>0</v>
      </c>
      <c r="H47" s="10">
        <v>5.26113937968285E-3</v>
      </c>
      <c r="I47" s="12">
        <v>3.3435500783863901E-3</v>
      </c>
      <c r="J47" s="10">
        <v>7.4207258239682604E-3</v>
      </c>
      <c r="K47" s="11">
        <v>0</v>
      </c>
      <c r="L47" s="11">
        <v>0.157343702106442</v>
      </c>
      <c r="M47" s="11">
        <v>9.8021977083822794E-4</v>
      </c>
      <c r="N47" s="12">
        <v>1.3070965087561401E-3</v>
      </c>
      <c r="O47" s="10">
        <v>1.01001792650478E-3</v>
      </c>
      <c r="P47" s="12">
        <v>0</v>
      </c>
      <c r="Q47" s="10">
        <v>0</v>
      </c>
      <c r="R47" s="11">
        <v>0</v>
      </c>
      <c r="S47" s="11">
        <v>7.2628120166521606E-2</v>
      </c>
      <c r="T47" s="11">
        <v>0</v>
      </c>
      <c r="U47" s="10">
        <v>3.7520742298382073E-3</v>
      </c>
      <c r="V47" s="12">
        <v>2.5805972331134495E-2</v>
      </c>
      <c r="W47" s="10">
        <v>1.8253627781797399E-2</v>
      </c>
      <c r="X47" s="11">
        <v>2.57085024563367E-3</v>
      </c>
      <c r="Y47" s="12">
        <v>2.0543570896051098E-2</v>
      </c>
      <c r="Z47" s="10">
        <v>0.674413037899806</v>
      </c>
      <c r="AA47" s="11">
        <v>1.8921418405343901E-3</v>
      </c>
      <c r="AB47" s="12">
        <v>0</v>
      </c>
      <c r="AC47" s="22">
        <f t="shared" si="0"/>
        <v>0.17704381281110518</v>
      </c>
      <c r="AF47" s="19"/>
    </row>
    <row r="48" spans="1:32" x14ac:dyDescent="0.3">
      <c r="A48" s="13" t="s">
        <v>26</v>
      </c>
      <c r="B48">
        <v>2022</v>
      </c>
      <c r="C48" s="14">
        <v>5348.8490000000002</v>
      </c>
      <c r="D48" s="10">
        <v>4.3347643577150898E-3</v>
      </c>
      <c r="E48" s="12">
        <v>7.6838961054985795E-5</v>
      </c>
      <c r="F48" s="10">
        <v>4.39926421553497E-3</v>
      </c>
      <c r="G48" s="12">
        <v>0</v>
      </c>
      <c r="H48" s="10">
        <v>9.5886049503360396E-3</v>
      </c>
      <c r="I48" s="12">
        <v>1.3887099822784301E-2</v>
      </c>
      <c r="J48" s="10">
        <v>2.4413476618988499E-2</v>
      </c>
      <c r="K48" s="11">
        <v>0</v>
      </c>
      <c r="L48" s="11">
        <v>0.16054033306978799</v>
      </c>
      <c r="M48" s="11">
        <v>2.5182987966196102E-4</v>
      </c>
      <c r="N48" s="12">
        <v>3.6269485266830298E-4</v>
      </c>
      <c r="O48" s="10">
        <v>9.8899781990480605E-5</v>
      </c>
      <c r="P48" s="12">
        <v>0</v>
      </c>
      <c r="Q48" s="10">
        <v>0</v>
      </c>
      <c r="R48" s="11">
        <v>0</v>
      </c>
      <c r="S48" s="11">
        <v>6.5910067754763699E-2</v>
      </c>
      <c r="T48" s="11">
        <v>0</v>
      </c>
      <c r="U48" s="10">
        <v>4.1219327599206421E-3</v>
      </c>
      <c r="V48" s="12">
        <v>3.6810424837012821E-2</v>
      </c>
      <c r="W48" s="10">
        <v>1.8525667858636501E-2</v>
      </c>
      <c r="X48" s="11">
        <v>1.49340540366722E-3</v>
      </c>
      <c r="Y48" s="12">
        <v>2.0801671537184901E-2</v>
      </c>
      <c r="Z48" s="10">
        <v>0.62900803518663595</v>
      </c>
      <c r="AA48" s="11">
        <v>5.37498815165655E-3</v>
      </c>
      <c r="AB48" s="12">
        <v>0</v>
      </c>
      <c r="AC48" s="22">
        <f t="shared" si="0"/>
        <v>0.21354220319175254</v>
      </c>
      <c r="AF48" s="19"/>
    </row>
    <row r="49" spans="1:32" x14ac:dyDescent="0.3">
      <c r="A49" s="13" t="s">
        <v>26</v>
      </c>
      <c r="B49">
        <v>2023</v>
      </c>
      <c r="C49" s="14">
        <v>6717.83</v>
      </c>
      <c r="D49" s="10">
        <v>2.11824353995263E-4</v>
      </c>
      <c r="E49" s="12">
        <v>4.4523305888955199E-4</v>
      </c>
      <c r="F49" s="10">
        <v>3.3415552343539498E-3</v>
      </c>
      <c r="G49" s="12">
        <v>0</v>
      </c>
      <c r="H49" s="10">
        <v>5.0879525084737203E-3</v>
      </c>
      <c r="I49" s="12">
        <v>1.08206072496625E-2</v>
      </c>
      <c r="J49" s="10">
        <v>2.2917072923845899E-2</v>
      </c>
      <c r="K49" s="11">
        <v>1.4017919476974E-3</v>
      </c>
      <c r="L49" s="11">
        <v>0.19036310832515899</v>
      </c>
      <c r="M49" s="11">
        <v>6.54645919887821E-3</v>
      </c>
      <c r="N49" s="12">
        <v>4.8083979499332404E-3</v>
      </c>
      <c r="O49" s="10">
        <v>9.66532347499118E-4</v>
      </c>
      <c r="P49" s="12">
        <v>0</v>
      </c>
      <c r="Q49" s="10">
        <v>0</v>
      </c>
      <c r="R49" s="11">
        <v>0</v>
      </c>
      <c r="S49" s="11">
        <v>0.157256882058641</v>
      </c>
      <c r="T49" s="11">
        <v>0</v>
      </c>
      <c r="U49" s="10">
        <v>4.4360968755293389E-4</v>
      </c>
      <c r="V49" s="12">
        <v>1.4481001384772506E-2</v>
      </c>
      <c r="W49" s="10">
        <v>2.2738741528142301E-2</v>
      </c>
      <c r="X49" s="11">
        <v>0</v>
      </c>
      <c r="Y49" s="12">
        <v>4.8306372742388498E-2</v>
      </c>
      <c r="Z49" s="10">
        <v>0.49533137932933702</v>
      </c>
      <c r="AA49" s="11">
        <v>1.39047877067446E-2</v>
      </c>
      <c r="AB49" s="12">
        <v>6.2669046403377295E-4</v>
      </c>
      <c r="AC49" s="22">
        <f t="shared" si="0"/>
        <v>0.24625347768550301</v>
      </c>
      <c r="AF49" s="19"/>
    </row>
    <row r="50" spans="1:32" ht="15" thickBot="1" x14ac:dyDescent="0.35">
      <c r="A50" s="4" t="s">
        <v>26</v>
      </c>
      <c r="B50" s="5">
        <v>2024</v>
      </c>
      <c r="C50" s="15">
        <v>7804.3639999999996</v>
      </c>
      <c r="D50" s="16">
        <v>1.12611722750814E-3</v>
      </c>
      <c r="E50" s="17">
        <v>3.9737240966246801E-4</v>
      </c>
      <c r="F50" s="16">
        <v>6.5700568580300098E-4</v>
      </c>
      <c r="G50" s="17">
        <v>0</v>
      </c>
      <c r="H50" s="16">
        <v>4.6662874391792701E-3</v>
      </c>
      <c r="I50" s="17">
        <v>2.70455280163805E-2</v>
      </c>
      <c r="J50" s="16">
        <v>1.8538514593198299E-2</v>
      </c>
      <c r="K50" s="18">
        <v>3.2070511115773102E-3</v>
      </c>
      <c r="L50" s="18">
        <v>0.16252618889790499</v>
      </c>
      <c r="M50" s="18">
        <v>1.24763707900304E-7</v>
      </c>
      <c r="N50" s="17">
        <v>2.1998336976981601E-3</v>
      </c>
      <c r="O50" s="16">
        <v>7.4409075391741297E-4</v>
      </c>
      <c r="P50" s="17">
        <v>0</v>
      </c>
      <c r="Q50" s="16">
        <v>0</v>
      </c>
      <c r="R50" s="18">
        <v>0</v>
      </c>
      <c r="S50" s="18">
        <v>0.109753760493942</v>
      </c>
      <c r="T50" s="18">
        <v>0</v>
      </c>
      <c r="U50" s="16">
        <v>8.1812890629514752E-3</v>
      </c>
      <c r="V50" s="17">
        <v>6.4754077411071434E-2</v>
      </c>
      <c r="W50" s="16">
        <v>6.1943933335421898E-3</v>
      </c>
      <c r="X50" s="18">
        <v>1.04083498507607E-3</v>
      </c>
      <c r="Y50" s="17">
        <v>3.0585434426035001E-2</v>
      </c>
      <c r="Z50" s="16">
        <v>0.54102247337359599</v>
      </c>
      <c r="AA50" s="18">
        <v>1.7359622317248299E-2</v>
      </c>
      <c r="AB50" s="17">
        <v>0</v>
      </c>
      <c r="AC50" s="23">
        <f t="shared" si="0"/>
        <v>0.21958462495936684</v>
      </c>
      <c r="AF50" s="19"/>
    </row>
  </sheetData>
  <mergeCells count="11">
    <mergeCell ref="D8:I8"/>
    <mergeCell ref="J8:Y8"/>
    <mergeCell ref="Z8:AB9"/>
    <mergeCell ref="D9:E9"/>
    <mergeCell ref="F9:G9"/>
    <mergeCell ref="H9:I9"/>
    <mergeCell ref="J9:N9"/>
    <mergeCell ref="O9:P9"/>
    <mergeCell ref="Q9:V9"/>
    <mergeCell ref="W9:Y9"/>
    <mergeCell ref="AC8:AC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0E7D-EE94-47B9-929F-61F1C944D5D2}">
  <dimension ref="A1:AC50"/>
  <sheetViews>
    <sheetView topLeftCell="A28" zoomScale="70" zoomScaleNormal="70" workbookViewId="0">
      <selection activeCell="D23" sqref="D23"/>
    </sheetView>
  </sheetViews>
  <sheetFormatPr defaultRowHeight="14.4" x14ac:dyDescent="0.3"/>
  <cols>
    <col min="3" max="3" width="10.88671875" customWidth="1"/>
    <col min="11" max="11" width="10.88671875" customWidth="1"/>
    <col min="17" max="17" width="10" customWidth="1"/>
    <col min="18" max="18" width="10.5546875" customWidth="1"/>
    <col min="19" max="19" width="10.88671875" customWidth="1"/>
    <col min="20" max="20" width="10.6640625" customWidth="1"/>
    <col min="21" max="21" width="11.88671875" customWidth="1"/>
    <col min="26" max="26" width="12.21875" customWidth="1"/>
    <col min="27" max="27" width="10.21875" customWidth="1"/>
    <col min="29" max="29" width="12.5546875" customWidth="1"/>
  </cols>
  <sheetData>
    <row r="1" spans="1:29" x14ac:dyDescent="0.3">
      <c r="A1" t="s">
        <v>67</v>
      </c>
    </row>
    <row r="2" spans="1:29" x14ac:dyDescent="0.3">
      <c r="A2" t="s">
        <v>30</v>
      </c>
    </row>
    <row r="3" spans="1:29" x14ac:dyDescent="0.3">
      <c r="A3" t="s">
        <v>0</v>
      </c>
    </row>
    <row r="4" spans="1:29" x14ac:dyDescent="0.3">
      <c r="A4" t="s">
        <v>66</v>
      </c>
    </row>
    <row r="5" spans="1:29" x14ac:dyDescent="0.3">
      <c r="A5" t="s">
        <v>1</v>
      </c>
    </row>
    <row r="7" spans="1:29" ht="15" thickBot="1" x14ac:dyDescent="0.35">
      <c r="A7" t="s">
        <v>61</v>
      </c>
    </row>
    <row r="8" spans="1:29" ht="15" thickBot="1" x14ac:dyDescent="0.35">
      <c r="A8" s="1"/>
      <c r="B8" s="2"/>
      <c r="C8" s="3"/>
      <c r="D8" s="66" t="s">
        <v>2</v>
      </c>
      <c r="E8" s="67"/>
      <c r="F8" s="67"/>
      <c r="G8" s="67"/>
      <c r="H8" s="67"/>
      <c r="I8" s="68"/>
      <c r="J8" s="66" t="s">
        <v>3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69" t="s">
        <v>4</v>
      </c>
      <c r="AA8" s="70"/>
      <c r="AB8" s="71"/>
      <c r="AC8" s="64" t="s">
        <v>34</v>
      </c>
    </row>
    <row r="9" spans="1:29" ht="15" customHeight="1" thickBot="1" x14ac:dyDescent="0.35">
      <c r="A9" s="4"/>
      <c r="B9" s="5"/>
      <c r="C9" s="6"/>
      <c r="D9" s="61" t="s">
        <v>5</v>
      </c>
      <c r="E9" s="63"/>
      <c r="F9" s="61" t="s">
        <v>6</v>
      </c>
      <c r="G9" s="63"/>
      <c r="H9" s="61" t="s">
        <v>7</v>
      </c>
      <c r="I9" s="63"/>
      <c r="J9" s="61" t="s">
        <v>8</v>
      </c>
      <c r="K9" s="62"/>
      <c r="L9" s="62"/>
      <c r="M9" s="62"/>
      <c r="N9" s="63"/>
      <c r="O9" s="61" t="s">
        <v>9</v>
      </c>
      <c r="P9" s="63"/>
      <c r="Q9" s="61" t="s">
        <v>10</v>
      </c>
      <c r="R9" s="62"/>
      <c r="S9" s="62"/>
      <c r="T9" s="62"/>
      <c r="U9" s="62"/>
      <c r="V9" s="63"/>
      <c r="W9" s="61" t="s">
        <v>11</v>
      </c>
      <c r="X9" s="62"/>
      <c r="Y9" s="63"/>
      <c r="Z9" s="72"/>
      <c r="AA9" s="73"/>
      <c r="AB9" s="74"/>
      <c r="AC9" s="65"/>
    </row>
    <row r="10" spans="1:29" ht="43.8" thickBot="1" x14ac:dyDescent="0.35">
      <c r="A10" s="7" t="s">
        <v>12</v>
      </c>
      <c r="B10" s="8" t="s">
        <v>27</v>
      </c>
      <c r="C10" s="9" t="s">
        <v>13</v>
      </c>
      <c r="D10" s="7" t="s">
        <v>14</v>
      </c>
      <c r="E10" s="9" t="s">
        <v>15</v>
      </c>
      <c r="F10" s="7" t="s">
        <v>16</v>
      </c>
      <c r="G10" s="9" t="s">
        <v>17</v>
      </c>
      <c r="H10" s="7" t="s">
        <v>18</v>
      </c>
      <c r="I10" s="9" t="s">
        <v>19</v>
      </c>
      <c r="J10" s="7" t="s">
        <v>20</v>
      </c>
      <c r="K10" s="8" t="s">
        <v>21</v>
      </c>
      <c r="L10" s="8" t="s">
        <v>22</v>
      </c>
      <c r="M10" s="8" t="s">
        <v>7</v>
      </c>
      <c r="N10" s="9" t="s">
        <v>6</v>
      </c>
      <c r="O10" s="25" t="s">
        <v>36</v>
      </c>
      <c r="P10" s="25" t="s">
        <v>38</v>
      </c>
      <c r="Q10" s="7" t="s">
        <v>23</v>
      </c>
      <c r="R10" s="8" t="s">
        <v>53</v>
      </c>
      <c r="S10" s="8" t="s">
        <v>24</v>
      </c>
      <c r="T10" s="8" t="s">
        <v>25</v>
      </c>
      <c r="U10" s="7" t="s">
        <v>40</v>
      </c>
      <c r="V10" s="25" t="s">
        <v>55</v>
      </c>
      <c r="W10" s="7" t="s">
        <v>32</v>
      </c>
      <c r="X10" s="8" t="s">
        <v>31</v>
      </c>
      <c r="Y10" s="9" t="s">
        <v>39</v>
      </c>
      <c r="Z10" s="7" t="s">
        <v>4</v>
      </c>
      <c r="AA10" s="8" t="s">
        <v>28</v>
      </c>
      <c r="AB10" s="9" t="s">
        <v>29</v>
      </c>
      <c r="AC10" s="24" t="s">
        <v>33</v>
      </c>
    </row>
    <row r="11" spans="1:29" x14ac:dyDescent="0.3">
      <c r="A11" s="13" t="s">
        <v>41</v>
      </c>
      <c r="B11">
        <v>1985</v>
      </c>
      <c r="C11" s="14">
        <v>1768.788</v>
      </c>
      <c r="D11" s="10">
        <v>1.90243262618245E-3</v>
      </c>
      <c r="E11" s="12">
        <v>0</v>
      </c>
      <c r="F11" s="10">
        <v>1.1092341196344601E-2</v>
      </c>
      <c r="G11" s="12">
        <v>0</v>
      </c>
      <c r="H11" s="10">
        <v>0.22924963308208801</v>
      </c>
      <c r="I11" s="12">
        <v>4.3470444168549303E-3</v>
      </c>
      <c r="J11" s="10">
        <v>1.6960766355266999E-6</v>
      </c>
      <c r="K11" s="11">
        <v>0</v>
      </c>
      <c r="L11" s="11">
        <v>0.24195381244106101</v>
      </c>
      <c r="M11" s="11">
        <v>2.4089941813264198E-3</v>
      </c>
      <c r="N11" s="12">
        <v>2.20489962618471E-4</v>
      </c>
      <c r="O11" s="10">
        <v>3.7936146106825698E-2</v>
      </c>
      <c r="P11" s="12">
        <v>9.4390056920331894E-2</v>
      </c>
      <c r="Q11" s="10">
        <v>3.7110156785324202E-3</v>
      </c>
      <c r="R11" s="11">
        <v>0</v>
      </c>
      <c r="S11" s="11">
        <v>0</v>
      </c>
      <c r="T11" s="11">
        <v>0</v>
      </c>
      <c r="U11" s="10">
        <v>6.175703779195873E-3</v>
      </c>
      <c r="V11" s="12">
        <v>1.3599647124492471E-3</v>
      </c>
      <c r="W11" s="10">
        <v>1.0438786332788301E-2</v>
      </c>
      <c r="X11" s="11">
        <v>3.3976372521749301E-2</v>
      </c>
      <c r="Y11" s="12">
        <v>3.3814114523617302E-2</v>
      </c>
      <c r="Z11" s="10">
        <v>0.28702139544139799</v>
      </c>
      <c r="AA11" s="11">
        <v>0</v>
      </c>
      <c r="AB11" s="12">
        <v>0</v>
      </c>
      <c r="AC11" s="26">
        <f t="shared" ref="AC11:AC50" si="0">SUM(F11:P11)</f>
        <v>0.62160021438408652</v>
      </c>
    </row>
    <row r="12" spans="1:29" x14ac:dyDescent="0.3">
      <c r="A12" s="13" t="s">
        <v>41</v>
      </c>
      <c r="B12">
        <v>1986</v>
      </c>
      <c r="C12" s="14">
        <v>977.86300000000006</v>
      </c>
      <c r="D12" s="10">
        <v>1.5434677454817299E-2</v>
      </c>
      <c r="E12" s="12">
        <v>0</v>
      </c>
      <c r="F12" s="10">
        <v>4.1539561267785003E-3</v>
      </c>
      <c r="G12" s="12">
        <v>0</v>
      </c>
      <c r="H12" s="10">
        <v>0.16761550442137599</v>
      </c>
      <c r="I12" s="12">
        <v>5.0119495266719404E-3</v>
      </c>
      <c r="J12" s="10">
        <v>5.9353917675584403E-3</v>
      </c>
      <c r="K12" s="11">
        <v>0</v>
      </c>
      <c r="L12" s="11">
        <v>0.22231744119575</v>
      </c>
      <c r="M12" s="11">
        <v>0</v>
      </c>
      <c r="N12" s="12">
        <v>3.5546901764357602E-3</v>
      </c>
      <c r="O12" s="10">
        <v>5.2068643562544002E-2</v>
      </c>
      <c r="P12" s="12">
        <v>0.20399176571769301</v>
      </c>
      <c r="Q12" s="10">
        <v>0</v>
      </c>
      <c r="R12" s="11">
        <v>0</v>
      </c>
      <c r="S12" s="11">
        <v>0</v>
      </c>
      <c r="T12" s="11">
        <v>0</v>
      </c>
      <c r="U12" s="10">
        <v>4.9584300382377072E-2</v>
      </c>
      <c r="V12" s="12">
        <v>4.3598615298744295E-3</v>
      </c>
      <c r="W12" s="10">
        <v>2.23139642260726E-3</v>
      </c>
      <c r="X12" s="11">
        <v>9.9911746328473407E-3</v>
      </c>
      <c r="Y12" s="12">
        <v>3.8064636866309502E-2</v>
      </c>
      <c r="Z12" s="10">
        <v>0.21568461021636001</v>
      </c>
      <c r="AA12" s="11">
        <v>0</v>
      </c>
      <c r="AB12" s="12">
        <v>0</v>
      </c>
      <c r="AC12" s="20">
        <f t="shared" si="0"/>
        <v>0.66464934249480767</v>
      </c>
    </row>
    <row r="13" spans="1:29" x14ac:dyDescent="0.3">
      <c r="A13" s="13" t="s">
        <v>41</v>
      </c>
      <c r="B13">
        <v>1987</v>
      </c>
      <c r="C13" s="14">
        <v>623.09</v>
      </c>
      <c r="D13" s="10">
        <v>9.2731387119035797E-3</v>
      </c>
      <c r="E13" s="12">
        <v>1.2919481936798901E-3</v>
      </c>
      <c r="F13" s="10">
        <v>6.2591278948466496E-5</v>
      </c>
      <c r="G13" s="12">
        <v>0</v>
      </c>
      <c r="H13" s="10">
        <v>9.5926752154584405E-2</v>
      </c>
      <c r="I13" s="12">
        <v>1.17158034954822E-3</v>
      </c>
      <c r="J13" s="10">
        <v>4.04435956282399E-4</v>
      </c>
      <c r="K13" s="11">
        <v>5.2319889582564305E-4</v>
      </c>
      <c r="L13" s="11">
        <v>0.24317995795149999</v>
      </c>
      <c r="M13" s="11">
        <v>0</v>
      </c>
      <c r="N13" s="12">
        <v>0</v>
      </c>
      <c r="O13" s="10">
        <v>2.37574026224141E-2</v>
      </c>
      <c r="P13" s="12">
        <v>9.7218700348264298E-2</v>
      </c>
      <c r="Q13" s="10">
        <v>8.7162368197210693E-3</v>
      </c>
      <c r="R13" s="11">
        <v>0</v>
      </c>
      <c r="S13" s="11">
        <v>0</v>
      </c>
      <c r="T13" s="11">
        <v>0</v>
      </c>
      <c r="U13" s="10">
        <v>2.4163433222840057E-2</v>
      </c>
      <c r="V13" s="12">
        <v>1.1690135282512344E-2</v>
      </c>
      <c r="W13" s="10">
        <v>3.4012742942432103E-2</v>
      </c>
      <c r="X13" s="11">
        <v>6.4515559549984794E-2</v>
      </c>
      <c r="Y13" s="12">
        <v>1.93615689547256E-2</v>
      </c>
      <c r="Z13" s="10">
        <v>0.36473061676483298</v>
      </c>
      <c r="AA13" s="11">
        <v>0</v>
      </c>
      <c r="AB13" s="12">
        <v>0</v>
      </c>
      <c r="AC13" s="20">
        <f t="shared" si="0"/>
        <v>0.46224461955736751</v>
      </c>
    </row>
    <row r="14" spans="1:29" x14ac:dyDescent="0.3">
      <c r="A14" s="13" t="s">
        <v>41</v>
      </c>
      <c r="B14">
        <v>1988</v>
      </c>
      <c r="C14" s="14">
        <v>1645.424</v>
      </c>
      <c r="D14" s="10">
        <v>3.70056593315765E-3</v>
      </c>
      <c r="E14" s="12">
        <v>2.71601726971285E-3</v>
      </c>
      <c r="F14" s="10">
        <v>2.16175283695874E-3</v>
      </c>
      <c r="G14" s="12">
        <v>0</v>
      </c>
      <c r="H14" s="10">
        <v>0.119588628827585</v>
      </c>
      <c r="I14" s="12">
        <v>1.9016982856698301E-2</v>
      </c>
      <c r="J14" s="10">
        <v>1.0635556549558E-4</v>
      </c>
      <c r="K14" s="11">
        <v>6.1181798733943296E-3</v>
      </c>
      <c r="L14" s="11">
        <v>0.221116867141843</v>
      </c>
      <c r="M14" s="11">
        <v>9.8953218137088107E-3</v>
      </c>
      <c r="N14" s="12">
        <v>0</v>
      </c>
      <c r="O14" s="10">
        <v>3.7301631676698498E-2</v>
      </c>
      <c r="P14" s="12">
        <v>0.10252007993076601</v>
      </c>
      <c r="Q14" s="10">
        <v>3.5085181691770599E-3</v>
      </c>
      <c r="R14" s="11">
        <v>0</v>
      </c>
      <c r="S14" s="11">
        <v>0</v>
      </c>
      <c r="T14" s="11">
        <v>0</v>
      </c>
      <c r="U14" s="10">
        <v>1.6535857412401198E-2</v>
      </c>
      <c r="V14" s="12">
        <v>1.7242062442906648E-2</v>
      </c>
      <c r="W14" s="10">
        <v>4.7497787804237697E-2</v>
      </c>
      <c r="X14" s="11">
        <v>6.8600555236826496E-2</v>
      </c>
      <c r="Y14" s="12">
        <v>4.8820243292914199E-2</v>
      </c>
      <c r="Z14" s="10">
        <v>0.27355259191551801</v>
      </c>
      <c r="AA14" s="11">
        <v>0</v>
      </c>
      <c r="AB14" s="12">
        <v>0</v>
      </c>
      <c r="AC14" s="20">
        <f t="shared" si="0"/>
        <v>0.51782580052314819</v>
      </c>
    </row>
    <row r="15" spans="1:29" x14ac:dyDescent="0.3">
      <c r="A15" s="13" t="s">
        <v>41</v>
      </c>
      <c r="B15">
        <v>1989</v>
      </c>
      <c r="C15" s="14">
        <v>2439.9209999999998</v>
      </c>
      <c r="D15" s="10">
        <v>2.0467875804175599E-3</v>
      </c>
      <c r="E15" s="12">
        <v>4.5083426881444102E-6</v>
      </c>
      <c r="F15" s="10">
        <v>3.7132349776898498E-3</v>
      </c>
      <c r="G15" s="12">
        <v>0</v>
      </c>
      <c r="H15" s="10">
        <v>0.234732190099597</v>
      </c>
      <c r="I15" s="12">
        <v>1.0297464549057099E-2</v>
      </c>
      <c r="J15" s="10">
        <v>3.6902834149138402E-3</v>
      </c>
      <c r="K15" s="11">
        <v>2.26646682413078E-4</v>
      </c>
      <c r="L15" s="11">
        <v>0.21985301983138</v>
      </c>
      <c r="M15" s="11">
        <v>2.0492466764292798E-6</v>
      </c>
      <c r="N15" s="12">
        <v>0</v>
      </c>
      <c r="O15" s="10">
        <v>3.5005231726764903E-2</v>
      </c>
      <c r="P15" s="12">
        <v>6.0463433037381102E-2</v>
      </c>
      <c r="Q15" s="10">
        <v>0</v>
      </c>
      <c r="R15" s="11">
        <v>0</v>
      </c>
      <c r="S15" s="11">
        <v>0</v>
      </c>
      <c r="T15" s="11">
        <v>0</v>
      </c>
      <c r="U15" s="10">
        <v>2.0978199124912451E-2</v>
      </c>
      <c r="V15" s="12">
        <v>2.8942951074827348E-3</v>
      </c>
      <c r="W15" s="10">
        <v>6.6525514555594203E-2</v>
      </c>
      <c r="X15" s="11">
        <v>4.4664970710117297E-2</v>
      </c>
      <c r="Y15" s="12">
        <v>5.2098408104196803E-2</v>
      </c>
      <c r="Z15" s="10">
        <v>0.242802943210047</v>
      </c>
      <c r="AA15" s="11">
        <v>0</v>
      </c>
      <c r="AB15" s="12">
        <v>0</v>
      </c>
      <c r="AC15" s="20">
        <f t="shared" si="0"/>
        <v>0.56798355356587327</v>
      </c>
    </row>
    <row r="16" spans="1:29" x14ac:dyDescent="0.3">
      <c r="A16" s="13" t="s">
        <v>41</v>
      </c>
      <c r="B16">
        <v>1990</v>
      </c>
      <c r="C16" s="14">
        <v>3080.9690000000001</v>
      </c>
      <c r="D16" s="10">
        <v>5.0756758669107003E-3</v>
      </c>
      <c r="E16" s="12">
        <v>3.05098817936824E-5</v>
      </c>
      <c r="F16" s="10">
        <v>7.3983217617574204E-3</v>
      </c>
      <c r="G16" s="12">
        <v>0</v>
      </c>
      <c r="H16" s="10">
        <v>0.20050412711065899</v>
      </c>
      <c r="I16" s="12">
        <v>1.26466705766919E-2</v>
      </c>
      <c r="J16" s="10">
        <v>1.4897910365212999E-3</v>
      </c>
      <c r="K16" s="11">
        <v>4.1415541668871102E-4</v>
      </c>
      <c r="L16" s="11">
        <v>0.112273768415067</v>
      </c>
      <c r="M16" s="11">
        <v>3.2457321057108999E-7</v>
      </c>
      <c r="N16" s="12">
        <v>0</v>
      </c>
      <c r="O16" s="10">
        <v>1.54688346426076E-2</v>
      </c>
      <c r="P16" s="12">
        <v>5.5360829661057903E-2</v>
      </c>
      <c r="Q16" s="10">
        <v>3.12693831064188E-3</v>
      </c>
      <c r="R16" s="11">
        <v>0</v>
      </c>
      <c r="S16" s="11">
        <v>0</v>
      </c>
      <c r="T16" s="11">
        <v>0</v>
      </c>
      <c r="U16" s="10">
        <v>4.8237928996665933E-3</v>
      </c>
      <c r="V16" s="12">
        <v>8.2039266262358534E-3</v>
      </c>
      <c r="W16" s="10">
        <v>6.3539100847817706E-2</v>
      </c>
      <c r="X16" s="11">
        <v>2.61963038251927E-2</v>
      </c>
      <c r="Y16" s="12">
        <v>5.4490973456727397E-2</v>
      </c>
      <c r="Z16" s="10">
        <v>0.42895595509075202</v>
      </c>
      <c r="AA16" s="11">
        <v>0</v>
      </c>
      <c r="AB16" s="12">
        <v>0</v>
      </c>
      <c r="AC16" s="20">
        <f t="shared" si="0"/>
        <v>0.40555682319426145</v>
      </c>
    </row>
    <row r="17" spans="1:29" x14ac:dyDescent="0.3">
      <c r="A17" s="13" t="s">
        <v>41</v>
      </c>
      <c r="B17">
        <v>1991</v>
      </c>
      <c r="C17" s="14">
        <v>1681.097</v>
      </c>
      <c r="D17" s="10">
        <v>3.4739220877795898E-4</v>
      </c>
      <c r="E17" s="12">
        <v>1.1343783255814499E-3</v>
      </c>
      <c r="F17" s="10">
        <v>6.4243764637019797E-4</v>
      </c>
      <c r="G17" s="12">
        <v>0</v>
      </c>
      <c r="H17" s="10">
        <v>0.26809696287602702</v>
      </c>
      <c r="I17" s="12">
        <v>5.9484967256499796E-7</v>
      </c>
      <c r="J17" s="10">
        <v>1.68639882172177E-3</v>
      </c>
      <c r="K17" s="11">
        <v>3.0254054346655801E-3</v>
      </c>
      <c r="L17" s="11">
        <v>0.118341773258771</v>
      </c>
      <c r="M17" s="11">
        <v>0</v>
      </c>
      <c r="N17" s="12">
        <v>0</v>
      </c>
      <c r="O17" s="10">
        <v>3.92404483500952E-2</v>
      </c>
      <c r="P17" s="12">
        <v>8.8372057055601194E-2</v>
      </c>
      <c r="Q17" s="10">
        <v>3.63096240133675E-3</v>
      </c>
      <c r="R17" s="11">
        <v>0</v>
      </c>
      <c r="S17" s="11">
        <v>0</v>
      </c>
      <c r="T17" s="11">
        <v>0</v>
      </c>
      <c r="U17" s="10">
        <v>7.0679686967630448E-3</v>
      </c>
      <c r="V17" s="12">
        <v>5.5529568060485564E-3</v>
      </c>
      <c r="W17" s="10">
        <v>0.11744295540352501</v>
      </c>
      <c r="X17" s="11">
        <v>1.99310331289628E-2</v>
      </c>
      <c r="Y17" s="12">
        <v>4.97199150316728E-2</v>
      </c>
      <c r="Z17" s="10">
        <v>0.27576635970440699</v>
      </c>
      <c r="AA17" s="11">
        <v>0</v>
      </c>
      <c r="AB17" s="12">
        <v>0</v>
      </c>
      <c r="AC17" s="20">
        <f t="shared" si="0"/>
        <v>0.51940607829292451</v>
      </c>
    </row>
    <row r="18" spans="1:29" x14ac:dyDescent="0.3">
      <c r="A18" s="13" t="s">
        <v>41</v>
      </c>
      <c r="B18">
        <v>1992</v>
      </c>
      <c r="C18" s="14">
        <v>1723.4739999999999</v>
      </c>
      <c r="D18" s="10">
        <v>2.7966769443577298E-4</v>
      </c>
      <c r="E18" s="12">
        <v>1.7406702973180899E-6</v>
      </c>
      <c r="F18" s="10">
        <v>3.5347211504205998E-3</v>
      </c>
      <c r="G18" s="12">
        <v>0</v>
      </c>
      <c r="H18" s="10">
        <v>0.17553209389871899</v>
      </c>
      <c r="I18" s="12">
        <v>2.5819942743551702E-4</v>
      </c>
      <c r="J18" s="10">
        <v>9.1930600635692795E-3</v>
      </c>
      <c r="K18" s="11">
        <v>2.08880435678171E-5</v>
      </c>
      <c r="L18" s="11">
        <v>0.11059000599950999</v>
      </c>
      <c r="M18" s="11">
        <v>0</v>
      </c>
      <c r="N18" s="12">
        <v>0</v>
      </c>
      <c r="O18" s="10">
        <v>1.30109302490203E-2</v>
      </c>
      <c r="P18" s="12">
        <v>0.119353700723074</v>
      </c>
      <c r="Q18" s="10">
        <v>2.3754347324067599E-3</v>
      </c>
      <c r="R18" s="11">
        <v>0</v>
      </c>
      <c r="S18" s="11">
        <v>0</v>
      </c>
      <c r="T18" s="11">
        <v>0</v>
      </c>
      <c r="U18" s="10">
        <v>6.1328942216158817E-3</v>
      </c>
      <c r="V18" s="12">
        <v>6.7950909865468838E-4</v>
      </c>
      <c r="W18" s="10">
        <v>0.123922960253534</v>
      </c>
      <c r="X18" s="11">
        <v>9.9757814739299799E-3</v>
      </c>
      <c r="Y18" s="12">
        <v>7.2101464832077494E-2</v>
      </c>
      <c r="Z18" s="10">
        <v>0.35303694746773101</v>
      </c>
      <c r="AA18" s="11">
        <v>0</v>
      </c>
      <c r="AB18" s="12">
        <v>0</v>
      </c>
      <c r="AC18" s="20">
        <f t="shared" si="0"/>
        <v>0.43149359955531652</v>
      </c>
    </row>
    <row r="19" spans="1:29" x14ac:dyDescent="0.3">
      <c r="A19" s="13" t="s">
        <v>41</v>
      </c>
      <c r="B19">
        <v>1993</v>
      </c>
      <c r="C19" s="14">
        <v>1138.991</v>
      </c>
      <c r="D19" s="10">
        <v>8.6778561024626194E-3</v>
      </c>
      <c r="E19" s="12">
        <v>0</v>
      </c>
      <c r="F19" s="10">
        <v>2.98773212431003E-3</v>
      </c>
      <c r="G19" s="12">
        <v>0</v>
      </c>
      <c r="H19" s="10">
        <v>0.18337458329345899</v>
      </c>
      <c r="I19" s="12">
        <v>1.7559401259535901E-6</v>
      </c>
      <c r="J19" s="10">
        <v>1.7243332036864199E-3</v>
      </c>
      <c r="K19" s="11">
        <v>8.7797006297679303E-7</v>
      </c>
      <c r="L19" s="11">
        <v>8.0296508049668494E-2</v>
      </c>
      <c r="M19" s="11">
        <v>1.32573479509496E-4</v>
      </c>
      <c r="N19" s="12">
        <v>0</v>
      </c>
      <c r="O19" s="10">
        <v>1.0495254132824599E-2</v>
      </c>
      <c r="P19" s="12">
        <v>7.2570371495472796E-2</v>
      </c>
      <c r="Q19" s="10">
        <v>0</v>
      </c>
      <c r="R19" s="11">
        <v>0</v>
      </c>
      <c r="S19" s="11">
        <v>0</v>
      </c>
      <c r="T19" s="11">
        <v>0</v>
      </c>
      <c r="U19" s="10">
        <v>1.5957878646249996E-2</v>
      </c>
      <c r="V19" s="12">
        <v>3.7411356567603063E-3</v>
      </c>
      <c r="W19" s="10">
        <v>9.4939292759995506E-2</v>
      </c>
      <c r="X19" s="11">
        <v>6.0070711708872203E-3</v>
      </c>
      <c r="Y19" s="12">
        <v>2.1573480387465701E-2</v>
      </c>
      <c r="Z19" s="10">
        <v>0.49751929558705899</v>
      </c>
      <c r="AA19" s="11">
        <v>0</v>
      </c>
      <c r="AB19" s="12">
        <v>0</v>
      </c>
      <c r="AC19" s="20">
        <f t="shared" si="0"/>
        <v>0.35158398968911975</v>
      </c>
    </row>
    <row r="20" spans="1:29" x14ac:dyDescent="0.3">
      <c r="A20" s="13" t="s">
        <v>41</v>
      </c>
      <c r="B20">
        <v>1994</v>
      </c>
      <c r="C20" s="14">
        <v>421.01400000000001</v>
      </c>
      <c r="D20" s="10">
        <v>7.1256537787341998E-6</v>
      </c>
      <c r="E20" s="12">
        <v>0</v>
      </c>
      <c r="F20" s="10">
        <v>0</v>
      </c>
      <c r="G20" s="12">
        <v>0</v>
      </c>
      <c r="H20" s="10">
        <v>0.197618131463562</v>
      </c>
      <c r="I20" s="12">
        <v>2.0607390728099299E-2</v>
      </c>
      <c r="J20" s="10">
        <v>7.0377707154631397E-3</v>
      </c>
      <c r="K20" s="11">
        <v>0</v>
      </c>
      <c r="L20" s="11">
        <v>8.54009605381294E-2</v>
      </c>
      <c r="M20" s="11">
        <v>2.37521792624473E-6</v>
      </c>
      <c r="N20" s="12">
        <v>0</v>
      </c>
      <c r="O20" s="10">
        <v>3.5820661545696797E-2</v>
      </c>
      <c r="P20" s="12">
        <v>9.1393635366044806E-2</v>
      </c>
      <c r="Q20" s="10">
        <v>1.0436707567919401E-2</v>
      </c>
      <c r="R20" s="11">
        <v>0</v>
      </c>
      <c r="S20" s="11">
        <v>0</v>
      </c>
      <c r="T20" s="11">
        <v>0</v>
      </c>
      <c r="U20" s="10">
        <v>8.8950438542082372E-3</v>
      </c>
      <c r="V20" s="12">
        <v>1.0071071286855963E-2</v>
      </c>
      <c r="W20" s="10">
        <v>3.58040350202131E-2</v>
      </c>
      <c r="X20" s="11">
        <v>2.8963407392628301E-2</v>
      </c>
      <c r="Y20" s="12">
        <v>2.13769613362026E-2</v>
      </c>
      <c r="Z20" s="10">
        <v>0.44656472231327199</v>
      </c>
      <c r="AA20" s="11">
        <v>0</v>
      </c>
      <c r="AB20" s="12">
        <v>0</v>
      </c>
      <c r="AC20" s="20">
        <f t="shared" si="0"/>
        <v>0.43788092557492164</v>
      </c>
    </row>
    <row r="21" spans="1:29" x14ac:dyDescent="0.3">
      <c r="A21" s="13" t="s">
        <v>41</v>
      </c>
      <c r="B21">
        <v>1995</v>
      </c>
      <c r="C21" s="14">
        <v>440.94600000000003</v>
      </c>
      <c r="D21" s="10">
        <v>2.4651544633583298E-3</v>
      </c>
      <c r="E21" s="12">
        <v>0</v>
      </c>
      <c r="F21" s="10">
        <v>0</v>
      </c>
      <c r="G21" s="12">
        <v>0</v>
      </c>
      <c r="H21" s="10">
        <v>0.141742979866015</v>
      </c>
      <c r="I21" s="12">
        <v>1.43101422849963E-3</v>
      </c>
      <c r="J21" s="10">
        <v>5.2069867965691902E-3</v>
      </c>
      <c r="K21" s="11">
        <v>1.6305851510162201E-3</v>
      </c>
      <c r="L21" s="11">
        <v>0.193527098556286</v>
      </c>
      <c r="M21" s="11">
        <v>6.8330362448009501E-3</v>
      </c>
      <c r="N21" s="12">
        <v>0</v>
      </c>
      <c r="O21" s="10">
        <v>2.3002816671429199E-2</v>
      </c>
      <c r="P21" s="12">
        <v>3.0389208655935202E-4</v>
      </c>
      <c r="Q21" s="10">
        <v>7.4181419039973098E-3</v>
      </c>
      <c r="R21" s="11">
        <v>0</v>
      </c>
      <c r="S21" s="11">
        <v>0</v>
      </c>
      <c r="T21" s="11">
        <v>0</v>
      </c>
      <c r="U21" s="10">
        <v>8.230322215360757E-3</v>
      </c>
      <c r="V21" s="12">
        <v>1.1438752909484443E-2</v>
      </c>
      <c r="W21" s="10">
        <v>8.0370385489379706E-2</v>
      </c>
      <c r="X21" s="11">
        <v>2.95274251268863E-2</v>
      </c>
      <c r="Y21" s="12">
        <v>5.3326257636989602E-2</v>
      </c>
      <c r="Z21" s="10">
        <v>0.38818812280868897</v>
      </c>
      <c r="AA21" s="11">
        <v>4.5357027844679397E-2</v>
      </c>
      <c r="AB21" s="12">
        <v>0</v>
      </c>
      <c r="AC21" s="20">
        <f t="shared" si="0"/>
        <v>0.37367840960117549</v>
      </c>
    </row>
    <row r="22" spans="1:29" x14ac:dyDescent="0.3">
      <c r="A22" s="13" t="s">
        <v>41</v>
      </c>
      <c r="B22">
        <v>1996</v>
      </c>
      <c r="C22" s="14">
        <v>1108.9860000000001</v>
      </c>
      <c r="D22" s="10">
        <v>1.71057163931736E-3</v>
      </c>
      <c r="E22" s="12">
        <v>1.2227386098652301E-3</v>
      </c>
      <c r="F22" s="10">
        <v>2.8133808722562799E-4</v>
      </c>
      <c r="G22" s="12">
        <v>0</v>
      </c>
      <c r="H22" s="10">
        <v>1.85881516989394E-2</v>
      </c>
      <c r="I22" s="12">
        <v>3.1839896986977298E-3</v>
      </c>
      <c r="J22" s="10">
        <v>3.29400010460006E-3</v>
      </c>
      <c r="K22" s="11">
        <v>3.1109500029756899E-4</v>
      </c>
      <c r="L22" s="11">
        <v>0.17306169780321801</v>
      </c>
      <c r="M22" s="11">
        <v>3.4373743221285001E-3</v>
      </c>
      <c r="N22" s="12">
        <v>0</v>
      </c>
      <c r="O22" s="10">
        <v>6.5582432961281698E-3</v>
      </c>
      <c r="P22" s="12">
        <v>1.3075007258883301E-4</v>
      </c>
      <c r="Q22" s="10">
        <v>0</v>
      </c>
      <c r="R22" s="11">
        <v>0</v>
      </c>
      <c r="S22" s="11">
        <v>0</v>
      </c>
      <c r="T22" s="11">
        <v>0</v>
      </c>
      <c r="U22" s="10">
        <v>3.7278577113095393E-3</v>
      </c>
      <c r="V22" s="12">
        <v>2.7219278527022036E-4</v>
      </c>
      <c r="W22" s="10">
        <v>4.7189955508906298E-2</v>
      </c>
      <c r="X22" s="11">
        <v>9.9189710239804701E-6</v>
      </c>
      <c r="Y22" s="12">
        <v>6.3891699264012405E-2</v>
      </c>
      <c r="Z22" s="10">
        <v>0.67222670078792701</v>
      </c>
      <c r="AA22" s="11">
        <v>9.0172463854367899E-4</v>
      </c>
      <c r="AB22" s="12">
        <v>0</v>
      </c>
      <c r="AC22" s="20">
        <f t="shared" si="0"/>
        <v>0.20884664008382392</v>
      </c>
    </row>
    <row r="23" spans="1:29" x14ac:dyDescent="0.3">
      <c r="A23" s="13" t="s">
        <v>41</v>
      </c>
      <c r="B23">
        <v>1997</v>
      </c>
      <c r="C23" s="14">
        <v>802.11800000000005</v>
      </c>
      <c r="D23" s="10">
        <v>1.6569881239418601E-2</v>
      </c>
      <c r="E23" s="12">
        <v>5.1239343837191005E-4</v>
      </c>
      <c r="F23" s="10">
        <v>0</v>
      </c>
      <c r="G23" s="12">
        <v>0</v>
      </c>
      <c r="H23" s="10">
        <v>0.104315075836722</v>
      </c>
      <c r="I23" s="12">
        <v>3.6639247592000199E-2</v>
      </c>
      <c r="J23" s="10">
        <v>1.1022069072131499E-2</v>
      </c>
      <c r="K23" s="11">
        <v>3.22645795257057E-3</v>
      </c>
      <c r="L23" s="11">
        <v>0.166717365774113</v>
      </c>
      <c r="M23" s="11">
        <v>1.6032553813778E-3</v>
      </c>
      <c r="N23" s="12">
        <v>0</v>
      </c>
      <c r="O23" s="10">
        <v>1.2316143011377401E-2</v>
      </c>
      <c r="P23" s="12">
        <v>1.43495096731404E-3</v>
      </c>
      <c r="Q23" s="10">
        <v>0</v>
      </c>
      <c r="R23" s="11">
        <v>0</v>
      </c>
      <c r="S23" s="11">
        <v>0</v>
      </c>
      <c r="T23" s="11">
        <v>0</v>
      </c>
      <c r="U23" s="10">
        <v>2.3073109959758229E-2</v>
      </c>
      <c r="V23" s="12">
        <v>3.2245029446867086E-4</v>
      </c>
      <c r="W23" s="10">
        <v>0.109766892153025</v>
      </c>
      <c r="X23" s="11">
        <v>3.1219845459146901E-2</v>
      </c>
      <c r="Y23" s="12">
        <v>6.2282606798500999E-2</v>
      </c>
      <c r="Z23" s="10">
        <v>0.41897825506970299</v>
      </c>
      <c r="AA23" s="11">
        <v>0</v>
      </c>
      <c r="AB23" s="12">
        <v>0</v>
      </c>
      <c r="AC23" s="20">
        <f t="shared" si="0"/>
        <v>0.33727456558760655</v>
      </c>
    </row>
    <row r="24" spans="1:29" x14ac:dyDescent="0.3">
      <c r="A24" s="13" t="s">
        <v>41</v>
      </c>
      <c r="B24">
        <v>1998</v>
      </c>
      <c r="C24" s="14">
        <v>1237.55</v>
      </c>
      <c r="D24" s="10">
        <v>8.2235061209648096E-3</v>
      </c>
      <c r="E24" s="12">
        <v>8.0804815967031692E-6</v>
      </c>
      <c r="F24" s="10">
        <v>2.3595006262373201E-4</v>
      </c>
      <c r="G24" s="12">
        <v>0</v>
      </c>
      <c r="H24" s="10">
        <v>8.6566199345480994E-3</v>
      </c>
      <c r="I24" s="12">
        <v>1.5975112116682201E-3</v>
      </c>
      <c r="J24" s="10">
        <v>2.47262736859117E-3</v>
      </c>
      <c r="K24" s="11">
        <v>1.7461920730475499E-3</v>
      </c>
      <c r="L24" s="11">
        <v>5.0456143186133902E-2</v>
      </c>
      <c r="M24" s="11">
        <v>1.87467173043513E-4</v>
      </c>
      <c r="N24" s="12">
        <v>0</v>
      </c>
      <c r="O24" s="10">
        <v>2.5291907397680899E-4</v>
      </c>
      <c r="P24" s="12">
        <v>4.1662963112601504E-3</v>
      </c>
      <c r="Q24" s="10">
        <v>0</v>
      </c>
      <c r="R24" s="11">
        <v>0</v>
      </c>
      <c r="S24" s="11">
        <v>0</v>
      </c>
      <c r="T24" s="11">
        <v>0</v>
      </c>
      <c r="U24" s="10">
        <v>2.6222122338491393E-3</v>
      </c>
      <c r="V24" s="12">
        <v>3.8534301644378032E-4</v>
      </c>
      <c r="W24" s="10">
        <v>6.2754636176316103E-2</v>
      </c>
      <c r="X24" s="11">
        <v>1.7405357359298601E-3</v>
      </c>
      <c r="Y24" s="12">
        <v>4.7020322411215698E-3</v>
      </c>
      <c r="Z24" s="10">
        <v>0.84127509999595995</v>
      </c>
      <c r="AA24" s="11">
        <v>8.5168276029251398E-3</v>
      </c>
      <c r="AB24" s="12">
        <v>0</v>
      </c>
      <c r="AC24" s="20">
        <f t="shared" si="0"/>
        <v>6.9771726394893152E-2</v>
      </c>
    </row>
    <row r="25" spans="1:29" x14ac:dyDescent="0.3">
      <c r="A25" s="13" t="s">
        <v>41</v>
      </c>
      <c r="B25">
        <v>1999</v>
      </c>
      <c r="C25" s="14">
        <v>1238.7439999999999</v>
      </c>
      <c r="D25" s="10">
        <v>3.1112158767267499E-3</v>
      </c>
      <c r="E25" s="12">
        <v>2.11504556227921E-3</v>
      </c>
      <c r="F25" s="10">
        <v>3.9523904858469504E-3</v>
      </c>
      <c r="G25" s="12">
        <v>0</v>
      </c>
      <c r="H25" s="10">
        <v>7.3235470767164202E-3</v>
      </c>
      <c r="I25" s="12">
        <v>1.29243814702634E-2</v>
      </c>
      <c r="J25" s="10">
        <v>2.3289719264028702E-3</v>
      </c>
      <c r="K25" s="11">
        <v>7.6698656058071697E-3</v>
      </c>
      <c r="L25" s="11">
        <v>8.9028887324580405E-2</v>
      </c>
      <c r="M25" s="11">
        <v>6.1917555201074599E-3</v>
      </c>
      <c r="N25" s="12">
        <v>0</v>
      </c>
      <c r="O25" s="10">
        <v>0</v>
      </c>
      <c r="P25" s="12">
        <v>2.7164611897212E-3</v>
      </c>
      <c r="Q25" s="10">
        <v>2.1570235658053601E-3</v>
      </c>
      <c r="R25" s="11">
        <v>0</v>
      </c>
      <c r="S25" s="11">
        <v>0</v>
      </c>
      <c r="T25" s="11">
        <v>0</v>
      </c>
      <c r="U25" s="10">
        <v>5.7521669123037477E-3</v>
      </c>
      <c r="V25" s="12">
        <v>6.2929689296998268E-4</v>
      </c>
      <c r="W25" s="10">
        <v>0.13732215857352301</v>
      </c>
      <c r="X25" s="11">
        <v>8.3891425508418205E-3</v>
      </c>
      <c r="Y25" s="12">
        <v>9.5588757644840192E-3</v>
      </c>
      <c r="Z25" s="10">
        <v>0.69024754105771602</v>
      </c>
      <c r="AA25" s="11">
        <v>8.5812726439038305E-3</v>
      </c>
      <c r="AB25" s="12">
        <v>0</v>
      </c>
      <c r="AC25" s="20">
        <f t="shared" si="0"/>
        <v>0.13213626059944586</v>
      </c>
    </row>
    <row r="26" spans="1:29" x14ac:dyDescent="0.3">
      <c r="A26" s="13" t="s">
        <v>41</v>
      </c>
      <c r="B26">
        <v>2000</v>
      </c>
      <c r="C26" s="14">
        <v>584.38099999999997</v>
      </c>
      <c r="D26" s="10">
        <v>1.5926253591407001E-2</v>
      </c>
      <c r="E26" s="12">
        <v>1.24405139797495E-3</v>
      </c>
      <c r="F26" s="10">
        <v>4.9094683092023904E-3</v>
      </c>
      <c r="G26" s="12">
        <v>0</v>
      </c>
      <c r="H26" s="10">
        <v>0.13339242720074701</v>
      </c>
      <c r="I26" s="12">
        <v>4.2614321820866899E-2</v>
      </c>
      <c r="J26" s="10">
        <v>0</v>
      </c>
      <c r="K26" s="11">
        <v>1.02672742611413E-4</v>
      </c>
      <c r="L26" s="11">
        <v>0.11500545021142</v>
      </c>
      <c r="M26" s="11">
        <v>0</v>
      </c>
      <c r="N26" s="12">
        <v>0</v>
      </c>
      <c r="O26" s="10">
        <v>0</v>
      </c>
      <c r="P26" s="12">
        <v>9.0694255973414593E-5</v>
      </c>
      <c r="Q26" s="10">
        <v>0</v>
      </c>
      <c r="R26" s="11">
        <v>0</v>
      </c>
      <c r="S26" s="11">
        <v>0</v>
      </c>
      <c r="T26" s="11">
        <v>0</v>
      </c>
      <c r="U26" s="10">
        <v>0</v>
      </c>
      <c r="V26" s="12">
        <v>0</v>
      </c>
      <c r="W26" s="10">
        <v>0.15226709971747901</v>
      </c>
      <c r="X26" s="11">
        <v>5.3868965623454597E-3</v>
      </c>
      <c r="Y26" s="12">
        <v>1.4488835194847199E-2</v>
      </c>
      <c r="Z26" s="10">
        <v>0.51457182899512499</v>
      </c>
      <c r="AA26" s="11">
        <v>0</v>
      </c>
      <c r="AB26" s="12">
        <v>0</v>
      </c>
      <c r="AC26" s="20">
        <f t="shared" si="0"/>
        <v>0.29611503454082111</v>
      </c>
    </row>
    <row r="27" spans="1:29" x14ac:dyDescent="0.3">
      <c r="A27" s="13" t="s">
        <v>41</v>
      </c>
      <c r="B27">
        <v>2001</v>
      </c>
      <c r="C27" s="14">
        <v>930.33399999999995</v>
      </c>
      <c r="D27" s="10">
        <v>4.3607994548194497E-3</v>
      </c>
      <c r="E27" s="12">
        <v>1.6123241760486001E-5</v>
      </c>
      <c r="F27" s="10">
        <v>2.7946952384842402E-4</v>
      </c>
      <c r="G27" s="12">
        <v>0</v>
      </c>
      <c r="H27" s="10">
        <v>6.4951941990725903E-2</v>
      </c>
      <c r="I27" s="12">
        <v>2.2380134446338601E-2</v>
      </c>
      <c r="J27" s="10">
        <v>5.6323857883297805E-4</v>
      </c>
      <c r="K27" s="11">
        <v>2.1497655680647999E-6</v>
      </c>
      <c r="L27" s="11">
        <v>5.52500499820495E-2</v>
      </c>
      <c r="M27" s="11">
        <v>7.8788908069574995E-4</v>
      </c>
      <c r="N27" s="12">
        <v>0</v>
      </c>
      <c r="O27" s="10">
        <v>1.2984584031111399E-3</v>
      </c>
      <c r="P27" s="12">
        <v>0</v>
      </c>
      <c r="Q27" s="10">
        <v>0</v>
      </c>
      <c r="R27" s="11">
        <v>0</v>
      </c>
      <c r="S27" s="11">
        <v>0</v>
      </c>
      <c r="T27" s="11">
        <v>0</v>
      </c>
      <c r="U27" s="10">
        <v>8.0663105957056197E-7</v>
      </c>
      <c r="V27" s="12">
        <v>2.6825172446183803E-7</v>
      </c>
      <c r="W27" s="10">
        <v>6.9734095496886098E-2</v>
      </c>
      <c r="X27" s="11">
        <v>1.05026796827806E-2</v>
      </c>
      <c r="Y27" s="12">
        <v>3.3978119686048198E-2</v>
      </c>
      <c r="Z27" s="10">
        <v>0.73029363647894197</v>
      </c>
      <c r="AA27" s="11">
        <v>5.6001393048088098E-3</v>
      </c>
      <c r="AB27" s="12">
        <v>0</v>
      </c>
      <c r="AC27" s="20">
        <f t="shared" si="0"/>
        <v>0.14551333177117035</v>
      </c>
    </row>
    <row r="28" spans="1:29" x14ac:dyDescent="0.3">
      <c r="A28" s="13" t="s">
        <v>41</v>
      </c>
      <c r="B28">
        <v>2002</v>
      </c>
      <c r="C28" s="14">
        <v>492.34100000000001</v>
      </c>
      <c r="D28" s="10">
        <v>4.9335724629880496E-3</v>
      </c>
      <c r="E28" s="12">
        <v>0</v>
      </c>
      <c r="F28" s="10">
        <v>6.1136488734434002E-4</v>
      </c>
      <c r="G28" s="12">
        <v>0</v>
      </c>
      <c r="H28" s="10">
        <v>9.3258534227293702E-2</v>
      </c>
      <c r="I28" s="12">
        <v>2.3956972911051502E-2</v>
      </c>
      <c r="J28" s="10">
        <v>4.0622251650786703E-6</v>
      </c>
      <c r="K28" s="11">
        <v>0</v>
      </c>
      <c r="L28" s="11">
        <v>5.5435155715246098E-2</v>
      </c>
      <c r="M28" s="11">
        <v>2.0311125825393398E-6</v>
      </c>
      <c r="N28" s="12">
        <v>0</v>
      </c>
      <c r="O28" s="10">
        <v>5.4114932536595599E-2</v>
      </c>
      <c r="P28" s="12">
        <v>0</v>
      </c>
      <c r="Q28" s="10">
        <v>0</v>
      </c>
      <c r="R28" s="11">
        <v>0</v>
      </c>
      <c r="S28" s="11">
        <v>0</v>
      </c>
      <c r="T28" s="11">
        <v>0</v>
      </c>
      <c r="U28" s="10">
        <v>6.4493181276061417E-3</v>
      </c>
      <c r="V28" s="12">
        <v>2.5566350633732787E-3</v>
      </c>
      <c r="W28" s="10">
        <v>0.11881602385338599</v>
      </c>
      <c r="X28" s="11">
        <v>1.9236667269230099E-2</v>
      </c>
      <c r="Y28" s="12">
        <v>3.2723254817291297E-2</v>
      </c>
      <c r="Z28" s="10">
        <v>0.58578911770500497</v>
      </c>
      <c r="AA28" s="11">
        <v>2.1123570858409099E-3</v>
      </c>
      <c r="AB28" s="12">
        <v>0</v>
      </c>
      <c r="AC28" s="20">
        <f t="shared" si="0"/>
        <v>0.22738305361527886</v>
      </c>
    </row>
    <row r="29" spans="1:29" x14ac:dyDescent="0.3">
      <c r="A29" s="13" t="s">
        <v>41</v>
      </c>
      <c r="B29">
        <v>2003</v>
      </c>
      <c r="C29" s="14">
        <v>438.40899999999999</v>
      </c>
      <c r="D29" s="10">
        <v>1.36333880007025E-2</v>
      </c>
      <c r="E29" s="12">
        <v>0</v>
      </c>
      <c r="F29" s="10">
        <v>1.1336446103980501E-3</v>
      </c>
      <c r="G29" s="12">
        <v>0</v>
      </c>
      <c r="H29" s="10">
        <v>0.108515108038384</v>
      </c>
      <c r="I29" s="12">
        <v>4.8390886136005402E-2</v>
      </c>
      <c r="J29" s="10">
        <v>2.4358532785595199E-2</v>
      </c>
      <c r="K29" s="11">
        <v>4.52089259116487E-3</v>
      </c>
      <c r="L29" s="11">
        <v>4.5539667296976102E-2</v>
      </c>
      <c r="M29" s="11">
        <v>1.23400751353188E-2</v>
      </c>
      <c r="N29" s="12">
        <v>0</v>
      </c>
      <c r="O29" s="10">
        <v>0</v>
      </c>
      <c r="P29" s="12">
        <v>0</v>
      </c>
      <c r="Q29" s="10">
        <v>0</v>
      </c>
      <c r="R29" s="11">
        <v>0</v>
      </c>
      <c r="S29" s="11">
        <v>0</v>
      </c>
      <c r="T29" s="11">
        <v>0</v>
      </c>
      <c r="U29" s="10">
        <v>1.1356267546947909E-2</v>
      </c>
      <c r="V29" s="12">
        <v>4.9139276360888919E-3</v>
      </c>
      <c r="W29" s="10">
        <v>9.5217023373151494E-2</v>
      </c>
      <c r="X29" s="11">
        <v>2.7348891103969098E-3</v>
      </c>
      <c r="Y29" s="12">
        <v>3.63359328845895E-2</v>
      </c>
      <c r="Z29" s="10">
        <v>0.58601442944830096</v>
      </c>
      <c r="AA29" s="11">
        <v>4.99533540597935E-3</v>
      </c>
      <c r="AB29" s="12">
        <v>0</v>
      </c>
      <c r="AC29" s="20">
        <f t="shared" si="0"/>
        <v>0.24479880659384243</v>
      </c>
    </row>
    <row r="30" spans="1:29" x14ac:dyDescent="0.3">
      <c r="A30" s="13" t="s">
        <v>41</v>
      </c>
      <c r="B30">
        <v>2004</v>
      </c>
      <c r="C30" s="14">
        <v>569.00900000000001</v>
      </c>
      <c r="D30" s="10">
        <v>1.43424796444344E-2</v>
      </c>
      <c r="E30" s="12">
        <v>0</v>
      </c>
      <c r="F30" s="10">
        <v>8.1510134286100905E-3</v>
      </c>
      <c r="G30" s="12">
        <v>0</v>
      </c>
      <c r="H30" s="10">
        <v>0.17516594640858099</v>
      </c>
      <c r="I30" s="12">
        <v>6.6770472874770004E-2</v>
      </c>
      <c r="J30" s="10">
        <v>7.9418778964831793E-3</v>
      </c>
      <c r="K30" s="11">
        <v>1.75744144644461E-3</v>
      </c>
      <c r="L30" s="11">
        <v>9.6676853968917908E-3</v>
      </c>
      <c r="M30" s="11">
        <v>0</v>
      </c>
      <c r="N30" s="12">
        <v>0</v>
      </c>
      <c r="O30" s="10">
        <v>1.75744144644461E-6</v>
      </c>
      <c r="P30" s="12">
        <v>0</v>
      </c>
      <c r="Q30" s="10">
        <v>0</v>
      </c>
      <c r="R30" s="11">
        <v>0</v>
      </c>
      <c r="S30" s="11">
        <v>0</v>
      </c>
      <c r="T30" s="11">
        <v>0</v>
      </c>
      <c r="U30" s="10">
        <v>2.192954889978295E-2</v>
      </c>
      <c r="V30" s="12">
        <v>2.3161132953668498E-3</v>
      </c>
      <c r="W30" s="10">
        <v>0.148173403232638</v>
      </c>
      <c r="X30" s="11">
        <v>1.7012033201583799E-3</v>
      </c>
      <c r="Y30" s="12">
        <v>3.6140025904686901E-2</v>
      </c>
      <c r="Z30" s="10">
        <v>0.50594103080970598</v>
      </c>
      <c r="AA30" s="11">
        <v>0</v>
      </c>
      <c r="AB30" s="12">
        <v>0</v>
      </c>
      <c r="AC30" s="20">
        <f t="shared" si="0"/>
        <v>0.26945619489322709</v>
      </c>
    </row>
    <row r="31" spans="1:29" x14ac:dyDescent="0.3">
      <c r="A31" s="13" t="s">
        <v>41</v>
      </c>
      <c r="B31">
        <v>2005</v>
      </c>
      <c r="C31" s="14">
        <v>868.25900000000001</v>
      </c>
      <c r="D31" s="10">
        <v>6.0696174758914103E-4</v>
      </c>
      <c r="E31" s="12">
        <v>0</v>
      </c>
      <c r="F31" s="10">
        <v>2.3794743273608501E-3</v>
      </c>
      <c r="G31" s="12">
        <v>0</v>
      </c>
      <c r="H31" s="10">
        <v>0.12381904477811299</v>
      </c>
      <c r="I31" s="12">
        <v>0.10483507801243599</v>
      </c>
      <c r="J31" s="10">
        <v>3.8672792335006E-2</v>
      </c>
      <c r="K31" s="11">
        <v>1.3872588709129399E-2</v>
      </c>
      <c r="L31" s="11">
        <v>9.2885878522422499E-2</v>
      </c>
      <c r="M31" s="11">
        <v>4.2729185646218503E-4</v>
      </c>
      <c r="N31" s="12">
        <v>0</v>
      </c>
      <c r="O31" s="10">
        <v>0</v>
      </c>
      <c r="P31" s="12">
        <v>0</v>
      </c>
      <c r="Q31" s="10">
        <v>0</v>
      </c>
      <c r="R31" s="11">
        <v>0</v>
      </c>
      <c r="S31" s="11">
        <v>0</v>
      </c>
      <c r="T31" s="11">
        <v>0</v>
      </c>
      <c r="U31" s="10">
        <v>4.1338446363177975E-2</v>
      </c>
      <c r="V31" s="12">
        <v>2.043770233482727E-3</v>
      </c>
      <c r="W31" s="10">
        <v>5.68966172536075E-2</v>
      </c>
      <c r="X31" s="11">
        <v>3.24787880114113E-3</v>
      </c>
      <c r="Y31" s="12">
        <v>2.4545671280113399E-2</v>
      </c>
      <c r="Z31" s="10">
        <v>0.483959279431598</v>
      </c>
      <c r="AA31" s="11">
        <v>1.0469226348359201E-2</v>
      </c>
      <c r="AB31" s="12">
        <v>0</v>
      </c>
      <c r="AC31" s="20">
        <f t="shared" si="0"/>
        <v>0.37689214854092989</v>
      </c>
    </row>
    <row r="32" spans="1:29" x14ac:dyDescent="0.3">
      <c r="A32" s="13" t="s">
        <v>41</v>
      </c>
      <c r="B32">
        <v>2006</v>
      </c>
      <c r="C32" s="14">
        <v>445.90699999999998</v>
      </c>
      <c r="D32" s="10">
        <v>1.05021899185256E-2</v>
      </c>
      <c r="E32" s="12">
        <v>0</v>
      </c>
      <c r="F32" s="10">
        <v>6.9498796834317504E-3</v>
      </c>
      <c r="G32" s="12">
        <v>0</v>
      </c>
      <c r="H32" s="10">
        <v>0.19363006187388801</v>
      </c>
      <c r="I32" s="12">
        <v>0.11474814254990399</v>
      </c>
      <c r="J32" s="10">
        <v>2.6489828596545899E-2</v>
      </c>
      <c r="K32" s="11">
        <v>6.7278602937383801E-6</v>
      </c>
      <c r="L32" s="11">
        <v>1.1993532283637601E-2</v>
      </c>
      <c r="M32" s="11">
        <v>4.4852401958255904E-6</v>
      </c>
      <c r="N32" s="12">
        <v>0</v>
      </c>
      <c r="O32" s="10">
        <v>0</v>
      </c>
      <c r="P32" s="12">
        <v>0</v>
      </c>
      <c r="Q32" s="10">
        <v>0</v>
      </c>
      <c r="R32" s="11">
        <v>0</v>
      </c>
      <c r="S32" s="11">
        <v>0</v>
      </c>
      <c r="T32" s="11">
        <v>0</v>
      </c>
      <c r="U32" s="10">
        <v>2.0211849201777037E-5</v>
      </c>
      <c r="V32" s="12">
        <v>2.2143517773508641E-6</v>
      </c>
      <c r="W32" s="10">
        <v>0.13649482963936399</v>
      </c>
      <c r="X32" s="11">
        <v>0</v>
      </c>
      <c r="Y32" s="12">
        <v>1.40096477516612E-2</v>
      </c>
      <c r="Z32" s="10">
        <v>0.485148248401573</v>
      </c>
      <c r="AA32" s="11">
        <v>0</v>
      </c>
      <c r="AB32" s="12">
        <v>0</v>
      </c>
      <c r="AC32" s="20">
        <f t="shared" si="0"/>
        <v>0.35382265808789681</v>
      </c>
    </row>
    <row r="33" spans="1:29" x14ac:dyDescent="0.3">
      <c r="A33" s="13" t="s">
        <v>41</v>
      </c>
      <c r="B33">
        <v>2007</v>
      </c>
      <c r="C33" s="14">
        <v>1171.1130000000001</v>
      </c>
      <c r="D33" s="10">
        <v>2.6385156684282399E-4</v>
      </c>
      <c r="E33" s="12">
        <v>1.6650827033770399E-4</v>
      </c>
      <c r="F33" s="10">
        <v>2.77513783896174E-4</v>
      </c>
      <c r="G33" s="12">
        <v>0</v>
      </c>
      <c r="H33" s="10">
        <v>8.1437060300756606E-2</v>
      </c>
      <c r="I33" s="12">
        <v>1.57516823739468E-2</v>
      </c>
      <c r="J33" s="10">
        <v>4.2352872865385302E-4</v>
      </c>
      <c r="K33" s="11">
        <v>0</v>
      </c>
      <c r="L33" s="11">
        <v>0.17768225611021299</v>
      </c>
      <c r="M33" s="11">
        <v>7.6218093386376902E-3</v>
      </c>
      <c r="N33" s="12">
        <v>0</v>
      </c>
      <c r="O33" s="10">
        <v>0</v>
      </c>
      <c r="P33" s="12">
        <v>0</v>
      </c>
      <c r="Q33" s="10">
        <v>0</v>
      </c>
      <c r="R33" s="11">
        <v>0</v>
      </c>
      <c r="S33" s="11">
        <v>0</v>
      </c>
      <c r="T33" s="11">
        <v>0</v>
      </c>
      <c r="U33" s="10">
        <v>1.3252094214975592E-6</v>
      </c>
      <c r="V33" s="12">
        <v>3.8256771017120068E-7</v>
      </c>
      <c r="W33" s="10">
        <v>9.0537804635419505E-3</v>
      </c>
      <c r="X33" s="11">
        <v>1.5369994185018901E-5</v>
      </c>
      <c r="Y33" s="12">
        <v>7.2956239064889501E-3</v>
      </c>
      <c r="Z33" s="10">
        <v>0.70000418405397302</v>
      </c>
      <c r="AA33" s="11">
        <v>0</v>
      </c>
      <c r="AB33" s="12">
        <v>0</v>
      </c>
      <c r="AC33" s="20">
        <f t="shared" si="0"/>
        <v>0.28319385063610414</v>
      </c>
    </row>
    <row r="34" spans="1:29" x14ac:dyDescent="0.3">
      <c r="A34" s="13" t="s">
        <v>41</v>
      </c>
      <c r="B34">
        <v>2008</v>
      </c>
      <c r="C34" s="14">
        <v>1127.1130000000001</v>
      </c>
      <c r="D34" s="10">
        <v>2.58891521968072E-3</v>
      </c>
      <c r="E34" s="12">
        <v>1.9962505977661501E-3</v>
      </c>
      <c r="F34" s="10">
        <v>3.0520453583624701E-4</v>
      </c>
      <c r="G34" s="12">
        <v>0</v>
      </c>
      <c r="H34" s="10">
        <v>0.194251153167429</v>
      </c>
      <c r="I34" s="12">
        <v>0.117419460160605</v>
      </c>
      <c r="J34" s="10">
        <v>1.6379901571537198E-2</v>
      </c>
      <c r="K34" s="11">
        <v>9.8836585151621903E-4</v>
      </c>
      <c r="L34" s="11">
        <v>0.28569007721497303</v>
      </c>
      <c r="M34" s="11">
        <v>5.0172431690522603E-3</v>
      </c>
      <c r="N34" s="12">
        <v>0</v>
      </c>
      <c r="O34" s="10">
        <v>8.6326748072287299E-4</v>
      </c>
      <c r="P34" s="12">
        <v>0</v>
      </c>
      <c r="Q34" s="10">
        <v>0</v>
      </c>
      <c r="R34" s="11">
        <v>0</v>
      </c>
      <c r="S34" s="11">
        <v>0</v>
      </c>
      <c r="T34" s="11">
        <v>0</v>
      </c>
      <c r="U34" s="10">
        <v>2.5734295547182925E-3</v>
      </c>
      <c r="V34" s="12">
        <v>8.1576034904468748E-4</v>
      </c>
      <c r="W34" s="10">
        <v>3.62137602884538E-2</v>
      </c>
      <c r="X34" s="11">
        <v>1.44226887632385E-2</v>
      </c>
      <c r="Y34" s="12">
        <v>1.9147148511285E-2</v>
      </c>
      <c r="Z34" s="10">
        <v>0.30132737356414102</v>
      </c>
      <c r="AA34" s="11">
        <v>0</v>
      </c>
      <c r="AB34" s="12">
        <v>0</v>
      </c>
      <c r="AC34" s="20">
        <f t="shared" si="0"/>
        <v>0.62091467315167181</v>
      </c>
    </row>
    <row r="35" spans="1:29" x14ac:dyDescent="0.3">
      <c r="A35" s="13" t="s">
        <v>41</v>
      </c>
      <c r="B35">
        <v>2009</v>
      </c>
      <c r="C35" s="14">
        <v>2471.6410000000001</v>
      </c>
      <c r="D35" s="10">
        <v>4.96431318302294E-4</v>
      </c>
      <c r="E35" s="12">
        <v>3.6413055132197599E-6</v>
      </c>
      <c r="F35" s="10">
        <v>1.5823495402447201E-3</v>
      </c>
      <c r="G35" s="12">
        <v>2.6055563894594697E-4</v>
      </c>
      <c r="H35" s="10">
        <v>1.31208375326352E-2</v>
      </c>
      <c r="I35" s="12">
        <v>4.1077162905130603E-2</v>
      </c>
      <c r="J35" s="10">
        <v>3.64535140823445E-3</v>
      </c>
      <c r="K35" s="11">
        <v>3.04251305104584E-3</v>
      </c>
      <c r="L35" s="11">
        <v>0.13319855108407699</v>
      </c>
      <c r="M35" s="11">
        <v>5.2879847841980304E-4</v>
      </c>
      <c r="N35" s="12">
        <v>1.2611054760784399E-3</v>
      </c>
      <c r="O35" s="10">
        <v>1.3230076698031801E-4</v>
      </c>
      <c r="P35" s="12">
        <v>0</v>
      </c>
      <c r="Q35" s="10">
        <v>1.4217275081615801E-2</v>
      </c>
      <c r="R35" s="11">
        <v>0</v>
      </c>
      <c r="S35" s="11">
        <v>0</v>
      </c>
      <c r="T35" s="11">
        <v>0</v>
      </c>
      <c r="U35" s="10">
        <v>1.2130748987161617E-2</v>
      </c>
      <c r="V35" s="12">
        <v>1.4157167010188615E-3</v>
      </c>
      <c r="W35" s="10">
        <v>1.1077255960715999E-2</v>
      </c>
      <c r="X35" s="11">
        <v>7.4363550369976905E-4</v>
      </c>
      <c r="Y35" s="12">
        <v>1.57005001940007E-2</v>
      </c>
      <c r="Z35" s="10">
        <v>0.74596067956471002</v>
      </c>
      <c r="AA35" s="11">
        <v>4.04589501468862E-4</v>
      </c>
      <c r="AB35" s="12">
        <v>0</v>
      </c>
      <c r="AC35" s="20">
        <f t="shared" si="0"/>
        <v>0.1978495258817923</v>
      </c>
    </row>
    <row r="36" spans="1:29" x14ac:dyDescent="0.3">
      <c r="A36" s="13" t="s">
        <v>41</v>
      </c>
      <c r="B36">
        <v>2010</v>
      </c>
      <c r="C36" s="14">
        <v>2263.3440000000001</v>
      </c>
      <c r="D36" s="10">
        <v>4.5733215984843697E-3</v>
      </c>
      <c r="E36" s="12">
        <v>0</v>
      </c>
      <c r="F36" s="10">
        <v>1.78717861712581E-3</v>
      </c>
      <c r="G36" s="12">
        <v>2.2091206639379601E-6</v>
      </c>
      <c r="H36" s="10">
        <v>3.3963904735647803E-2</v>
      </c>
      <c r="I36" s="12">
        <v>4.2509667112025397E-2</v>
      </c>
      <c r="J36" s="10">
        <v>1.12086364246884E-2</v>
      </c>
      <c r="K36" s="11">
        <v>8.2267653525049701E-3</v>
      </c>
      <c r="L36" s="11">
        <v>0.124439766999625</v>
      </c>
      <c r="M36" s="11">
        <v>4.4787712340678201E-3</v>
      </c>
      <c r="N36" s="12">
        <v>9.7864045412451705E-3</v>
      </c>
      <c r="O36" s="10">
        <v>9.5875836814907501E-5</v>
      </c>
      <c r="P36" s="12">
        <v>4.1531468482033697E-5</v>
      </c>
      <c r="Q36" s="10">
        <v>2.7158929442453301E-3</v>
      </c>
      <c r="R36" s="11">
        <v>0</v>
      </c>
      <c r="S36" s="11">
        <v>0</v>
      </c>
      <c r="T36" s="11">
        <v>0</v>
      </c>
      <c r="U36" s="10">
        <v>9.2752221207576327E-3</v>
      </c>
      <c r="V36" s="12">
        <v>5.3990098911872795E-4</v>
      </c>
      <c r="W36" s="10">
        <v>3.53596271711238E-2</v>
      </c>
      <c r="X36" s="11">
        <v>5.9668349132964297E-3</v>
      </c>
      <c r="Y36" s="12">
        <v>2.76431686919885E-2</v>
      </c>
      <c r="Z36" s="10">
        <v>0.67697884192592905</v>
      </c>
      <c r="AA36" s="11">
        <v>4.0647820216458498E-4</v>
      </c>
      <c r="AB36" s="12">
        <v>0</v>
      </c>
      <c r="AC36" s="20">
        <f t="shared" si="0"/>
        <v>0.23654071144289124</v>
      </c>
    </row>
    <row r="37" spans="1:29" x14ac:dyDescent="0.3">
      <c r="A37" s="13" t="s">
        <v>41</v>
      </c>
      <c r="B37">
        <v>2011</v>
      </c>
      <c r="C37" s="14">
        <v>3259.2759999999998</v>
      </c>
      <c r="D37" s="10">
        <v>2.3379425369315101E-3</v>
      </c>
      <c r="E37" s="12">
        <v>0</v>
      </c>
      <c r="F37" s="10">
        <v>1.35306123200367E-3</v>
      </c>
      <c r="G37" s="12">
        <v>2.3652492148563101E-3</v>
      </c>
      <c r="H37" s="10">
        <v>2.85802736558671E-2</v>
      </c>
      <c r="I37" s="12">
        <v>5.6721799565302197E-2</v>
      </c>
      <c r="J37" s="10">
        <v>1.5340830294826199E-6</v>
      </c>
      <c r="K37" s="11">
        <v>8.9679425737495093E-3</v>
      </c>
      <c r="L37" s="11">
        <v>0.17602406178550101</v>
      </c>
      <c r="M37" s="11">
        <v>2.53031654882864E-3</v>
      </c>
      <c r="N37" s="12">
        <v>3.8812300645910298E-3</v>
      </c>
      <c r="O37" s="10">
        <v>0</v>
      </c>
      <c r="P37" s="12">
        <v>6.4431487238270099E-6</v>
      </c>
      <c r="Q37" s="10">
        <v>0</v>
      </c>
      <c r="R37" s="11">
        <v>0</v>
      </c>
      <c r="S37" s="11">
        <v>0</v>
      </c>
      <c r="T37" s="11">
        <v>0</v>
      </c>
      <c r="U37" s="10">
        <v>6.3167343320821145E-3</v>
      </c>
      <c r="V37" s="12">
        <v>1.2315624510802047E-2</v>
      </c>
      <c r="W37" s="10">
        <v>2.81657644213009E-2</v>
      </c>
      <c r="X37" s="11">
        <v>4.1236151832492896E-3</v>
      </c>
      <c r="Y37" s="12">
        <v>2.27894170361761E-2</v>
      </c>
      <c r="Z37" s="10">
        <v>0.64351899010700497</v>
      </c>
      <c r="AA37" s="11">
        <v>0</v>
      </c>
      <c r="AB37" s="12">
        <v>0</v>
      </c>
      <c r="AC37" s="20">
        <f t="shared" si="0"/>
        <v>0.28043191187245275</v>
      </c>
    </row>
    <row r="38" spans="1:29" x14ac:dyDescent="0.3">
      <c r="A38" s="13" t="s">
        <v>41</v>
      </c>
      <c r="B38">
        <v>2012</v>
      </c>
      <c r="C38" s="14">
        <v>2283.8690000000001</v>
      </c>
      <c r="D38" s="10">
        <v>2.02244524532712E-3</v>
      </c>
      <c r="E38" s="12">
        <v>5.6702026254570599E-4</v>
      </c>
      <c r="F38" s="10">
        <v>0</v>
      </c>
      <c r="G38" s="12">
        <v>1.3091819189279199E-4</v>
      </c>
      <c r="H38" s="10">
        <v>1.3277469066745901E-2</v>
      </c>
      <c r="I38" s="12">
        <v>1.1124105629525999E-2</v>
      </c>
      <c r="J38" s="10">
        <v>7.5096251142250303E-3</v>
      </c>
      <c r="K38" s="11">
        <v>5.8361490961171599E-3</v>
      </c>
      <c r="L38" s="11">
        <v>0.15046134432403999</v>
      </c>
      <c r="M38" s="11">
        <v>7.1510231103447701E-3</v>
      </c>
      <c r="N38" s="12">
        <v>1.42302382492166E-4</v>
      </c>
      <c r="O38" s="10">
        <v>0</v>
      </c>
      <c r="P38" s="12">
        <v>0</v>
      </c>
      <c r="Q38" s="10">
        <v>6.0869264182820907E-3</v>
      </c>
      <c r="R38" s="11">
        <v>0</v>
      </c>
      <c r="S38" s="11">
        <v>2.2427982725824009E-3</v>
      </c>
      <c r="T38" s="11">
        <v>0</v>
      </c>
      <c r="U38" s="10">
        <v>1.1207510801401694E-3</v>
      </c>
      <c r="V38" s="12">
        <v>3.4867811382138609E-3</v>
      </c>
      <c r="W38" s="10">
        <v>3.7980724813901301E-2</v>
      </c>
      <c r="X38" s="11">
        <v>2.1222758398139301E-3</v>
      </c>
      <c r="Y38" s="12">
        <v>3.9230796512409398E-2</v>
      </c>
      <c r="Z38" s="10">
        <v>0.70906869001680894</v>
      </c>
      <c r="AA38" s="11">
        <v>4.3785348459127898E-4</v>
      </c>
      <c r="AB38" s="12">
        <v>0</v>
      </c>
      <c r="AC38" s="20">
        <f t="shared" si="0"/>
        <v>0.1956329369153838</v>
      </c>
    </row>
    <row r="39" spans="1:29" x14ac:dyDescent="0.3">
      <c r="A39" s="13" t="s">
        <v>41</v>
      </c>
      <c r="B39">
        <v>2013</v>
      </c>
      <c r="C39" s="14">
        <v>3683.6120000000001</v>
      </c>
      <c r="D39" s="10">
        <v>2.5735609505018401E-4</v>
      </c>
      <c r="E39" s="12">
        <v>3.9005193815200901E-3</v>
      </c>
      <c r="F39" s="10">
        <v>3.7056020015137299E-4</v>
      </c>
      <c r="G39" s="12">
        <v>7.8075541072186695E-4</v>
      </c>
      <c r="H39" s="10">
        <v>1.7993480312258701E-2</v>
      </c>
      <c r="I39" s="12">
        <v>3.1844016145022899E-2</v>
      </c>
      <c r="J39" s="10">
        <v>2.29150084210824E-3</v>
      </c>
      <c r="K39" s="11">
        <v>3.0423942586787099E-3</v>
      </c>
      <c r="L39" s="11">
        <v>0.115947065000331</v>
      </c>
      <c r="M39" s="11">
        <v>3.8060468909320499E-3</v>
      </c>
      <c r="N39" s="12">
        <v>7.16144914285218E-4</v>
      </c>
      <c r="O39" s="10">
        <v>0</v>
      </c>
      <c r="P39" s="12">
        <v>1.9817505209560601E-5</v>
      </c>
      <c r="Q39" s="10">
        <v>4.4488941832093098E-3</v>
      </c>
      <c r="R39" s="11">
        <v>0</v>
      </c>
      <c r="S39" s="11">
        <v>0</v>
      </c>
      <c r="T39" s="11">
        <v>0</v>
      </c>
      <c r="U39" s="10">
        <v>1.1129565220224014E-2</v>
      </c>
      <c r="V39" s="12">
        <v>0</v>
      </c>
      <c r="W39" s="10">
        <v>4.8395162139769299E-2</v>
      </c>
      <c r="X39" s="11">
        <v>6.2761767526004399E-3</v>
      </c>
      <c r="Y39" s="12">
        <v>3.5640832965035403E-2</v>
      </c>
      <c r="Z39" s="10">
        <v>0.70119219939559296</v>
      </c>
      <c r="AA39" s="11">
        <v>1.19475123872981E-2</v>
      </c>
      <c r="AB39" s="12">
        <v>0</v>
      </c>
      <c r="AC39" s="20">
        <f t="shared" si="0"/>
        <v>0.17681178147969961</v>
      </c>
    </row>
    <row r="40" spans="1:29" x14ac:dyDescent="0.3">
      <c r="A40" s="13" t="s">
        <v>41</v>
      </c>
      <c r="B40">
        <v>2014</v>
      </c>
      <c r="C40" s="14">
        <v>2353.5720000000001</v>
      </c>
      <c r="D40" s="10">
        <v>3.98245730319701E-3</v>
      </c>
      <c r="E40" s="12">
        <v>9.1227291963024704E-3</v>
      </c>
      <c r="F40" s="10">
        <v>4.0024269493348801E-4</v>
      </c>
      <c r="G40" s="12">
        <v>0</v>
      </c>
      <c r="H40" s="10">
        <v>3.7376379392684803E-2</v>
      </c>
      <c r="I40" s="12">
        <v>9.9890719298156207E-3</v>
      </c>
      <c r="J40" s="10">
        <v>7.2549299532795302E-3</v>
      </c>
      <c r="K40" s="11">
        <v>4.4961445836371296E-3</v>
      </c>
      <c r="L40" s="11">
        <v>0.15188572943593801</v>
      </c>
      <c r="M40" s="11">
        <v>0</v>
      </c>
      <c r="N40" s="12">
        <v>0</v>
      </c>
      <c r="O40" s="10">
        <v>0</v>
      </c>
      <c r="P40" s="12">
        <v>6.11835966777307E-4</v>
      </c>
      <c r="Q40" s="10">
        <v>0</v>
      </c>
      <c r="R40" s="11">
        <v>0</v>
      </c>
      <c r="S40" s="11">
        <v>0</v>
      </c>
      <c r="T40" s="11">
        <v>0</v>
      </c>
      <c r="U40" s="10">
        <v>1.218688138772113E-2</v>
      </c>
      <c r="V40" s="12">
        <v>3.7467856177137666E-2</v>
      </c>
      <c r="W40" s="10">
        <v>5.38611098364528E-2</v>
      </c>
      <c r="X40" s="11">
        <v>6.2109848349657503E-3</v>
      </c>
      <c r="Y40" s="12">
        <v>2.70384759845885E-2</v>
      </c>
      <c r="Z40" s="10">
        <v>0.63811517132256801</v>
      </c>
      <c r="AA40" s="11">
        <v>0</v>
      </c>
      <c r="AB40" s="12">
        <v>0</v>
      </c>
      <c r="AC40" s="20">
        <f t="shared" si="0"/>
        <v>0.2120143339570659</v>
      </c>
    </row>
    <row r="41" spans="1:29" x14ac:dyDescent="0.3">
      <c r="A41" s="13" t="s">
        <v>41</v>
      </c>
      <c r="B41">
        <v>2015</v>
      </c>
      <c r="C41" s="14">
        <v>1990.4469999999999</v>
      </c>
      <c r="D41" s="10">
        <v>2.2386931176765798E-3</v>
      </c>
      <c r="E41" s="12">
        <v>8.6161550646663798E-4</v>
      </c>
      <c r="F41" s="10">
        <v>4.0252264943502602E-3</v>
      </c>
      <c r="G41" s="12">
        <v>0</v>
      </c>
      <c r="H41" s="10">
        <v>8.4759855449554802E-3</v>
      </c>
      <c r="I41" s="12">
        <v>1.3940084815119399E-2</v>
      </c>
      <c r="J41" s="10">
        <v>1.52372808720855E-2</v>
      </c>
      <c r="K41" s="11">
        <v>4.3206375251388298E-5</v>
      </c>
      <c r="L41" s="11">
        <v>0.14356925856352901</v>
      </c>
      <c r="M41" s="11">
        <v>0</v>
      </c>
      <c r="N41" s="12">
        <v>0</v>
      </c>
      <c r="O41" s="10">
        <v>0</v>
      </c>
      <c r="P41" s="12">
        <v>2.1904627453029401E-4</v>
      </c>
      <c r="Q41" s="10">
        <v>7.0953911357599601E-3</v>
      </c>
      <c r="R41" s="11">
        <v>0</v>
      </c>
      <c r="S41" s="11">
        <v>0</v>
      </c>
      <c r="T41" s="11">
        <v>0</v>
      </c>
      <c r="U41" s="10">
        <v>1.1026346948188102E-2</v>
      </c>
      <c r="V41" s="12">
        <v>1.9927504121446095E-2</v>
      </c>
      <c r="W41" s="10">
        <v>4.0544661576017903E-2</v>
      </c>
      <c r="X41" s="11">
        <v>4.5808805760716104E-3</v>
      </c>
      <c r="Y41" s="12">
        <v>1.3073947711242701E-2</v>
      </c>
      <c r="Z41" s="10">
        <v>0.715140870367309</v>
      </c>
      <c r="AA41" s="11">
        <v>0</v>
      </c>
      <c r="AB41" s="12">
        <v>0</v>
      </c>
      <c r="AC41" s="20">
        <f t="shared" si="0"/>
        <v>0.18551008893982132</v>
      </c>
    </row>
    <row r="42" spans="1:29" x14ac:dyDescent="0.3">
      <c r="A42" s="13" t="s">
        <v>41</v>
      </c>
      <c r="B42">
        <v>2016</v>
      </c>
      <c r="C42" s="14">
        <v>3001.46</v>
      </c>
      <c r="D42" s="10">
        <v>3.8068140171783099E-3</v>
      </c>
      <c r="E42" s="12">
        <v>2.06266283741912E-3</v>
      </c>
      <c r="F42" s="10">
        <v>2.2492387038307998E-3</v>
      </c>
      <c r="G42" s="12">
        <v>0</v>
      </c>
      <c r="H42" s="10">
        <v>7.06322922844216E-3</v>
      </c>
      <c r="I42" s="12">
        <v>3.4608157363416499E-2</v>
      </c>
      <c r="J42" s="10">
        <v>1.48197877033177E-2</v>
      </c>
      <c r="K42" s="11">
        <v>6.8733216501302703E-4</v>
      </c>
      <c r="L42" s="11">
        <v>0.17216487975851799</v>
      </c>
      <c r="M42" s="11">
        <v>2.2322469731397401E-4</v>
      </c>
      <c r="N42" s="12">
        <v>3.1218140504954298E-4</v>
      </c>
      <c r="O42" s="10">
        <v>0</v>
      </c>
      <c r="P42" s="12">
        <v>0</v>
      </c>
      <c r="Q42" s="10">
        <v>3.6265684033770199E-3</v>
      </c>
      <c r="R42" s="11">
        <v>0</v>
      </c>
      <c r="S42" s="11">
        <v>0</v>
      </c>
      <c r="T42" s="11">
        <v>0</v>
      </c>
      <c r="U42" s="10">
        <v>2.0719533344324124E-3</v>
      </c>
      <c r="V42" s="12">
        <v>1.4972085233464577E-2</v>
      </c>
      <c r="W42" s="10">
        <v>1.8794520000266501E-2</v>
      </c>
      <c r="X42" s="11">
        <v>3.4249998334143997E-4</v>
      </c>
      <c r="Y42" s="12">
        <v>8.6487909217514095E-3</v>
      </c>
      <c r="Z42" s="10">
        <v>0.705839824618686</v>
      </c>
      <c r="AA42" s="11">
        <v>7.7062496251824103E-3</v>
      </c>
      <c r="AB42" s="12">
        <v>0</v>
      </c>
      <c r="AC42" s="20">
        <f t="shared" si="0"/>
        <v>0.2321280310249017</v>
      </c>
    </row>
    <row r="43" spans="1:29" x14ac:dyDescent="0.3">
      <c r="A43" s="13" t="s">
        <v>41</v>
      </c>
      <c r="B43">
        <v>2017</v>
      </c>
      <c r="C43" s="14">
        <v>2022.4480000000001</v>
      </c>
      <c r="D43" s="10">
        <v>4.2819395109293298E-4</v>
      </c>
      <c r="E43" s="12">
        <v>1.37951630894836E-4</v>
      </c>
      <c r="F43" s="10">
        <v>4.1568435875730799E-3</v>
      </c>
      <c r="G43" s="12">
        <v>0</v>
      </c>
      <c r="H43" s="10">
        <v>1.8487001890777899E-2</v>
      </c>
      <c r="I43" s="12">
        <v>5.4254546964866299E-2</v>
      </c>
      <c r="J43" s="10">
        <v>9.4726786547787607E-3</v>
      </c>
      <c r="K43" s="11">
        <v>3.9654913253641099E-4</v>
      </c>
      <c r="L43" s="11">
        <v>0.31743065829133799</v>
      </c>
      <c r="M43" s="11">
        <v>4.8831910635032403E-3</v>
      </c>
      <c r="N43" s="12">
        <v>4.6636551347673701E-3</v>
      </c>
      <c r="O43" s="10">
        <v>9.7901157409238703E-5</v>
      </c>
      <c r="P43" s="12">
        <v>5.9334034793477996E-6</v>
      </c>
      <c r="Q43" s="10">
        <v>0</v>
      </c>
      <c r="R43" s="11">
        <v>0</v>
      </c>
      <c r="S43" s="11">
        <v>0</v>
      </c>
      <c r="T43" s="11">
        <v>0</v>
      </c>
      <c r="U43" s="10">
        <v>5.5184575713496092E-3</v>
      </c>
      <c r="V43" s="12">
        <v>5.890488418856323E-3</v>
      </c>
      <c r="W43" s="10">
        <v>7.5545576449926002E-2</v>
      </c>
      <c r="X43" s="11">
        <v>2.2799102869393898E-3</v>
      </c>
      <c r="Y43" s="12">
        <v>1.2600076738685E-2</v>
      </c>
      <c r="Z43" s="10">
        <v>0.48375038567122602</v>
      </c>
      <c r="AA43" s="11">
        <v>0</v>
      </c>
      <c r="AB43" s="12">
        <v>0</v>
      </c>
      <c r="AC43" s="20">
        <f t="shared" si="0"/>
        <v>0.41384895928102966</v>
      </c>
    </row>
    <row r="44" spans="1:29" x14ac:dyDescent="0.3">
      <c r="A44" s="13" t="s">
        <v>41</v>
      </c>
      <c r="B44">
        <v>2018</v>
      </c>
      <c r="C44" s="14">
        <v>2723.3969999999999</v>
      </c>
      <c r="D44" s="10">
        <v>1.8058329358518099E-3</v>
      </c>
      <c r="E44" s="12">
        <v>1.4896836561103599E-3</v>
      </c>
      <c r="F44" s="10">
        <v>3.41925910911997E-3</v>
      </c>
      <c r="G44" s="12">
        <v>0</v>
      </c>
      <c r="H44" s="10">
        <v>5.6032961775312204E-3</v>
      </c>
      <c r="I44" s="12">
        <v>3.4980944753923097E-2</v>
      </c>
      <c r="J44" s="10">
        <v>3.8848540994941197E-4</v>
      </c>
      <c r="K44" s="11">
        <v>3.2235476502324098E-3</v>
      </c>
      <c r="L44" s="11">
        <v>0.17411453416450101</v>
      </c>
      <c r="M44" s="11">
        <v>2.2655529105745499E-4</v>
      </c>
      <c r="N44" s="12">
        <v>2.7987105809399102E-3</v>
      </c>
      <c r="O44" s="10">
        <v>1.3571286154754501E-3</v>
      </c>
      <c r="P44" s="12">
        <v>0</v>
      </c>
      <c r="Q44" s="10">
        <v>7.8651772033236399E-4</v>
      </c>
      <c r="R44" s="11">
        <v>0</v>
      </c>
      <c r="S44" s="11">
        <v>0</v>
      </c>
      <c r="T44" s="11">
        <v>0</v>
      </c>
      <c r="U44" s="10">
        <v>3.8927822891082551E-3</v>
      </c>
      <c r="V44" s="12">
        <v>3.7659000282437509E-2</v>
      </c>
      <c r="W44" s="10">
        <v>5.1483496530252498E-2</v>
      </c>
      <c r="X44" s="11">
        <v>5.0829901039033199E-3</v>
      </c>
      <c r="Y44" s="12">
        <v>1.3340324601958499E-2</v>
      </c>
      <c r="Z44" s="10">
        <v>0.65834691012731505</v>
      </c>
      <c r="AA44" s="11">
        <v>0</v>
      </c>
      <c r="AB44" s="12">
        <v>0</v>
      </c>
      <c r="AC44" s="20">
        <f t="shared" si="0"/>
        <v>0.22611246175272995</v>
      </c>
    </row>
    <row r="45" spans="1:29" x14ac:dyDescent="0.3">
      <c r="A45" s="13" t="s">
        <v>41</v>
      </c>
      <c r="B45">
        <v>2019</v>
      </c>
      <c r="C45" s="14">
        <v>2089.4870000000001</v>
      </c>
      <c r="D45" s="10">
        <v>2.2857285065664402E-3</v>
      </c>
      <c r="E45" s="12">
        <v>2.6685976031437398E-3</v>
      </c>
      <c r="F45" s="10">
        <v>1.5314763863091801E-5</v>
      </c>
      <c r="G45" s="12">
        <v>0</v>
      </c>
      <c r="H45" s="10">
        <v>1.32434420506086E-2</v>
      </c>
      <c r="I45" s="12">
        <v>8.0091429140262595E-3</v>
      </c>
      <c r="J45" s="10">
        <v>5.1596396627497602E-3</v>
      </c>
      <c r="K45" s="11">
        <v>5.4367411713975705E-4</v>
      </c>
      <c r="L45" s="11">
        <v>0.24519798400277201</v>
      </c>
      <c r="M45" s="11">
        <v>9.5717274144323501E-7</v>
      </c>
      <c r="N45" s="12">
        <v>2.0990798219850098E-3</v>
      </c>
      <c r="O45" s="10">
        <v>3.5238314476232699E-3</v>
      </c>
      <c r="P45" s="12">
        <v>6.2216228193810197E-6</v>
      </c>
      <c r="Q45" s="10">
        <v>3.3408963475758113E-3</v>
      </c>
      <c r="R45" s="11">
        <v>0</v>
      </c>
      <c r="S45" s="11">
        <v>5.8273827563382072E-3</v>
      </c>
      <c r="T45" s="11">
        <v>0</v>
      </c>
      <c r="U45" s="10">
        <v>6.4047557348544506E-3</v>
      </c>
      <c r="V45" s="12">
        <v>1.8643019149602789E-2</v>
      </c>
      <c r="W45" s="10">
        <v>3.1385215605552901E-2</v>
      </c>
      <c r="X45" s="11">
        <v>0</v>
      </c>
      <c r="Y45" s="12">
        <v>1.88917183978651E-2</v>
      </c>
      <c r="Z45" s="10">
        <v>0.62376554628002001</v>
      </c>
      <c r="AA45" s="11">
        <v>8.9878520421519704E-3</v>
      </c>
      <c r="AB45" s="12">
        <v>0</v>
      </c>
      <c r="AC45" s="20">
        <f t="shared" si="0"/>
        <v>0.27779928757632855</v>
      </c>
    </row>
    <row r="46" spans="1:29" x14ac:dyDescent="0.3">
      <c r="A46" s="13" t="s">
        <v>41</v>
      </c>
      <c r="B46">
        <v>2020</v>
      </c>
      <c r="C46" s="14">
        <v>2437.578</v>
      </c>
      <c r="D46" s="10">
        <v>4.1836609946430403E-3</v>
      </c>
      <c r="E46" s="12">
        <v>1.9564502141059701E-3</v>
      </c>
      <c r="F46" s="10">
        <v>2.07993344212985E-4</v>
      </c>
      <c r="G46" s="12">
        <v>0</v>
      </c>
      <c r="H46" s="10">
        <v>8.3353230132533207E-3</v>
      </c>
      <c r="I46" s="12">
        <v>6.2480051920389798E-4</v>
      </c>
      <c r="J46" s="10">
        <v>6.4399990482355797E-3</v>
      </c>
      <c r="K46" s="11">
        <v>2.1451621240427998E-3</v>
      </c>
      <c r="L46" s="11">
        <v>0.173571881597225</v>
      </c>
      <c r="M46" s="11">
        <v>4.7301050468949099E-3</v>
      </c>
      <c r="N46" s="12">
        <v>0</v>
      </c>
      <c r="O46" s="10">
        <v>1.9396302395246401E-3</v>
      </c>
      <c r="P46" s="12">
        <v>1.31277850390839E-5</v>
      </c>
      <c r="Q46" s="10">
        <v>0</v>
      </c>
      <c r="R46" s="11">
        <v>0</v>
      </c>
      <c r="S46" s="11">
        <v>0</v>
      </c>
      <c r="T46" s="11">
        <v>0</v>
      </c>
      <c r="U46" s="10">
        <v>6.7738429237732076E-3</v>
      </c>
      <c r="V46" s="12">
        <v>2.1625658548589905E-2</v>
      </c>
      <c r="W46" s="10">
        <v>1.36061287064455E-2</v>
      </c>
      <c r="X46" s="11">
        <v>4.1024328247137103E-6</v>
      </c>
      <c r="Y46" s="12">
        <v>2.4975200793574601E-2</v>
      </c>
      <c r="Z46" s="10">
        <v>0.72886693266841096</v>
      </c>
      <c r="AA46" s="11">
        <v>0</v>
      </c>
      <c r="AB46" s="12">
        <v>0</v>
      </c>
      <c r="AC46" s="20">
        <f t="shared" si="0"/>
        <v>0.19800802271763224</v>
      </c>
    </row>
    <row r="47" spans="1:29" x14ac:dyDescent="0.3">
      <c r="A47" s="13" t="s">
        <v>41</v>
      </c>
      <c r="B47">
        <v>2021</v>
      </c>
      <c r="C47" s="14">
        <v>4129.2929999999997</v>
      </c>
      <c r="D47" s="10">
        <v>2.7602788177056E-3</v>
      </c>
      <c r="E47" s="12">
        <v>2.9060664864421099E-6</v>
      </c>
      <c r="F47" s="10">
        <v>1.60245349506562E-3</v>
      </c>
      <c r="G47" s="12">
        <v>0</v>
      </c>
      <c r="H47" s="10">
        <v>5.9191730884681701E-3</v>
      </c>
      <c r="I47" s="12">
        <v>9.1032532687799102E-3</v>
      </c>
      <c r="J47" s="10">
        <v>3.9461961163811798E-3</v>
      </c>
      <c r="K47" s="11">
        <v>1.7015019278118599E-3</v>
      </c>
      <c r="L47" s="11">
        <v>0.16080040820547201</v>
      </c>
      <c r="M47" s="11">
        <v>1.17695692700905E-4</v>
      </c>
      <c r="N47" s="12">
        <v>0</v>
      </c>
      <c r="O47" s="10">
        <v>1.8589138624941399E-3</v>
      </c>
      <c r="P47" s="12">
        <v>0</v>
      </c>
      <c r="Q47" s="10">
        <v>0</v>
      </c>
      <c r="R47" s="11">
        <v>0</v>
      </c>
      <c r="S47" s="11">
        <v>0</v>
      </c>
      <c r="T47" s="11">
        <v>0</v>
      </c>
      <c r="U47" s="10">
        <v>4.8980614449272318E-3</v>
      </c>
      <c r="V47" s="12">
        <v>1.0432407959883717E-2</v>
      </c>
      <c r="W47" s="10">
        <v>4.1014527184193503E-2</v>
      </c>
      <c r="X47" s="11">
        <v>2.0013111203297999E-3</v>
      </c>
      <c r="Y47" s="12">
        <v>2.7584383089308499E-2</v>
      </c>
      <c r="Z47" s="10">
        <v>0.72625652865999102</v>
      </c>
      <c r="AA47" s="11">
        <v>0</v>
      </c>
      <c r="AB47" s="12">
        <v>0</v>
      </c>
      <c r="AC47" s="20">
        <f t="shared" si="0"/>
        <v>0.1850495956571738</v>
      </c>
    </row>
    <row r="48" spans="1:29" x14ac:dyDescent="0.3">
      <c r="A48" s="13" t="s">
        <v>41</v>
      </c>
      <c r="B48">
        <v>2022</v>
      </c>
      <c r="C48" s="14">
        <v>5218.4030000000002</v>
      </c>
      <c r="D48" s="10">
        <v>2.3355804448219101E-3</v>
      </c>
      <c r="E48" s="12">
        <v>4.5607822929735402E-5</v>
      </c>
      <c r="F48" s="10">
        <v>1.5771108517299299E-3</v>
      </c>
      <c r="G48" s="12">
        <v>0</v>
      </c>
      <c r="H48" s="10">
        <v>4.4038377258329804E-3</v>
      </c>
      <c r="I48" s="12">
        <v>1.0046176962568799E-2</v>
      </c>
      <c r="J48" s="10">
        <v>5.6277753941196204E-3</v>
      </c>
      <c r="K48" s="11">
        <v>4.5991081945951698E-6</v>
      </c>
      <c r="L48" s="11">
        <v>4.8786189951216898E-2</v>
      </c>
      <c r="M48" s="11">
        <v>1.0175526880541801E-4</v>
      </c>
      <c r="N48" s="12">
        <v>1.12486521259473E-4</v>
      </c>
      <c r="O48" s="10">
        <v>5.63390753837908E-5</v>
      </c>
      <c r="P48" s="12">
        <v>0</v>
      </c>
      <c r="Q48" s="10">
        <v>0</v>
      </c>
      <c r="R48" s="11">
        <v>0</v>
      </c>
      <c r="S48" s="11">
        <v>0</v>
      </c>
      <c r="T48" s="11">
        <v>0</v>
      </c>
      <c r="U48" s="10">
        <v>3.5038586072632773E-3</v>
      </c>
      <c r="V48" s="12">
        <v>3.0400383744276085E-2</v>
      </c>
      <c r="W48" s="10">
        <v>1.26138207417097E-2</v>
      </c>
      <c r="X48" s="11">
        <v>1.4046442944326101E-3</v>
      </c>
      <c r="Y48" s="12">
        <v>1.0110372847785E-2</v>
      </c>
      <c r="Z48" s="10">
        <v>0.86852261122799401</v>
      </c>
      <c r="AA48" s="11">
        <v>3.4684940967571901E-4</v>
      </c>
      <c r="AB48" s="12">
        <v>0</v>
      </c>
      <c r="AC48" s="20">
        <f t="shared" si="0"/>
        <v>7.0716270859111502E-2</v>
      </c>
    </row>
    <row r="49" spans="1:29" x14ac:dyDescent="0.3">
      <c r="A49" s="13" t="s">
        <v>41</v>
      </c>
      <c r="B49">
        <v>2023</v>
      </c>
      <c r="C49" s="14">
        <v>3077.4319999999998</v>
      </c>
      <c r="D49" s="10">
        <v>2.9245162850064601E-6</v>
      </c>
      <c r="E49" s="12">
        <v>1.73781256580162E-3</v>
      </c>
      <c r="F49" s="10">
        <v>7.3811541571024196E-3</v>
      </c>
      <c r="G49" s="12">
        <v>0</v>
      </c>
      <c r="H49" s="10">
        <v>5.5208368535844196E-3</v>
      </c>
      <c r="I49" s="12">
        <v>2.02571494674781E-3</v>
      </c>
      <c r="J49" s="10">
        <v>2.5280818552611399E-4</v>
      </c>
      <c r="K49" s="11">
        <v>1.32285619958459E-3</v>
      </c>
      <c r="L49" s="11">
        <v>0.237944493980696</v>
      </c>
      <c r="M49" s="11">
        <v>2.23563022676049E-4</v>
      </c>
      <c r="N49" s="12">
        <v>2.7490453079060702E-4</v>
      </c>
      <c r="O49" s="10">
        <v>2.0728321535618001E-3</v>
      </c>
      <c r="P49" s="12">
        <v>0</v>
      </c>
      <c r="Q49" s="10">
        <v>0</v>
      </c>
      <c r="R49" s="11">
        <v>0</v>
      </c>
      <c r="S49" s="11">
        <v>0</v>
      </c>
      <c r="T49" s="11">
        <v>0</v>
      </c>
      <c r="U49" s="10">
        <v>1.9808298473787578E-3</v>
      </c>
      <c r="V49" s="12">
        <v>4.3146788754784829E-3</v>
      </c>
      <c r="W49" s="10">
        <v>1.2247224309099299E-2</v>
      </c>
      <c r="X49" s="11">
        <v>8.4323552884352899E-4</v>
      </c>
      <c r="Y49" s="12">
        <v>1.9658598467813398E-2</v>
      </c>
      <c r="Z49" s="10">
        <v>0.70219553185903005</v>
      </c>
      <c r="AA49" s="11">
        <v>0</v>
      </c>
      <c r="AB49" s="12">
        <v>0</v>
      </c>
      <c r="AC49" s="20">
        <f t="shared" si="0"/>
        <v>0.25701916403026981</v>
      </c>
    </row>
    <row r="50" spans="1:29" ht="15" thickBot="1" x14ac:dyDescent="0.35">
      <c r="A50" s="4" t="s">
        <v>41</v>
      </c>
      <c r="B50" s="5">
        <v>2024</v>
      </c>
      <c r="C50" s="15">
        <v>7779.7920000000004</v>
      </c>
      <c r="D50" s="16">
        <v>0</v>
      </c>
      <c r="E50" s="17">
        <v>4.2903381601049198E-4</v>
      </c>
      <c r="F50" s="16">
        <v>4.3155233310152698E-3</v>
      </c>
      <c r="G50" s="17">
        <v>0</v>
      </c>
      <c r="H50" s="16">
        <v>7.5836472929146602E-3</v>
      </c>
      <c r="I50" s="17">
        <v>1.2035727404896101E-2</v>
      </c>
      <c r="J50" s="16">
        <v>8.0287540571945797E-3</v>
      </c>
      <c r="K50" s="18">
        <v>1.5231333261611401E-3</v>
      </c>
      <c r="L50" s="18">
        <v>0.102382149303247</v>
      </c>
      <c r="M50" s="18">
        <v>3.8092887398524498E-3</v>
      </c>
      <c r="N50" s="17">
        <v>1.7595448802341801E-3</v>
      </c>
      <c r="O50" s="16">
        <v>2.53117295581411E-7</v>
      </c>
      <c r="P50" s="17">
        <v>0</v>
      </c>
      <c r="Q50" s="16">
        <v>0</v>
      </c>
      <c r="R50" s="18">
        <v>0</v>
      </c>
      <c r="S50" s="18">
        <v>0</v>
      </c>
      <c r="T50" s="18">
        <v>0</v>
      </c>
      <c r="U50" s="16">
        <v>7.7803663295275315E-3</v>
      </c>
      <c r="V50" s="17">
        <v>2.7436180275085993E-3</v>
      </c>
      <c r="W50" s="16">
        <v>4.6674829305212197E-3</v>
      </c>
      <c r="X50" s="18">
        <v>9.33341725427211E-4</v>
      </c>
      <c r="Y50" s="17">
        <v>1.6230930211825801E-2</v>
      </c>
      <c r="Z50" s="16">
        <v>0.82346497901123195</v>
      </c>
      <c r="AA50" s="18">
        <v>2.31222649513619E-3</v>
      </c>
      <c r="AB50" s="17">
        <v>0</v>
      </c>
      <c r="AC50" s="21">
        <f t="shared" si="0"/>
        <v>0.14143802145281098</v>
      </c>
    </row>
  </sheetData>
  <mergeCells count="11">
    <mergeCell ref="D8:I8"/>
    <mergeCell ref="J8:Y8"/>
    <mergeCell ref="Z8:AB9"/>
    <mergeCell ref="D9:E9"/>
    <mergeCell ref="F9:G9"/>
    <mergeCell ref="H9:I9"/>
    <mergeCell ref="J9:N9"/>
    <mergeCell ref="O9:P9"/>
    <mergeCell ref="Q9:V9"/>
    <mergeCell ref="W9:Y9"/>
    <mergeCell ref="AC8:AC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2EA1-7360-481C-B08D-A27BBE8F4178}">
  <dimension ref="A1:AC46"/>
  <sheetViews>
    <sheetView topLeftCell="A27" zoomScale="70" zoomScaleNormal="70" workbookViewId="0">
      <selection activeCell="C51" sqref="C51"/>
    </sheetView>
  </sheetViews>
  <sheetFormatPr defaultRowHeight="14.4" x14ac:dyDescent="0.3"/>
  <cols>
    <col min="3" max="3" width="10.88671875" customWidth="1"/>
    <col min="11" max="11" width="11.109375" customWidth="1"/>
    <col min="17" max="17" width="11.109375" customWidth="1"/>
    <col min="18" max="18" width="10.21875" customWidth="1"/>
    <col min="19" max="20" width="10.5546875" customWidth="1"/>
    <col min="21" max="21" width="12" customWidth="1"/>
    <col min="26" max="26" width="13" customWidth="1"/>
    <col min="27" max="27" width="10.109375" customWidth="1"/>
    <col min="29" max="29" width="11.6640625" customWidth="1"/>
    <col min="31" max="31" width="11.21875" customWidth="1"/>
    <col min="32" max="32" width="10.5546875" customWidth="1"/>
    <col min="33" max="33" width="10.6640625" customWidth="1"/>
    <col min="34" max="34" width="8.77734375" customWidth="1"/>
  </cols>
  <sheetData>
    <row r="1" spans="1:29" x14ac:dyDescent="0.3">
      <c r="A1" t="s">
        <v>67</v>
      </c>
    </row>
    <row r="2" spans="1:29" x14ac:dyDescent="0.3">
      <c r="A2" t="s">
        <v>30</v>
      </c>
    </row>
    <row r="3" spans="1:29" x14ac:dyDescent="0.3">
      <c r="A3" t="s">
        <v>0</v>
      </c>
    </row>
    <row r="4" spans="1:29" x14ac:dyDescent="0.3">
      <c r="A4" t="s">
        <v>66</v>
      </c>
    </row>
    <row r="5" spans="1:29" x14ac:dyDescent="0.3">
      <c r="A5" t="s">
        <v>1</v>
      </c>
    </row>
    <row r="7" spans="1:29" ht="15" thickBot="1" x14ac:dyDescent="0.35">
      <c r="A7" t="s">
        <v>64</v>
      </c>
    </row>
    <row r="8" spans="1:29" ht="15" thickBot="1" x14ac:dyDescent="0.35">
      <c r="A8" s="1"/>
      <c r="B8" s="2"/>
      <c r="C8" s="3"/>
      <c r="D8" s="66" t="s">
        <v>2</v>
      </c>
      <c r="E8" s="67"/>
      <c r="F8" s="67"/>
      <c r="G8" s="67"/>
      <c r="H8" s="67"/>
      <c r="I8" s="68"/>
      <c r="J8" s="66" t="s">
        <v>3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69" t="s">
        <v>4</v>
      </c>
      <c r="AA8" s="70"/>
      <c r="AB8" s="71"/>
      <c r="AC8" s="64" t="s">
        <v>34</v>
      </c>
    </row>
    <row r="9" spans="1:29" ht="15" customHeight="1" thickBot="1" x14ac:dyDescent="0.35">
      <c r="A9" s="4"/>
      <c r="B9" s="5"/>
      <c r="C9" s="6"/>
      <c r="D9" s="61" t="s">
        <v>5</v>
      </c>
      <c r="E9" s="63"/>
      <c r="F9" s="61" t="s">
        <v>6</v>
      </c>
      <c r="G9" s="63"/>
      <c r="H9" s="61" t="s">
        <v>7</v>
      </c>
      <c r="I9" s="63"/>
      <c r="J9" s="61" t="s">
        <v>8</v>
      </c>
      <c r="K9" s="62"/>
      <c r="L9" s="62"/>
      <c r="M9" s="62"/>
      <c r="N9" s="63"/>
      <c r="O9" s="61" t="s">
        <v>9</v>
      </c>
      <c r="P9" s="63"/>
      <c r="Q9" s="61" t="s">
        <v>10</v>
      </c>
      <c r="R9" s="62"/>
      <c r="S9" s="62"/>
      <c r="T9" s="62"/>
      <c r="U9" s="62"/>
      <c r="V9" s="63"/>
      <c r="W9" s="61" t="s">
        <v>11</v>
      </c>
      <c r="X9" s="62"/>
      <c r="Y9" s="63"/>
      <c r="Z9" s="72"/>
      <c r="AA9" s="73"/>
      <c r="AB9" s="74"/>
      <c r="AC9" s="65"/>
    </row>
    <row r="10" spans="1:29" ht="43.8" thickBot="1" x14ac:dyDescent="0.35">
      <c r="A10" s="7" t="s">
        <v>12</v>
      </c>
      <c r="B10" s="8" t="s">
        <v>27</v>
      </c>
      <c r="C10" s="9" t="s">
        <v>13</v>
      </c>
      <c r="D10" s="7" t="s">
        <v>14</v>
      </c>
      <c r="E10" s="9" t="s">
        <v>15</v>
      </c>
      <c r="F10" s="7" t="s">
        <v>16</v>
      </c>
      <c r="G10" s="9" t="s">
        <v>17</v>
      </c>
      <c r="H10" s="7" t="s">
        <v>18</v>
      </c>
      <c r="I10" s="9" t="s">
        <v>19</v>
      </c>
      <c r="J10" s="7" t="s">
        <v>20</v>
      </c>
      <c r="K10" s="8" t="s">
        <v>21</v>
      </c>
      <c r="L10" s="8" t="s">
        <v>22</v>
      </c>
      <c r="M10" s="8" t="s">
        <v>7</v>
      </c>
      <c r="N10" s="9" t="s">
        <v>6</v>
      </c>
      <c r="O10" s="25" t="s">
        <v>36</v>
      </c>
      <c r="P10" s="25" t="s">
        <v>38</v>
      </c>
      <c r="Q10" s="7" t="s">
        <v>23</v>
      </c>
      <c r="R10" s="8" t="s">
        <v>53</v>
      </c>
      <c r="S10" s="8" t="s">
        <v>24</v>
      </c>
      <c r="T10" s="8" t="s">
        <v>25</v>
      </c>
      <c r="U10" s="7" t="s">
        <v>40</v>
      </c>
      <c r="V10" s="25" t="s">
        <v>55</v>
      </c>
      <c r="W10" s="7" t="s">
        <v>32</v>
      </c>
      <c r="X10" s="8" t="s">
        <v>31</v>
      </c>
      <c r="Y10" s="9" t="s">
        <v>39</v>
      </c>
      <c r="Z10" s="7" t="s">
        <v>4</v>
      </c>
      <c r="AA10" s="8" t="s">
        <v>28</v>
      </c>
      <c r="AB10" s="9" t="s">
        <v>29</v>
      </c>
      <c r="AC10" s="24" t="s">
        <v>33</v>
      </c>
    </row>
    <row r="11" spans="1:29" x14ac:dyDescent="0.3">
      <c r="A11" s="13" t="s">
        <v>42</v>
      </c>
      <c r="B11">
        <v>1989</v>
      </c>
      <c r="C11" s="14">
        <v>1324.864</v>
      </c>
      <c r="D11" s="10">
        <v>0</v>
      </c>
      <c r="E11" s="12">
        <v>0</v>
      </c>
      <c r="F11" s="10">
        <v>3.7294393990628498E-3</v>
      </c>
      <c r="G11" s="12">
        <v>1.1030566156224299E-2</v>
      </c>
      <c r="H11" s="10">
        <v>1.01550045891503E-2</v>
      </c>
      <c r="I11" s="12">
        <v>0</v>
      </c>
      <c r="J11" s="10">
        <v>7.3185625090575301E-2</v>
      </c>
      <c r="K11" s="11">
        <v>0</v>
      </c>
      <c r="L11" s="11">
        <v>5.6238980000966103E-2</v>
      </c>
      <c r="M11" s="11">
        <v>0</v>
      </c>
      <c r="N11" s="12">
        <v>0</v>
      </c>
      <c r="O11" s="10">
        <v>4.2510023670354101E-3</v>
      </c>
      <c r="P11" s="12">
        <v>0</v>
      </c>
      <c r="Q11" s="10">
        <v>9.6828051784938005E-3</v>
      </c>
      <c r="R11" s="11">
        <v>0</v>
      </c>
      <c r="S11" s="11">
        <v>0</v>
      </c>
      <c r="T11" s="11">
        <v>1.45242077677407E-2</v>
      </c>
      <c r="U11" s="10">
        <v>7.9863921116359454E-2</v>
      </c>
      <c r="V11" s="12">
        <v>4.315927220763454E-2</v>
      </c>
      <c r="W11" s="10">
        <v>9.7142046277957604E-3</v>
      </c>
      <c r="X11" s="11">
        <v>9.9866854258248393E-3</v>
      </c>
      <c r="Y11" s="12">
        <v>1.8267535384764E-2</v>
      </c>
      <c r="Z11" s="10">
        <v>0.65331988792811901</v>
      </c>
      <c r="AA11" s="11">
        <v>2.8908627602531301E-3</v>
      </c>
      <c r="AB11" s="12">
        <v>0</v>
      </c>
      <c r="AC11" s="20">
        <f t="shared" ref="AC11:AC46" si="0">SUM(F11:P11)</f>
        <v>0.15859061760301427</v>
      </c>
    </row>
    <row r="12" spans="1:29" x14ac:dyDescent="0.3">
      <c r="A12" s="13" t="s">
        <v>42</v>
      </c>
      <c r="B12">
        <v>1990</v>
      </c>
      <c r="C12" s="14">
        <v>294.755</v>
      </c>
      <c r="D12" s="10">
        <v>1.3061695306271299E-3</v>
      </c>
      <c r="E12" s="12">
        <v>1.03475768010721E-3</v>
      </c>
      <c r="F12" s="10">
        <v>4.0711777577988499E-5</v>
      </c>
      <c r="G12" s="12">
        <v>1.4045563264406E-3</v>
      </c>
      <c r="H12" s="10">
        <v>4.3388576953741202E-2</v>
      </c>
      <c r="I12" s="12">
        <v>0</v>
      </c>
      <c r="J12" s="10">
        <v>2.25611100744686E-2</v>
      </c>
      <c r="K12" s="11">
        <v>6.4460314498481798E-5</v>
      </c>
      <c r="L12" s="11">
        <v>8.5494732913775904E-4</v>
      </c>
      <c r="M12" s="11">
        <v>0</v>
      </c>
      <c r="N12" s="12">
        <v>0</v>
      </c>
      <c r="O12" s="10">
        <v>0</v>
      </c>
      <c r="P12" s="12">
        <v>3.1992671880036001E-3</v>
      </c>
      <c r="Q12" s="10">
        <v>2.375584567530039E-2</v>
      </c>
      <c r="R12" s="11">
        <v>0</v>
      </c>
      <c r="S12" s="11">
        <v>0</v>
      </c>
      <c r="T12" s="11">
        <v>0.10764480910578861</v>
      </c>
      <c r="U12" s="10">
        <v>1.8320683032320643E-2</v>
      </c>
      <c r="V12" s="12">
        <v>0.11569909610628583</v>
      </c>
      <c r="W12" s="10">
        <v>2.2092924632321799E-2</v>
      </c>
      <c r="X12" s="11">
        <v>3.3926481314990402E-6</v>
      </c>
      <c r="Y12" s="12">
        <v>4.9800681922274402E-2</v>
      </c>
      <c r="Z12" s="10">
        <v>0.57016844497972896</v>
      </c>
      <c r="AA12" s="11">
        <v>1.86595647232447E-2</v>
      </c>
      <c r="AB12" s="12">
        <v>0</v>
      </c>
      <c r="AC12" s="20">
        <f t="shared" si="0"/>
        <v>7.1513629963868244E-2</v>
      </c>
    </row>
    <row r="13" spans="1:29" x14ac:dyDescent="0.3">
      <c r="A13" s="13" t="s">
        <v>42</v>
      </c>
      <c r="B13">
        <v>1991</v>
      </c>
      <c r="C13" s="14">
        <v>1385.4090000000001</v>
      </c>
      <c r="D13" s="10">
        <v>2.49601381252756E-3</v>
      </c>
      <c r="E13" s="12">
        <v>4.3423999699727699E-3</v>
      </c>
      <c r="F13" s="10">
        <v>2.9760164687828699E-3</v>
      </c>
      <c r="G13" s="12">
        <v>2.2137866868195601E-3</v>
      </c>
      <c r="H13" s="10">
        <v>4.2632175769032797E-2</v>
      </c>
      <c r="I13" s="12">
        <v>0</v>
      </c>
      <c r="J13" s="10">
        <v>4.41761241626119E-2</v>
      </c>
      <c r="K13" s="11">
        <v>4.2673318853854699E-3</v>
      </c>
      <c r="L13" s="11">
        <v>3.98510475967747E-3</v>
      </c>
      <c r="M13" s="11">
        <v>0</v>
      </c>
      <c r="N13" s="12">
        <v>0</v>
      </c>
      <c r="O13" s="10">
        <v>6.2645760205109098E-3</v>
      </c>
      <c r="P13" s="12">
        <v>6.0639132559410303E-3</v>
      </c>
      <c r="Q13" s="10">
        <v>2.8495210973171408E-2</v>
      </c>
      <c r="R13" s="11">
        <v>0</v>
      </c>
      <c r="S13" s="11">
        <v>0</v>
      </c>
      <c r="T13" s="11">
        <v>4.4325883736044389E-2</v>
      </c>
      <c r="U13" s="10">
        <v>3.9950914180791483E-2</v>
      </c>
      <c r="V13" s="12">
        <v>8.8404683335898515E-2</v>
      </c>
      <c r="W13" s="10">
        <v>9.5560228062615393E-3</v>
      </c>
      <c r="X13" s="11">
        <v>1.36854892670684E-3</v>
      </c>
      <c r="Y13" s="12">
        <v>1.9084616889308501E-2</v>
      </c>
      <c r="Z13" s="10">
        <v>0.64090820833414497</v>
      </c>
      <c r="AA13" s="11">
        <v>8.4884680264095298E-3</v>
      </c>
      <c r="AB13" s="12">
        <v>0</v>
      </c>
      <c r="AC13" s="20">
        <f t="shared" si="0"/>
        <v>0.11257902900876202</v>
      </c>
    </row>
    <row r="14" spans="1:29" x14ac:dyDescent="0.3">
      <c r="A14" s="13" t="s">
        <v>42</v>
      </c>
      <c r="B14">
        <v>1992</v>
      </c>
      <c r="C14" s="14">
        <v>567.58299999999997</v>
      </c>
      <c r="D14" s="10">
        <v>1.76185685617786E-6</v>
      </c>
      <c r="E14" s="12">
        <v>3.5237137123557301E-6</v>
      </c>
      <c r="F14" s="10">
        <v>6.0570876858538798E-2</v>
      </c>
      <c r="G14" s="12">
        <v>0</v>
      </c>
      <c r="H14" s="10">
        <v>6.2575869960869196E-2</v>
      </c>
      <c r="I14" s="12">
        <v>1.6191464508274599E-3</v>
      </c>
      <c r="J14" s="10">
        <v>4.7055672914798397E-2</v>
      </c>
      <c r="K14" s="11">
        <v>2.0500966378485599E-2</v>
      </c>
      <c r="L14" s="11">
        <v>2.05379653724653E-2</v>
      </c>
      <c r="M14" s="11">
        <v>0</v>
      </c>
      <c r="N14" s="12">
        <v>0</v>
      </c>
      <c r="O14" s="10">
        <v>9.7888766929242095E-3</v>
      </c>
      <c r="P14" s="12">
        <v>2.2310393369780301E-2</v>
      </c>
      <c r="Q14" s="10">
        <v>6.5356238104562186E-3</v>
      </c>
      <c r="R14" s="11">
        <v>0</v>
      </c>
      <c r="S14" s="11">
        <v>0</v>
      </c>
      <c r="T14" s="11">
        <v>6.3811796743013474E-2</v>
      </c>
      <c r="U14" s="10">
        <v>6.1402229253671257E-3</v>
      </c>
      <c r="V14" s="12">
        <v>5.5470149478316577E-2</v>
      </c>
      <c r="W14" s="10">
        <v>5.9240674932124503E-2</v>
      </c>
      <c r="X14" s="11">
        <v>0</v>
      </c>
      <c r="Y14" s="12">
        <v>5.7831189447182199E-2</v>
      </c>
      <c r="Z14" s="10">
        <v>0.50200587403075903</v>
      </c>
      <c r="AA14" s="11">
        <v>3.9994150635237497E-3</v>
      </c>
      <c r="AB14" s="12">
        <v>0</v>
      </c>
      <c r="AC14" s="20">
        <f t="shared" si="0"/>
        <v>0.24495976799868927</v>
      </c>
    </row>
    <row r="15" spans="1:29" x14ac:dyDescent="0.3">
      <c r="A15" s="13" t="s">
        <v>42</v>
      </c>
      <c r="B15">
        <v>1993</v>
      </c>
      <c r="C15" s="14">
        <v>1229.769</v>
      </c>
      <c r="D15" s="10">
        <v>0</v>
      </c>
      <c r="E15" s="12">
        <v>0</v>
      </c>
      <c r="F15" s="10">
        <v>3.0867585701054401E-2</v>
      </c>
      <c r="G15" s="12">
        <v>0</v>
      </c>
      <c r="H15" s="10">
        <v>6.1063500543598E-2</v>
      </c>
      <c r="I15" s="12">
        <v>1.1984364543259801E-2</v>
      </c>
      <c r="J15" s="10">
        <v>2.0398952974095101E-2</v>
      </c>
      <c r="K15" s="11">
        <v>1.2770691081007901E-2</v>
      </c>
      <c r="L15" s="11">
        <v>3.38648965781378E-2</v>
      </c>
      <c r="M15" s="11">
        <v>0</v>
      </c>
      <c r="N15" s="12">
        <v>0</v>
      </c>
      <c r="O15" s="10">
        <v>1.47076402153575E-2</v>
      </c>
      <c r="P15" s="12">
        <v>3.4152755517499597E-5</v>
      </c>
      <c r="Q15" s="10">
        <v>2.7037955389611429E-2</v>
      </c>
      <c r="R15" s="11">
        <v>0</v>
      </c>
      <c r="S15" s="11">
        <v>0</v>
      </c>
      <c r="T15" s="11">
        <v>2.5794731074269172E-2</v>
      </c>
      <c r="U15" s="10">
        <v>1.3548966654350299E-2</v>
      </c>
      <c r="V15" s="12">
        <v>8.3768497031919201E-2</v>
      </c>
      <c r="W15" s="10">
        <v>1.7661853567621202E-2</v>
      </c>
      <c r="X15" s="11">
        <v>0</v>
      </c>
      <c r="Y15" s="12">
        <v>2.1183653190151999E-2</v>
      </c>
      <c r="Z15" s="10">
        <v>0.62531255870004898</v>
      </c>
      <c r="AA15" s="11">
        <v>0</v>
      </c>
      <c r="AB15" s="12">
        <v>0</v>
      </c>
      <c r="AC15" s="20">
        <f t="shared" si="0"/>
        <v>0.18569178439202799</v>
      </c>
    </row>
    <row r="16" spans="1:29" x14ac:dyDescent="0.3">
      <c r="A16" s="13" t="s">
        <v>42</v>
      </c>
      <c r="B16">
        <v>1994</v>
      </c>
      <c r="C16" s="14">
        <v>2066.6610000000001</v>
      </c>
      <c r="D16" s="10">
        <v>0</v>
      </c>
      <c r="E16" s="12">
        <v>0</v>
      </c>
      <c r="F16" s="10">
        <v>2.4701680633640402E-3</v>
      </c>
      <c r="G16" s="12">
        <v>7.2822780320526696E-4</v>
      </c>
      <c r="H16" s="10">
        <v>3.6462196751184603E-2</v>
      </c>
      <c r="I16" s="12">
        <v>4.36743133005365E-3</v>
      </c>
      <c r="J16" s="10">
        <v>2.6813783199083001E-2</v>
      </c>
      <c r="K16" s="11">
        <v>2.1774253251984699E-5</v>
      </c>
      <c r="L16" s="11">
        <v>8.3927649479038895E-3</v>
      </c>
      <c r="M16" s="11">
        <v>0</v>
      </c>
      <c r="N16" s="12">
        <v>0</v>
      </c>
      <c r="O16" s="10">
        <v>1.89677939439511E-3</v>
      </c>
      <c r="P16" s="12">
        <v>0</v>
      </c>
      <c r="Q16" s="10">
        <v>4.5882026254288047E-3</v>
      </c>
      <c r="R16" s="11">
        <v>0</v>
      </c>
      <c r="S16" s="11">
        <v>0</v>
      </c>
      <c r="T16" s="11">
        <v>7.5806211359254694E-2</v>
      </c>
      <c r="U16" s="10">
        <v>1.2199800596347041E-3</v>
      </c>
      <c r="V16" s="12">
        <v>1.2228282621085596E-2</v>
      </c>
      <c r="W16" s="10">
        <v>3.0948471955487599E-3</v>
      </c>
      <c r="X16" s="11">
        <v>0</v>
      </c>
      <c r="Y16" s="12">
        <v>7.4903431186827403E-4</v>
      </c>
      <c r="Z16" s="10">
        <v>0.81895869714481495</v>
      </c>
      <c r="AA16" s="11">
        <v>2.2016189399229002E-3</v>
      </c>
      <c r="AB16" s="12">
        <v>0</v>
      </c>
      <c r="AC16" s="20">
        <f t="shared" si="0"/>
        <v>8.1153125742441559E-2</v>
      </c>
    </row>
    <row r="17" spans="1:29" x14ac:dyDescent="0.3">
      <c r="A17" s="13" t="s">
        <v>42</v>
      </c>
      <c r="B17">
        <v>1995</v>
      </c>
      <c r="C17" s="14">
        <v>1871.4490000000001</v>
      </c>
      <c r="D17" s="10">
        <v>0</v>
      </c>
      <c r="E17" s="12">
        <v>0</v>
      </c>
      <c r="F17" s="10">
        <v>1.9535664610683999E-3</v>
      </c>
      <c r="G17" s="12">
        <v>6.3838234437593499E-3</v>
      </c>
      <c r="H17" s="10">
        <v>1.41473264833827E-2</v>
      </c>
      <c r="I17" s="12">
        <v>5.1484170821646802E-3</v>
      </c>
      <c r="J17" s="10">
        <v>1.53362448028239E-2</v>
      </c>
      <c r="K17" s="11">
        <v>1.92684919546298E-3</v>
      </c>
      <c r="L17" s="11">
        <v>1.44540406925329E-2</v>
      </c>
      <c r="M17" s="11">
        <v>0</v>
      </c>
      <c r="N17" s="12">
        <v>0</v>
      </c>
      <c r="O17" s="10">
        <v>1.28648977343224E-2</v>
      </c>
      <c r="P17" s="12">
        <v>0</v>
      </c>
      <c r="Q17" s="10">
        <v>1.7159560573769408E-2</v>
      </c>
      <c r="R17" s="11">
        <v>0</v>
      </c>
      <c r="S17" s="11">
        <v>1.7479445857434882E-3</v>
      </c>
      <c r="T17" s="11">
        <v>1.7725072057392304E-2</v>
      </c>
      <c r="U17" s="10">
        <v>4.6700132177072808E-3</v>
      </c>
      <c r="V17" s="12">
        <v>2.8744736529681018E-2</v>
      </c>
      <c r="W17" s="10">
        <v>1.35189363963432E-3</v>
      </c>
      <c r="X17" s="11">
        <v>0</v>
      </c>
      <c r="Y17" s="12">
        <v>3.5277477505398199E-3</v>
      </c>
      <c r="Z17" s="10">
        <v>0.85285786575001499</v>
      </c>
      <c r="AA17" s="11">
        <v>0</v>
      </c>
      <c r="AB17" s="12">
        <v>0</v>
      </c>
      <c r="AC17" s="20">
        <f t="shared" si="0"/>
        <v>7.2215165895517311E-2</v>
      </c>
    </row>
    <row r="18" spans="1:29" x14ac:dyDescent="0.3">
      <c r="A18" s="13" t="s">
        <v>42</v>
      </c>
      <c r="B18">
        <v>1996</v>
      </c>
      <c r="C18" s="14">
        <v>75.457999999999998</v>
      </c>
      <c r="D18" s="10">
        <v>0</v>
      </c>
      <c r="E18" s="12">
        <v>0</v>
      </c>
      <c r="F18" s="10">
        <v>9.0911500437329401E-3</v>
      </c>
      <c r="G18" s="12">
        <v>0</v>
      </c>
      <c r="H18" s="10">
        <v>4.0154788094039096E-3</v>
      </c>
      <c r="I18" s="12">
        <v>0</v>
      </c>
      <c r="J18" s="10">
        <v>1.72281269050333E-4</v>
      </c>
      <c r="K18" s="11">
        <v>3.9757215934692198E-5</v>
      </c>
      <c r="L18" s="11">
        <v>2.6504810623128097E-4</v>
      </c>
      <c r="M18" s="11">
        <v>1.12645445148294E-3</v>
      </c>
      <c r="N18" s="12">
        <v>0</v>
      </c>
      <c r="O18" s="10">
        <v>8.5478014259588106E-3</v>
      </c>
      <c r="P18" s="12">
        <v>6.8912507620133101E-4</v>
      </c>
      <c r="Q18" s="10">
        <v>0</v>
      </c>
      <c r="R18" s="11">
        <v>0</v>
      </c>
      <c r="S18" s="11">
        <v>0</v>
      </c>
      <c r="T18" s="11">
        <v>0</v>
      </c>
      <c r="U18" s="10">
        <v>1.8574579224222006E-2</v>
      </c>
      <c r="V18" s="12">
        <v>0.150155045202611</v>
      </c>
      <c r="W18" s="10">
        <v>0</v>
      </c>
      <c r="X18" s="11">
        <v>0</v>
      </c>
      <c r="Y18" s="12">
        <v>7.0754591958440499E-2</v>
      </c>
      <c r="Z18" s="10">
        <v>0.73656868721672997</v>
      </c>
      <c r="AA18" s="11">
        <v>0</v>
      </c>
      <c r="AB18" s="12">
        <v>0</v>
      </c>
      <c r="AC18" s="20">
        <f t="shared" si="0"/>
        <v>2.3947096397996238E-2</v>
      </c>
    </row>
    <row r="19" spans="1:29" x14ac:dyDescent="0.3">
      <c r="A19" s="13" t="s">
        <v>42</v>
      </c>
      <c r="B19">
        <v>1997</v>
      </c>
      <c r="C19" s="14">
        <v>215.351</v>
      </c>
      <c r="D19" s="10">
        <v>0</v>
      </c>
      <c r="E19" s="12">
        <v>0</v>
      </c>
      <c r="F19" s="10">
        <v>0</v>
      </c>
      <c r="G19" s="12">
        <v>1.6117872682272199E-2</v>
      </c>
      <c r="H19" s="10">
        <v>0</v>
      </c>
      <c r="I19" s="12">
        <v>0</v>
      </c>
      <c r="J19" s="10">
        <v>5.2365672785359703E-2</v>
      </c>
      <c r="K19" s="11">
        <v>0</v>
      </c>
      <c r="L19" s="11">
        <v>0</v>
      </c>
      <c r="M19" s="11">
        <v>0</v>
      </c>
      <c r="N19" s="12">
        <v>0</v>
      </c>
      <c r="O19" s="10">
        <v>3.6396394723033597E-2</v>
      </c>
      <c r="P19" s="12">
        <v>0</v>
      </c>
      <c r="Q19" s="10">
        <v>0</v>
      </c>
      <c r="R19" s="11">
        <v>0</v>
      </c>
      <c r="S19" s="11">
        <v>0</v>
      </c>
      <c r="T19" s="11">
        <v>6.3737804793105202E-2</v>
      </c>
      <c r="U19" s="10">
        <v>3.2851908549413312E-3</v>
      </c>
      <c r="V19" s="12">
        <v>1.366388298265407E-2</v>
      </c>
      <c r="W19" s="10">
        <v>0</v>
      </c>
      <c r="X19" s="11">
        <v>0</v>
      </c>
      <c r="Y19" s="12">
        <v>6.5841347381716403E-2</v>
      </c>
      <c r="Z19" s="10">
        <v>0.74859183379691796</v>
      </c>
      <c r="AA19" s="11">
        <v>0</v>
      </c>
      <c r="AB19" s="12">
        <v>0</v>
      </c>
      <c r="AC19" s="20">
        <f t="shared" si="0"/>
        <v>0.10487994019066549</v>
      </c>
    </row>
    <row r="20" spans="1:29" x14ac:dyDescent="0.3">
      <c r="A20" s="13" t="s">
        <v>42</v>
      </c>
      <c r="B20">
        <v>1998</v>
      </c>
      <c r="C20" s="14">
        <v>415.30399999999997</v>
      </c>
      <c r="D20" s="10">
        <v>0</v>
      </c>
      <c r="E20" s="12">
        <v>0</v>
      </c>
      <c r="F20" s="10">
        <v>0</v>
      </c>
      <c r="G20" s="12">
        <v>3.5913451351299301E-2</v>
      </c>
      <c r="H20" s="10">
        <v>0</v>
      </c>
      <c r="I20" s="12">
        <v>0</v>
      </c>
      <c r="J20" s="10">
        <v>1.2480014639878301E-2</v>
      </c>
      <c r="K20" s="11">
        <v>0</v>
      </c>
      <c r="L20" s="11">
        <v>1.5458555660431901E-2</v>
      </c>
      <c r="M20" s="11">
        <v>0</v>
      </c>
      <c r="N20" s="12">
        <v>0</v>
      </c>
      <c r="O20" s="10">
        <v>9.2751333962591293E-3</v>
      </c>
      <c r="P20" s="12">
        <v>0</v>
      </c>
      <c r="Q20" s="10">
        <v>2.6512560968462995E-2</v>
      </c>
      <c r="R20" s="11">
        <v>0</v>
      </c>
      <c r="S20" s="11">
        <v>0</v>
      </c>
      <c r="T20" s="11">
        <v>0.14872774492794097</v>
      </c>
      <c r="U20" s="10">
        <v>8.3404164618304053E-3</v>
      </c>
      <c r="V20" s="12">
        <v>9.1925894481478587E-2</v>
      </c>
      <c r="W20" s="10">
        <v>4.7001714406796E-3</v>
      </c>
      <c r="X20" s="11">
        <v>2.4078747134629102E-6</v>
      </c>
      <c r="Y20" s="12">
        <v>4.8157494269258204E-6</v>
      </c>
      <c r="Z20" s="10">
        <v>0.64665883304759897</v>
      </c>
      <c r="AA20" s="11">
        <v>0</v>
      </c>
      <c r="AB20" s="12">
        <v>0</v>
      </c>
      <c r="AC20" s="20">
        <f t="shared" si="0"/>
        <v>7.3127155047868625E-2</v>
      </c>
    </row>
    <row r="21" spans="1:29" x14ac:dyDescent="0.3">
      <c r="A21" s="13" t="s">
        <v>42</v>
      </c>
      <c r="B21">
        <v>1999</v>
      </c>
      <c r="C21" s="14">
        <v>2427.5970000000002</v>
      </c>
      <c r="D21" s="10">
        <v>0</v>
      </c>
      <c r="E21" s="12">
        <v>0</v>
      </c>
      <c r="F21" s="10">
        <v>0</v>
      </c>
      <c r="G21" s="12">
        <v>2.2862114263611298E-3</v>
      </c>
      <c r="H21" s="10">
        <v>0</v>
      </c>
      <c r="I21" s="12">
        <v>0</v>
      </c>
      <c r="J21" s="10">
        <v>5.3938112462653398E-3</v>
      </c>
      <c r="K21" s="11">
        <v>0</v>
      </c>
      <c r="L21" s="11">
        <v>2.00815868531721E-3</v>
      </c>
      <c r="M21" s="11">
        <v>0</v>
      </c>
      <c r="N21" s="12">
        <v>0</v>
      </c>
      <c r="O21" s="10">
        <v>0</v>
      </c>
      <c r="P21" s="12">
        <v>0</v>
      </c>
      <c r="Q21" s="10">
        <v>2.1203657030968409E-2</v>
      </c>
      <c r="R21" s="11">
        <v>0</v>
      </c>
      <c r="S21" s="11">
        <v>8.8073341769339189E-4</v>
      </c>
      <c r="T21" s="11">
        <v>0</v>
      </c>
      <c r="U21" s="10">
        <v>2.3985570451046812E-3</v>
      </c>
      <c r="V21" s="12">
        <v>6.6289532452451921E-2</v>
      </c>
      <c r="W21" s="10">
        <v>6.97768204524886E-3</v>
      </c>
      <c r="X21" s="11">
        <v>4.28407186201004E-4</v>
      </c>
      <c r="Y21" s="12">
        <v>0</v>
      </c>
      <c r="Z21" s="10">
        <v>0.89213324946438799</v>
      </c>
      <c r="AA21" s="11">
        <v>0</v>
      </c>
      <c r="AB21" s="12">
        <v>0</v>
      </c>
      <c r="AC21" s="20">
        <f t="shared" si="0"/>
        <v>9.6881813579436805E-3</v>
      </c>
    </row>
    <row r="22" spans="1:29" x14ac:dyDescent="0.3">
      <c r="A22" s="13" t="s">
        <v>42</v>
      </c>
      <c r="B22">
        <v>2000</v>
      </c>
      <c r="C22" s="14">
        <v>1769.29</v>
      </c>
      <c r="D22" s="10">
        <v>0</v>
      </c>
      <c r="E22" s="12">
        <v>0</v>
      </c>
      <c r="F22" s="10">
        <v>7.9806023885287299E-4</v>
      </c>
      <c r="G22" s="12">
        <v>1.9238790701354799E-2</v>
      </c>
      <c r="H22" s="10">
        <v>2.20427403082592E-4</v>
      </c>
      <c r="I22" s="12">
        <v>0</v>
      </c>
      <c r="J22" s="10">
        <v>3.54899422932363E-2</v>
      </c>
      <c r="K22" s="11">
        <v>2.71295265332421E-5</v>
      </c>
      <c r="L22" s="11">
        <v>7.6787864058464102E-3</v>
      </c>
      <c r="M22" s="11">
        <v>0</v>
      </c>
      <c r="N22" s="12">
        <v>0</v>
      </c>
      <c r="O22" s="10">
        <v>0</v>
      </c>
      <c r="P22" s="12">
        <v>0</v>
      </c>
      <c r="Q22" s="10">
        <v>1.0483069400242446E-2</v>
      </c>
      <c r="R22" s="11">
        <v>0</v>
      </c>
      <c r="S22" s="11">
        <v>0</v>
      </c>
      <c r="T22" s="11">
        <v>4.3140700586588455E-2</v>
      </c>
      <c r="U22" s="10">
        <v>4.0919530123687273E-3</v>
      </c>
      <c r="V22" s="12">
        <v>7.5208783441236979E-2</v>
      </c>
      <c r="W22" s="10">
        <v>1.05183435163258E-3</v>
      </c>
      <c r="X22" s="11">
        <v>0</v>
      </c>
      <c r="Y22" s="12">
        <v>0</v>
      </c>
      <c r="Z22" s="10">
        <v>0.80257052263902495</v>
      </c>
      <c r="AA22" s="11">
        <v>0</v>
      </c>
      <c r="AB22" s="12">
        <v>0</v>
      </c>
      <c r="AC22" s="20">
        <f t="shared" si="0"/>
        <v>6.3453136568906207E-2</v>
      </c>
    </row>
    <row r="23" spans="1:29" x14ac:dyDescent="0.3">
      <c r="A23" s="13" t="s">
        <v>42</v>
      </c>
      <c r="B23">
        <v>2001</v>
      </c>
      <c r="C23" s="14">
        <v>2273.7069999999999</v>
      </c>
      <c r="D23" s="10">
        <v>0</v>
      </c>
      <c r="E23" s="12">
        <v>0</v>
      </c>
      <c r="F23" s="10">
        <v>1.65500655977221E-3</v>
      </c>
      <c r="G23" s="12">
        <v>7.6878859061435805E-4</v>
      </c>
      <c r="H23" s="10">
        <v>1.8925041792983901E-3</v>
      </c>
      <c r="I23" s="12">
        <v>0</v>
      </c>
      <c r="J23" s="10">
        <v>3.4060677123305703E-2</v>
      </c>
      <c r="K23" s="11">
        <v>4.3550026454595896E-3</v>
      </c>
      <c r="L23" s="11">
        <v>3.0003865933473399E-3</v>
      </c>
      <c r="M23" s="11">
        <v>0</v>
      </c>
      <c r="N23" s="12">
        <v>0</v>
      </c>
      <c r="O23" s="10">
        <v>8.2244546021101198E-5</v>
      </c>
      <c r="P23" s="12">
        <v>0</v>
      </c>
      <c r="Q23" s="10">
        <v>1.9197051666283015E-2</v>
      </c>
      <c r="R23" s="11">
        <v>0</v>
      </c>
      <c r="S23" s="11">
        <v>0</v>
      </c>
      <c r="T23" s="11">
        <v>2.4448853456936488E-2</v>
      </c>
      <c r="U23" s="10">
        <v>9.3469412483942922E-3</v>
      </c>
      <c r="V23" s="12">
        <v>5.7917222515890203E-2</v>
      </c>
      <c r="W23" s="10">
        <v>8.4500773406599901E-3</v>
      </c>
      <c r="X23" s="11">
        <v>0</v>
      </c>
      <c r="Y23" s="12">
        <v>1.31063501145926E-4</v>
      </c>
      <c r="Z23" s="10">
        <v>0.83469418003287099</v>
      </c>
      <c r="AA23" s="11">
        <v>0</v>
      </c>
      <c r="AB23" s="12">
        <v>0</v>
      </c>
      <c r="AC23" s="20">
        <f t="shared" si="0"/>
        <v>4.5814610237818687E-2</v>
      </c>
    </row>
    <row r="24" spans="1:29" x14ac:dyDescent="0.3">
      <c r="A24" s="13" t="s">
        <v>42</v>
      </c>
      <c r="B24">
        <v>2002</v>
      </c>
      <c r="C24" s="14">
        <v>2322.5030000000002</v>
      </c>
      <c r="D24" s="10">
        <v>1.20129015979743E-4</v>
      </c>
      <c r="E24" s="12">
        <v>0</v>
      </c>
      <c r="F24" s="10">
        <v>1.4923554458272001E-2</v>
      </c>
      <c r="G24" s="12">
        <v>3.2619979392922199E-3</v>
      </c>
      <c r="H24" s="10">
        <v>6.5334684174789001E-3</v>
      </c>
      <c r="I24" s="12">
        <v>3.4660880954728602E-4</v>
      </c>
      <c r="J24" s="10">
        <v>8.2458451076274208E-3</v>
      </c>
      <c r="K24" s="11">
        <v>9.4725388944599908E-6</v>
      </c>
      <c r="L24" s="11">
        <v>2.8189414610013401E-3</v>
      </c>
      <c r="M24" s="11">
        <v>0</v>
      </c>
      <c r="N24" s="12">
        <v>0</v>
      </c>
      <c r="O24" s="10">
        <v>2.1554331684394E-3</v>
      </c>
      <c r="P24" s="12">
        <v>0</v>
      </c>
      <c r="Q24" s="10">
        <v>0</v>
      </c>
      <c r="R24" s="11">
        <v>0</v>
      </c>
      <c r="S24" s="11">
        <v>2.7388255219457421E-3</v>
      </c>
      <c r="T24" s="11">
        <v>2.2094726899730355E-2</v>
      </c>
      <c r="U24" s="10">
        <v>3.8625187560768987E-3</v>
      </c>
      <c r="V24" s="12">
        <v>3.6120206777539202E-2</v>
      </c>
      <c r="W24" s="10">
        <v>7.9810445885322902E-3</v>
      </c>
      <c r="X24" s="11">
        <v>0</v>
      </c>
      <c r="Y24" s="12">
        <v>2.1748088161780599E-3</v>
      </c>
      <c r="Z24" s="10">
        <v>0.886612417723465</v>
      </c>
      <c r="AA24" s="11">
        <v>0</v>
      </c>
      <c r="AB24" s="12">
        <v>0</v>
      </c>
      <c r="AC24" s="20">
        <f t="shared" si="0"/>
        <v>3.8295321900553028E-2</v>
      </c>
    </row>
    <row r="25" spans="1:29" x14ac:dyDescent="0.3">
      <c r="A25" s="13" t="s">
        <v>42</v>
      </c>
      <c r="B25">
        <v>2003</v>
      </c>
      <c r="C25" s="14">
        <v>1805.0609999999999</v>
      </c>
      <c r="D25" s="10">
        <v>1.1694895629566001E-3</v>
      </c>
      <c r="E25" s="12">
        <v>0</v>
      </c>
      <c r="F25" s="10">
        <v>2.5199702392329101E-2</v>
      </c>
      <c r="G25" s="12">
        <v>0</v>
      </c>
      <c r="H25" s="10">
        <v>9.1005234726139403E-3</v>
      </c>
      <c r="I25" s="12">
        <v>6.1266627554415103E-3</v>
      </c>
      <c r="J25" s="10">
        <v>1.8241488791791501E-2</v>
      </c>
      <c r="K25" s="11">
        <v>0</v>
      </c>
      <c r="L25" s="11">
        <v>1.01974393109153E-2</v>
      </c>
      <c r="M25" s="11">
        <v>0</v>
      </c>
      <c r="N25" s="12">
        <v>0</v>
      </c>
      <c r="O25" s="10">
        <v>0</v>
      </c>
      <c r="P25" s="12">
        <v>0</v>
      </c>
      <c r="Q25" s="10">
        <v>3.2175740239364856E-2</v>
      </c>
      <c r="R25" s="11">
        <v>0</v>
      </c>
      <c r="S25" s="11">
        <v>2.925605683461484E-3</v>
      </c>
      <c r="T25" s="11">
        <v>3.2619911142724355E-2</v>
      </c>
      <c r="U25" s="10">
        <v>6.7547528530045864E-4</v>
      </c>
      <c r="V25" s="12">
        <v>4.6894403602095814E-3</v>
      </c>
      <c r="W25" s="10">
        <v>4.9948450495578799E-3</v>
      </c>
      <c r="X25" s="11">
        <v>0</v>
      </c>
      <c r="Y25" s="12">
        <v>1.1079957962639501E-6</v>
      </c>
      <c r="Z25" s="10">
        <v>0.85188256795753703</v>
      </c>
      <c r="AA25" s="11">
        <v>0</v>
      </c>
      <c r="AB25" s="12">
        <v>0</v>
      </c>
      <c r="AC25" s="20">
        <f t="shared" si="0"/>
        <v>6.8865816723091347E-2</v>
      </c>
    </row>
    <row r="26" spans="1:29" x14ac:dyDescent="0.3">
      <c r="A26" s="13" t="s">
        <v>42</v>
      </c>
      <c r="B26">
        <v>2004</v>
      </c>
      <c r="C26" s="14">
        <v>439.53300000000002</v>
      </c>
      <c r="D26" s="10">
        <v>4.5502840514819102E-6</v>
      </c>
      <c r="E26" s="12">
        <v>0</v>
      </c>
      <c r="F26" s="10">
        <v>2.1868665151422099E-2</v>
      </c>
      <c r="G26" s="12">
        <v>0</v>
      </c>
      <c r="H26" s="10">
        <v>2.0410299112922099E-2</v>
      </c>
      <c r="I26" s="12">
        <v>0</v>
      </c>
      <c r="J26" s="10">
        <v>1.46974174862866E-2</v>
      </c>
      <c r="K26" s="11">
        <v>0</v>
      </c>
      <c r="L26" s="11">
        <v>2.09813597613831E-2</v>
      </c>
      <c r="M26" s="11">
        <v>0</v>
      </c>
      <c r="N26" s="12">
        <v>0</v>
      </c>
      <c r="O26" s="10">
        <v>0</v>
      </c>
      <c r="P26" s="12">
        <v>0</v>
      </c>
      <c r="Q26" s="10">
        <v>0</v>
      </c>
      <c r="R26" s="11">
        <v>0</v>
      </c>
      <c r="S26" s="11">
        <v>0</v>
      </c>
      <c r="T26" s="11">
        <v>0</v>
      </c>
      <c r="U26" s="10">
        <v>1.8146348554753538E-2</v>
      </c>
      <c r="V26" s="12">
        <v>0.21898942964620047</v>
      </c>
      <c r="W26" s="10">
        <v>1.0254065110014501E-2</v>
      </c>
      <c r="X26" s="11">
        <v>0</v>
      </c>
      <c r="Y26" s="12">
        <v>0</v>
      </c>
      <c r="Z26" s="10">
        <v>0.67464786489296602</v>
      </c>
      <c r="AA26" s="11">
        <v>0</v>
      </c>
      <c r="AB26" s="12">
        <v>0</v>
      </c>
      <c r="AC26" s="20">
        <f t="shared" si="0"/>
        <v>7.7957741512013901E-2</v>
      </c>
    </row>
    <row r="27" spans="1:29" x14ac:dyDescent="0.3">
      <c r="A27" s="13" t="s">
        <v>42</v>
      </c>
      <c r="B27">
        <v>2005</v>
      </c>
      <c r="C27" s="14">
        <v>541.16300000000001</v>
      </c>
      <c r="D27" s="10">
        <v>0</v>
      </c>
      <c r="E27" s="12">
        <v>0</v>
      </c>
      <c r="F27" s="10">
        <v>9.7105677956549098E-3</v>
      </c>
      <c r="G27" s="12">
        <v>0</v>
      </c>
      <c r="H27" s="10">
        <v>2.9100289561555401E-2</v>
      </c>
      <c r="I27" s="12">
        <v>0</v>
      </c>
      <c r="J27" s="10">
        <v>0.12096355441890901</v>
      </c>
      <c r="K27" s="11">
        <v>0</v>
      </c>
      <c r="L27" s="11">
        <v>0.16337776233778001</v>
      </c>
      <c r="M27" s="11">
        <v>0</v>
      </c>
      <c r="N27" s="12">
        <v>0</v>
      </c>
      <c r="O27" s="10">
        <v>0</v>
      </c>
      <c r="P27" s="12">
        <v>0</v>
      </c>
      <c r="Q27" s="10">
        <v>2.2757121425357657E-2</v>
      </c>
      <c r="R27" s="11">
        <v>0</v>
      </c>
      <c r="S27" s="11">
        <v>0</v>
      </c>
      <c r="T27" s="11">
        <v>8.8895005567803345E-2</v>
      </c>
      <c r="U27" s="10">
        <v>2.3528706277299717E-3</v>
      </c>
      <c r="V27" s="12">
        <v>0.11037102217351502</v>
      </c>
      <c r="W27" s="10">
        <v>5.3551332962527001E-3</v>
      </c>
      <c r="X27" s="11">
        <v>0</v>
      </c>
      <c r="Y27" s="12">
        <v>4.2501057906767501E-5</v>
      </c>
      <c r="Z27" s="10">
        <v>0.447074171737536</v>
      </c>
      <c r="AA27" s="11">
        <v>0</v>
      </c>
      <c r="AB27" s="12">
        <v>0</v>
      </c>
      <c r="AC27" s="20">
        <f t="shared" si="0"/>
        <v>0.32315217411389929</v>
      </c>
    </row>
    <row r="28" spans="1:29" x14ac:dyDescent="0.3">
      <c r="A28" s="13" t="s">
        <v>42</v>
      </c>
      <c r="B28">
        <v>2006</v>
      </c>
      <c r="C28" s="14">
        <v>434.75200000000001</v>
      </c>
      <c r="D28" s="10">
        <v>0</v>
      </c>
      <c r="E28" s="12">
        <v>0</v>
      </c>
      <c r="F28" s="10">
        <v>1.65979684969822E-2</v>
      </c>
      <c r="G28" s="12">
        <v>0</v>
      </c>
      <c r="H28" s="10">
        <v>1.7550235536581801E-2</v>
      </c>
      <c r="I28" s="12">
        <v>0</v>
      </c>
      <c r="J28" s="10">
        <v>2.7528337994994899E-2</v>
      </c>
      <c r="K28" s="11">
        <v>0</v>
      </c>
      <c r="L28" s="11">
        <v>4.25529957308995E-4</v>
      </c>
      <c r="M28" s="11">
        <v>0</v>
      </c>
      <c r="N28" s="12">
        <v>0</v>
      </c>
      <c r="O28" s="10">
        <v>0</v>
      </c>
      <c r="P28" s="12">
        <v>0</v>
      </c>
      <c r="Q28" s="10">
        <v>7.3769313962718068E-3</v>
      </c>
      <c r="R28" s="11">
        <v>0</v>
      </c>
      <c r="S28" s="11">
        <v>0</v>
      </c>
      <c r="T28" s="11">
        <v>9.0490358460934187E-2</v>
      </c>
      <c r="U28" s="10">
        <v>4.0164131707509741E-3</v>
      </c>
      <c r="V28" s="12">
        <v>0.13362297664229203</v>
      </c>
      <c r="W28" s="10">
        <v>4.2414986015015498E-3</v>
      </c>
      <c r="X28" s="11">
        <v>0</v>
      </c>
      <c r="Y28" s="12">
        <v>6.3070440158987202E-3</v>
      </c>
      <c r="Z28" s="10">
        <v>0.69184270572648299</v>
      </c>
      <c r="AA28" s="11">
        <v>0</v>
      </c>
      <c r="AB28" s="12">
        <v>0</v>
      </c>
      <c r="AC28" s="20">
        <f t="shared" si="0"/>
        <v>6.2102071985867896E-2</v>
      </c>
    </row>
    <row r="29" spans="1:29" x14ac:dyDescent="0.3">
      <c r="A29" s="13" t="s">
        <v>42</v>
      </c>
      <c r="B29">
        <v>2007</v>
      </c>
      <c r="C29" s="14">
        <v>162.441</v>
      </c>
      <c r="D29" s="10">
        <v>0</v>
      </c>
      <c r="E29" s="12">
        <v>0</v>
      </c>
      <c r="F29" s="10">
        <v>5.4296636932794099E-3</v>
      </c>
      <c r="G29" s="12">
        <v>5.1957326044533101E-3</v>
      </c>
      <c r="H29" s="10">
        <v>5.2609870660732201E-2</v>
      </c>
      <c r="I29" s="12">
        <v>0</v>
      </c>
      <c r="J29" s="10">
        <v>1.78526357262021E-4</v>
      </c>
      <c r="K29" s="11">
        <v>0</v>
      </c>
      <c r="L29" s="11">
        <v>3.8598629656306001E-3</v>
      </c>
      <c r="M29" s="11">
        <v>0</v>
      </c>
      <c r="N29" s="12">
        <v>0</v>
      </c>
      <c r="O29" s="10">
        <v>0</v>
      </c>
      <c r="P29" s="12">
        <v>0</v>
      </c>
      <c r="Q29" s="10">
        <v>0</v>
      </c>
      <c r="R29" s="11">
        <v>0</v>
      </c>
      <c r="S29" s="11">
        <v>4.4947119713426499E-2</v>
      </c>
      <c r="T29" s="11">
        <v>0.1658371034814565</v>
      </c>
      <c r="U29" s="10">
        <v>4.00105308964526E-3</v>
      </c>
      <c r="V29" s="12">
        <v>0.30408003481303975</v>
      </c>
      <c r="W29" s="10">
        <v>2.18109959923911E-2</v>
      </c>
      <c r="X29" s="11">
        <v>0</v>
      </c>
      <c r="Y29" s="12">
        <v>7.6951016061216099E-4</v>
      </c>
      <c r="Z29" s="10">
        <v>0.39128052646807099</v>
      </c>
      <c r="AA29" s="11">
        <v>0</v>
      </c>
      <c r="AB29" s="12">
        <v>0</v>
      </c>
      <c r="AC29" s="20">
        <f t="shared" si="0"/>
        <v>6.7273656281357536E-2</v>
      </c>
    </row>
    <row r="30" spans="1:29" x14ac:dyDescent="0.3">
      <c r="A30" s="13" t="s">
        <v>42</v>
      </c>
      <c r="B30">
        <v>2008</v>
      </c>
      <c r="C30" s="14">
        <v>831.803</v>
      </c>
      <c r="D30" s="10">
        <v>0</v>
      </c>
      <c r="E30" s="12">
        <v>0</v>
      </c>
      <c r="F30" s="10">
        <v>8.5488991984880996E-3</v>
      </c>
      <c r="G30" s="12">
        <v>8.3204797289742893E-3</v>
      </c>
      <c r="H30" s="10">
        <v>0</v>
      </c>
      <c r="I30" s="12">
        <v>0</v>
      </c>
      <c r="J30" s="10">
        <v>1.58727487157416E-2</v>
      </c>
      <c r="K30" s="11">
        <v>0</v>
      </c>
      <c r="L30" s="11">
        <v>0.25892068194031498</v>
      </c>
      <c r="M30" s="11">
        <v>0</v>
      </c>
      <c r="N30" s="12">
        <v>0</v>
      </c>
      <c r="O30" s="10">
        <v>0</v>
      </c>
      <c r="P30" s="12">
        <v>0</v>
      </c>
      <c r="Q30" s="10">
        <v>1.3109035277992314E-3</v>
      </c>
      <c r="R30" s="11">
        <v>0</v>
      </c>
      <c r="S30" s="11">
        <v>9.1120647177417181E-3</v>
      </c>
      <c r="T30" s="11">
        <v>1.8545429319747949E-2</v>
      </c>
      <c r="U30" s="10">
        <v>3.0380308671269173E-3</v>
      </c>
      <c r="V30" s="12">
        <v>8.269140266461078E-2</v>
      </c>
      <c r="W30" s="10">
        <v>1.6376473756406301E-2</v>
      </c>
      <c r="X30" s="11">
        <v>3.7869543629922E-3</v>
      </c>
      <c r="Y30" s="12">
        <v>2.5595002662890101E-3</v>
      </c>
      <c r="Z30" s="10">
        <v>0.57091643093376698</v>
      </c>
      <c r="AA30" s="11">
        <v>0</v>
      </c>
      <c r="AB30" s="12">
        <v>0</v>
      </c>
      <c r="AC30" s="20">
        <f t="shared" si="0"/>
        <v>0.29166280958351898</v>
      </c>
    </row>
    <row r="31" spans="1:29" x14ac:dyDescent="0.3">
      <c r="A31" s="13" t="s">
        <v>42</v>
      </c>
      <c r="B31">
        <v>2009</v>
      </c>
      <c r="C31" s="14">
        <v>293.47199999999998</v>
      </c>
      <c r="D31" s="10">
        <v>3.5778541053320301E-3</v>
      </c>
      <c r="E31" s="12">
        <v>0</v>
      </c>
      <c r="F31" s="10">
        <v>1.6502426125831401E-2</v>
      </c>
      <c r="G31" s="12">
        <v>1.2335077963144701E-3</v>
      </c>
      <c r="H31" s="10">
        <v>0</v>
      </c>
      <c r="I31" s="12">
        <v>8.3142514447715604E-4</v>
      </c>
      <c r="J31" s="10">
        <v>7.5850507033038903E-2</v>
      </c>
      <c r="K31" s="11">
        <v>3.0667320902845902E-4</v>
      </c>
      <c r="L31" s="11">
        <v>1.45499400283502E-3</v>
      </c>
      <c r="M31" s="11">
        <v>0</v>
      </c>
      <c r="N31" s="12">
        <v>0</v>
      </c>
      <c r="O31" s="10">
        <v>1.02224403009486E-5</v>
      </c>
      <c r="P31" s="12">
        <v>0</v>
      </c>
      <c r="Q31" s="10">
        <v>0.16391966979246167</v>
      </c>
      <c r="R31" s="11">
        <v>0</v>
      </c>
      <c r="S31" s="11">
        <v>0</v>
      </c>
      <c r="T31" s="11">
        <v>3.2783933958492328E-2</v>
      </c>
      <c r="U31" s="10">
        <v>6.3846936455925086E-3</v>
      </c>
      <c r="V31" s="12">
        <v>0.18196376889938648</v>
      </c>
      <c r="W31" s="10">
        <v>3.8763493621197298E-2</v>
      </c>
      <c r="X31" s="11">
        <v>0</v>
      </c>
      <c r="Y31" s="12">
        <v>2.1075264420455798E-2</v>
      </c>
      <c r="Z31" s="10">
        <v>0.45534156580525598</v>
      </c>
      <c r="AA31" s="11">
        <v>0</v>
      </c>
      <c r="AB31" s="12">
        <v>0</v>
      </c>
      <c r="AC31" s="20">
        <f t="shared" si="0"/>
        <v>9.6189755751826367E-2</v>
      </c>
    </row>
    <row r="32" spans="1:29" x14ac:dyDescent="0.3">
      <c r="A32" s="13" t="s">
        <v>42</v>
      </c>
      <c r="B32">
        <v>2010</v>
      </c>
      <c r="C32" s="14">
        <v>2383.1469999999999</v>
      </c>
      <c r="D32" s="10">
        <v>3.2347983569624502E-3</v>
      </c>
      <c r="E32" s="12">
        <v>0</v>
      </c>
      <c r="F32" s="10">
        <v>1.2624483508570801E-2</v>
      </c>
      <c r="G32" s="12">
        <v>1.26807116808153E-3</v>
      </c>
      <c r="H32" s="10">
        <v>0</v>
      </c>
      <c r="I32" s="12">
        <v>2.1454824230313901E-3</v>
      </c>
      <c r="J32" s="10">
        <v>5.3227937680722197E-3</v>
      </c>
      <c r="K32" s="11">
        <v>1.19795379806617E-2</v>
      </c>
      <c r="L32" s="11">
        <v>2.4891036935615E-2</v>
      </c>
      <c r="M32" s="11">
        <v>0</v>
      </c>
      <c r="N32" s="12">
        <v>0</v>
      </c>
      <c r="O32" s="10">
        <v>1.09099438683388E-5</v>
      </c>
      <c r="P32" s="12">
        <v>2.2365384930094501E-4</v>
      </c>
      <c r="Q32" s="10">
        <v>0</v>
      </c>
      <c r="R32" s="11">
        <v>0</v>
      </c>
      <c r="S32" s="11">
        <v>0</v>
      </c>
      <c r="T32" s="11">
        <v>0</v>
      </c>
      <c r="U32" s="10">
        <v>3.5718004665020878E-3</v>
      </c>
      <c r="V32" s="12">
        <v>4.1661246424856316E-2</v>
      </c>
      <c r="W32" s="10">
        <v>7.0650278812007796E-3</v>
      </c>
      <c r="X32" s="11">
        <v>0</v>
      </c>
      <c r="Y32" s="12">
        <v>5.1402620148903897E-3</v>
      </c>
      <c r="Z32" s="10">
        <v>0.88086047566516001</v>
      </c>
      <c r="AA32" s="11">
        <v>0</v>
      </c>
      <c r="AB32" s="12">
        <v>0</v>
      </c>
      <c r="AC32" s="20">
        <f t="shared" si="0"/>
        <v>5.8465969577201925E-2</v>
      </c>
    </row>
    <row r="33" spans="1:29" x14ac:dyDescent="0.3">
      <c r="A33" s="13" t="s">
        <v>42</v>
      </c>
      <c r="B33">
        <v>2011</v>
      </c>
      <c r="C33" s="14">
        <v>761.96400000000006</v>
      </c>
      <c r="D33" s="10">
        <v>2.62479592211706E-6</v>
      </c>
      <c r="E33" s="12">
        <v>0</v>
      </c>
      <c r="F33" s="10">
        <v>6.9543967956491402E-3</v>
      </c>
      <c r="G33" s="12">
        <v>9.4361413400108102E-4</v>
      </c>
      <c r="H33" s="10">
        <v>0</v>
      </c>
      <c r="I33" s="12">
        <v>1.12656240977264E-2</v>
      </c>
      <c r="J33" s="10">
        <v>2.9910861930484901E-2</v>
      </c>
      <c r="K33" s="11">
        <v>2.2747793859027501E-2</v>
      </c>
      <c r="L33" s="11">
        <v>7.9372516286858694E-2</v>
      </c>
      <c r="M33" s="11">
        <v>0</v>
      </c>
      <c r="N33" s="12">
        <v>0</v>
      </c>
      <c r="O33" s="10">
        <v>0</v>
      </c>
      <c r="P33" s="12">
        <v>1.7717372474290101E-4</v>
      </c>
      <c r="Q33" s="10">
        <v>2.2447254725945099E-2</v>
      </c>
      <c r="R33" s="11">
        <v>0</v>
      </c>
      <c r="S33" s="11">
        <v>0</v>
      </c>
      <c r="T33" s="11">
        <v>0</v>
      </c>
      <c r="U33" s="10">
        <v>3.7354783165608862E-2</v>
      </c>
      <c r="V33" s="12">
        <v>0</v>
      </c>
      <c r="W33" s="10">
        <v>2.7396307437096801E-2</v>
      </c>
      <c r="X33" s="11">
        <v>0</v>
      </c>
      <c r="Y33" s="12">
        <v>1.0748539301069299E-2</v>
      </c>
      <c r="Z33" s="10">
        <v>0.75067850974586703</v>
      </c>
      <c r="AA33" s="11">
        <v>0</v>
      </c>
      <c r="AB33" s="12">
        <v>0</v>
      </c>
      <c r="AC33" s="20">
        <f t="shared" si="0"/>
        <v>0.15137198082849063</v>
      </c>
    </row>
    <row r="34" spans="1:29" x14ac:dyDescent="0.3">
      <c r="A34" s="13" t="s">
        <v>42</v>
      </c>
      <c r="B34">
        <v>2012</v>
      </c>
      <c r="C34" s="14">
        <v>743.827</v>
      </c>
      <c r="D34" s="10">
        <v>0</v>
      </c>
      <c r="E34" s="12">
        <v>0</v>
      </c>
      <c r="F34" s="10">
        <v>6.6211632543588797E-3</v>
      </c>
      <c r="G34" s="12">
        <v>8.2183088271869705E-3</v>
      </c>
      <c r="H34" s="10">
        <v>3.5626563703656898E-4</v>
      </c>
      <c r="I34" s="12">
        <v>0</v>
      </c>
      <c r="J34" s="10">
        <v>1.4586725139044399E-2</v>
      </c>
      <c r="K34" s="11">
        <v>1.8888800756089799E-2</v>
      </c>
      <c r="L34" s="11">
        <v>3.2873235308747903E-2</v>
      </c>
      <c r="M34" s="11">
        <v>0</v>
      </c>
      <c r="N34" s="12">
        <v>5.4448144528230396E-4</v>
      </c>
      <c r="O34" s="10">
        <v>0</v>
      </c>
      <c r="P34" s="12">
        <v>0</v>
      </c>
      <c r="Q34" s="10">
        <v>7.4881899613702336E-3</v>
      </c>
      <c r="R34" s="11">
        <v>0</v>
      </c>
      <c r="S34" s="11">
        <v>0</v>
      </c>
      <c r="T34" s="11">
        <v>1.4372725453685668E-3</v>
      </c>
      <c r="U34" s="10">
        <v>6.4759871374755629E-3</v>
      </c>
      <c r="V34" s="12">
        <v>0.16594717039781132</v>
      </c>
      <c r="W34" s="10">
        <v>8.1285029986811405E-2</v>
      </c>
      <c r="X34" s="11">
        <v>0</v>
      </c>
      <c r="Y34" s="12">
        <v>4.0237851005677401E-3</v>
      </c>
      <c r="Z34" s="10">
        <v>0.65125358450284798</v>
      </c>
      <c r="AA34" s="11">
        <v>0</v>
      </c>
      <c r="AB34" s="12">
        <v>0</v>
      </c>
      <c r="AC34" s="20">
        <f t="shared" si="0"/>
        <v>8.2088980367746825E-2</v>
      </c>
    </row>
    <row r="35" spans="1:29" x14ac:dyDescent="0.3">
      <c r="A35" s="13" t="s">
        <v>42</v>
      </c>
      <c r="B35">
        <v>2013</v>
      </c>
      <c r="C35" s="14">
        <v>1440.604</v>
      </c>
      <c r="D35" s="10">
        <v>0</v>
      </c>
      <c r="E35" s="12">
        <v>0</v>
      </c>
      <c r="F35" s="10">
        <v>1.0599026519432101E-2</v>
      </c>
      <c r="G35" s="12">
        <v>0</v>
      </c>
      <c r="H35" s="10">
        <v>2.6995621281073801E-3</v>
      </c>
      <c r="I35" s="12">
        <v>0</v>
      </c>
      <c r="J35" s="10">
        <v>2.1394498418718801E-2</v>
      </c>
      <c r="K35" s="11">
        <v>9.7181459998722795E-6</v>
      </c>
      <c r="L35" s="11">
        <v>1.39712231813878E-2</v>
      </c>
      <c r="M35" s="11">
        <v>0</v>
      </c>
      <c r="N35" s="12">
        <v>2.11647336811504E-3</v>
      </c>
      <c r="O35" s="10">
        <v>0</v>
      </c>
      <c r="P35" s="12">
        <v>1.3605404399821201E-4</v>
      </c>
      <c r="Q35" s="10">
        <v>0</v>
      </c>
      <c r="R35" s="11">
        <v>0</v>
      </c>
      <c r="S35" s="11">
        <v>0</v>
      </c>
      <c r="T35" s="11">
        <v>0</v>
      </c>
      <c r="U35" s="10">
        <v>3.0947199992865555E-3</v>
      </c>
      <c r="V35" s="12">
        <v>1.8636442762999226E-2</v>
      </c>
      <c r="W35" s="10">
        <v>3.16915682588692E-2</v>
      </c>
      <c r="X35" s="11">
        <v>0</v>
      </c>
      <c r="Y35" s="12">
        <v>1.05705662347182E-2</v>
      </c>
      <c r="Z35" s="10">
        <v>0.88508014693836701</v>
      </c>
      <c r="AA35" s="11">
        <v>0</v>
      </c>
      <c r="AB35" s="12">
        <v>0</v>
      </c>
      <c r="AC35" s="20">
        <f t="shared" si="0"/>
        <v>5.0926555805759201E-2</v>
      </c>
    </row>
    <row r="36" spans="1:29" x14ac:dyDescent="0.3">
      <c r="A36" s="13" t="s">
        <v>42</v>
      </c>
      <c r="B36">
        <v>2014</v>
      </c>
      <c r="C36" s="14">
        <v>443.13499999999999</v>
      </c>
      <c r="D36" s="10">
        <v>0</v>
      </c>
      <c r="E36" s="12">
        <v>0</v>
      </c>
      <c r="F36" s="10">
        <v>1.02451848759407E-3</v>
      </c>
      <c r="G36" s="12">
        <v>1.25695329865617E-3</v>
      </c>
      <c r="H36" s="10">
        <v>1.8269827479210601E-2</v>
      </c>
      <c r="I36" s="12">
        <v>0</v>
      </c>
      <c r="J36" s="10">
        <v>1.3591794825504599E-2</v>
      </c>
      <c r="K36" s="11">
        <v>8.1239351439177699E-5</v>
      </c>
      <c r="L36" s="11">
        <v>2.43718054317533E-4</v>
      </c>
      <c r="M36" s="11">
        <v>0</v>
      </c>
      <c r="N36" s="12">
        <v>0</v>
      </c>
      <c r="O36" s="10">
        <v>0</v>
      </c>
      <c r="P36" s="12">
        <v>1.38783892041929E-3</v>
      </c>
      <c r="Q36" s="10">
        <v>0</v>
      </c>
      <c r="R36" s="11">
        <v>0</v>
      </c>
      <c r="S36" s="11">
        <v>8.6835840093876602E-3</v>
      </c>
      <c r="T36" s="11">
        <v>0</v>
      </c>
      <c r="U36" s="10">
        <v>1.0041689589057838E-2</v>
      </c>
      <c r="V36" s="12">
        <v>9.7492131932600382E-2</v>
      </c>
      <c r="W36" s="10">
        <v>1.8680537533708699E-2</v>
      </c>
      <c r="X36" s="11">
        <v>1.12832432554413E-5</v>
      </c>
      <c r="Y36" s="12">
        <v>3.6851072472271402E-3</v>
      </c>
      <c r="Z36" s="10">
        <v>0.82554977602762103</v>
      </c>
      <c r="AA36" s="11">
        <v>0</v>
      </c>
      <c r="AB36" s="12">
        <v>0</v>
      </c>
      <c r="AC36" s="20">
        <f t="shared" si="0"/>
        <v>3.5855890417141448E-2</v>
      </c>
    </row>
    <row r="37" spans="1:29" x14ac:dyDescent="0.3">
      <c r="A37" s="13" t="s">
        <v>42</v>
      </c>
      <c r="B37">
        <v>2015</v>
      </c>
      <c r="C37" s="14">
        <v>1568.508</v>
      </c>
      <c r="D37" s="10">
        <v>1.6767526847169401E-4</v>
      </c>
      <c r="E37" s="12">
        <v>0</v>
      </c>
      <c r="F37" s="10">
        <v>3.5422197400332002E-3</v>
      </c>
      <c r="G37" s="12">
        <v>3.3872954425479499E-3</v>
      </c>
      <c r="H37" s="10">
        <v>2.8810818943862601E-3</v>
      </c>
      <c r="I37" s="12">
        <v>0</v>
      </c>
      <c r="J37" s="10">
        <v>3.2210865357396999E-2</v>
      </c>
      <c r="K37" s="11">
        <v>5.1800819632415E-3</v>
      </c>
      <c r="L37" s="11">
        <v>9.0646652742606398E-3</v>
      </c>
      <c r="M37" s="11">
        <v>0</v>
      </c>
      <c r="N37" s="12">
        <v>0</v>
      </c>
      <c r="O37" s="10">
        <v>0</v>
      </c>
      <c r="P37" s="12">
        <v>4.1440655705931998E-5</v>
      </c>
      <c r="Q37" s="10">
        <v>0</v>
      </c>
      <c r="R37" s="11">
        <v>0</v>
      </c>
      <c r="S37" s="11">
        <v>0</v>
      </c>
      <c r="T37" s="11">
        <v>0</v>
      </c>
      <c r="U37" s="10">
        <v>8.3587096415257463E-3</v>
      </c>
      <c r="V37" s="12">
        <v>9.89349732724282E-2</v>
      </c>
      <c r="W37" s="10">
        <v>8.5661023086908098E-3</v>
      </c>
      <c r="X37" s="11">
        <v>1.9190211334593099E-3</v>
      </c>
      <c r="Y37" s="12">
        <v>6.1198285249421799E-3</v>
      </c>
      <c r="Z37" s="10">
        <v>0.81962603952291002</v>
      </c>
      <c r="AA37" s="11">
        <v>0</v>
      </c>
      <c r="AB37" s="12">
        <v>0</v>
      </c>
      <c r="AC37" s="20">
        <f t="shared" si="0"/>
        <v>5.6307650327572477E-2</v>
      </c>
    </row>
    <row r="38" spans="1:29" x14ac:dyDescent="0.3">
      <c r="A38" s="13" t="s">
        <v>42</v>
      </c>
      <c r="B38">
        <v>2016</v>
      </c>
      <c r="C38" s="14">
        <v>980.12800000000004</v>
      </c>
      <c r="D38" s="10">
        <v>1.9211776421038901E-3</v>
      </c>
      <c r="E38" s="12">
        <v>0</v>
      </c>
      <c r="F38" s="10">
        <v>1.68212723236149E-2</v>
      </c>
      <c r="G38" s="12">
        <v>4.5198178197133399E-4</v>
      </c>
      <c r="H38" s="10">
        <v>1.0846542492409199E-2</v>
      </c>
      <c r="I38" s="12">
        <v>0</v>
      </c>
      <c r="J38" s="10">
        <v>7.9372286068758402E-2</v>
      </c>
      <c r="K38" s="11">
        <v>1.5620408762937099E-2</v>
      </c>
      <c r="L38" s="11">
        <v>9.0508586633582608E-3</v>
      </c>
      <c r="M38" s="11">
        <v>0</v>
      </c>
      <c r="N38" s="12">
        <v>0</v>
      </c>
      <c r="O38" s="10">
        <v>0</v>
      </c>
      <c r="P38" s="12">
        <v>0</v>
      </c>
      <c r="Q38" s="10">
        <v>0</v>
      </c>
      <c r="R38" s="11">
        <v>0</v>
      </c>
      <c r="S38" s="11">
        <v>0</v>
      </c>
      <c r="T38" s="11">
        <v>0</v>
      </c>
      <c r="U38" s="10">
        <v>7.1844820563542085E-3</v>
      </c>
      <c r="V38" s="12">
        <v>0.10035759408064013</v>
      </c>
      <c r="W38" s="10">
        <v>1.2287170655261401E-2</v>
      </c>
      <c r="X38" s="11">
        <v>0</v>
      </c>
      <c r="Y38" s="12">
        <v>0</v>
      </c>
      <c r="Z38" s="10">
        <v>0.74608622547259096</v>
      </c>
      <c r="AA38" s="11">
        <v>0</v>
      </c>
      <c r="AB38" s="12">
        <v>0</v>
      </c>
      <c r="AC38" s="20">
        <f t="shared" si="0"/>
        <v>0.13216335009304919</v>
      </c>
    </row>
    <row r="39" spans="1:29" x14ac:dyDescent="0.3">
      <c r="A39" s="13" t="s">
        <v>42</v>
      </c>
      <c r="B39">
        <v>2017</v>
      </c>
      <c r="C39" s="14">
        <v>1127.0609999999999</v>
      </c>
      <c r="D39" s="10">
        <v>8.8726342229923698E-7</v>
      </c>
      <c r="E39" s="12">
        <v>0</v>
      </c>
      <c r="F39" s="10">
        <v>7.8842227705510203E-3</v>
      </c>
      <c r="G39" s="12">
        <v>3.5490536891969501E-6</v>
      </c>
      <c r="H39" s="10">
        <v>1.01059303799883E-2</v>
      </c>
      <c r="I39" s="12">
        <v>0</v>
      </c>
      <c r="J39" s="10">
        <v>2.8254016419696899E-2</v>
      </c>
      <c r="K39" s="11">
        <v>3.1941483202772497E-5</v>
      </c>
      <c r="L39" s="11">
        <v>4.45654671752461E-2</v>
      </c>
      <c r="M39" s="11">
        <v>0</v>
      </c>
      <c r="N39" s="12">
        <v>0</v>
      </c>
      <c r="O39" s="10">
        <v>0</v>
      </c>
      <c r="P39" s="12">
        <v>9.0500869074522096E-5</v>
      </c>
      <c r="Q39" s="10">
        <v>0</v>
      </c>
      <c r="R39" s="11">
        <v>0</v>
      </c>
      <c r="S39" s="11">
        <v>0</v>
      </c>
      <c r="T39" s="11">
        <v>0</v>
      </c>
      <c r="U39" s="10">
        <v>1.8596913751030635E-3</v>
      </c>
      <c r="V39" s="12">
        <v>7.3017356096151856E-2</v>
      </c>
      <c r="W39" s="10">
        <v>1.6962702107516801E-2</v>
      </c>
      <c r="X39" s="11">
        <v>0</v>
      </c>
      <c r="Y39" s="12">
        <v>6.9295273281570399E-4</v>
      </c>
      <c r="Z39" s="10">
        <v>0.81653078227354203</v>
      </c>
      <c r="AA39" s="11">
        <v>0</v>
      </c>
      <c r="AB39" s="12">
        <v>0</v>
      </c>
      <c r="AC39" s="20">
        <f t="shared" si="0"/>
        <v>9.0935628151448816E-2</v>
      </c>
    </row>
    <row r="40" spans="1:29" x14ac:dyDescent="0.3">
      <c r="A40" s="13" t="s">
        <v>42</v>
      </c>
      <c r="B40">
        <v>2018</v>
      </c>
      <c r="C40" s="14">
        <v>1367.6030000000001</v>
      </c>
      <c r="D40" s="10">
        <v>0</v>
      </c>
      <c r="E40" s="12">
        <v>0</v>
      </c>
      <c r="F40" s="10">
        <v>2.9248254062034099E-6</v>
      </c>
      <c r="G40" s="12">
        <v>2.71277556425366E-3</v>
      </c>
      <c r="H40" s="10">
        <v>6.3614952584924098E-3</v>
      </c>
      <c r="I40" s="12">
        <v>0</v>
      </c>
      <c r="J40" s="10">
        <v>1.5754572050514701E-2</v>
      </c>
      <c r="K40" s="11">
        <v>7.0627221496296798E-3</v>
      </c>
      <c r="L40" s="11">
        <v>8.0630124385512505E-3</v>
      </c>
      <c r="M40" s="11">
        <v>0</v>
      </c>
      <c r="N40" s="12">
        <v>0</v>
      </c>
      <c r="O40" s="10">
        <v>0</v>
      </c>
      <c r="P40" s="12">
        <v>0</v>
      </c>
      <c r="Q40" s="10">
        <v>0</v>
      </c>
      <c r="R40" s="11">
        <v>0</v>
      </c>
      <c r="S40" s="11">
        <v>0</v>
      </c>
      <c r="T40" s="11">
        <v>0</v>
      </c>
      <c r="U40" s="10">
        <v>3.075032907405286E-3</v>
      </c>
      <c r="V40" s="12">
        <v>0.11962943615269525</v>
      </c>
      <c r="W40" s="10">
        <v>1.04087224143264E-2</v>
      </c>
      <c r="X40" s="11">
        <v>9.3375051093043805E-4</v>
      </c>
      <c r="Y40" s="12">
        <v>4.8142626186108099E-3</v>
      </c>
      <c r="Z40" s="10">
        <v>0.82118129310918497</v>
      </c>
      <c r="AA40" s="11">
        <v>0</v>
      </c>
      <c r="AB40" s="12">
        <v>0</v>
      </c>
      <c r="AC40" s="20">
        <f t="shared" si="0"/>
        <v>3.9957502286847905E-2</v>
      </c>
    </row>
    <row r="41" spans="1:29" x14ac:dyDescent="0.3">
      <c r="A41" s="13" t="s">
        <v>42</v>
      </c>
      <c r="B41">
        <v>2019</v>
      </c>
      <c r="C41" s="14">
        <v>2054.4160000000002</v>
      </c>
      <c r="D41" s="10">
        <v>0</v>
      </c>
      <c r="E41" s="12">
        <v>0</v>
      </c>
      <c r="F41" s="10">
        <v>0</v>
      </c>
      <c r="G41" s="12">
        <v>0</v>
      </c>
      <c r="H41" s="10">
        <v>0</v>
      </c>
      <c r="I41" s="12">
        <v>0</v>
      </c>
      <c r="J41" s="10">
        <v>0</v>
      </c>
      <c r="K41" s="11">
        <v>7.3013450051012098E-6</v>
      </c>
      <c r="L41" s="11">
        <v>6.0630368922360402E-3</v>
      </c>
      <c r="M41" s="11">
        <v>0</v>
      </c>
      <c r="N41" s="12">
        <v>0</v>
      </c>
      <c r="O41" s="10">
        <v>3.5046456024485802E-5</v>
      </c>
      <c r="P41" s="12">
        <v>5.9384272708156498E-5</v>
      </c>
      <c r="Q41" s="10">
        <v>0</v>
      </c>
      <c r="R41" s="11">
        <v>0</v>
      </c>
      <c r="S41" s="11">
        <v>0</v>
      </c>
      <c r="T41" s="11">
        <v>0</v>
      </c>
      <c r="U41" s="10">
        <v>2.1818810549961523E-3</v>
      </c>
      <c r="V41" s="12">
        <v>1.3582209567351048E-2</v>
      </c>
      <c r="W41" s="10">
        <v>6.3745609457870299E-3</v>
      </c>
      <c r="X41" s="11">
        <v>0</v>
      </c>
      <c r="Y41" s="12">
        <v>1.18126027055864E-2</v>
      </c>
      <c r="Z41" s="10">
        <v>0.959883490003972</v>
      </c>
      <c r="AA41" s="11">
        <v>0</v>
      </c>
      <c r="AB41" s="12">
        <v>0</v>
      </c>
      <c r="AC41" s="20">
        <f t="shared" si="0"/>
        <v>6.1647689659737838E-3</v>
      </c>
    </row>
    <row r="42" spans="1:29" x14ac:dyDescent="0.3">
      <c r="A42" s="13" t="s">
        <v>42</v>
      </c>
      <c r="B42">
        <v>2020</v>
      </c>
      <c r="C42" s="14">
        <v>2010.625</v>
      </c>
      <c r="D42" s="10">
        <v>0</v>
      </c>
      <c r="E42" s="12">
        <v>0</v>
      </c>
      <c r="F42" s="10">
        <v>0</v>
      </c>
      <c r="G42" s="12">
        <v>0</v>
      </c>
      <c r="H42" s="10">
        <v>0</v>
      </c>
      <c r="I42" s="12">
        <v>0</v>
      </c>
      <c r="J42" s="10">
        <v>0</v>
      </c>
      <c r="K42" s="11">
        <v>0</v>
      </c>
      <c r="L42" s="11">
        <v>1.0106807584706201E-2</v>
      </c>
      <c r="M42" s="11">
        <v>0</v>
      </c>
      <c r="N42" s="12">
        <v>0</v>
      </c>
      <c r="O42" s="10">
        <v>5.2570718060304601E-4</v>
      </c>
      <c r="P42" s="12">
        <v>1.9894311470313999E-6</v>
      </c>
      <c r="Q42" s="27">
        <v>0</v>
      </c>
      <c r="R42" s="28">
        <v>0</v>
      </c>
      <c r="S42" s="28">
        <v>0</v>
      </c>
      <c r="T42" s="28">
        <v>0</v>
      </c>
      <c r="U42" s="10">
        <v>7.489469878402163E-3</v>
      </c>
      <c r="V42" s="12">
        <v>0.25964649530655298</v>
      </c>
      <c r="W42" s="10">
        <v>1.73279452906435E-3</v>
      </c>
      <c r="X42" s="11">
        <v>0</v>
      </c>
      <c r="Y42" s="12">
        <v>1.03714019272614E-2</v>
      </c>
      <c r="Z42" s="10">
        <v>0.70999813490829999</v>
      </c>
      <c r="AA42" s="11">
        <v>0</v>
      </c>
      <c r="AB42" s="12">
        <v>0</v>
      </c>
      <c r="AC42" s="20">
        <f t="shared" si="0"/>
        <v>1.063450419645628E-2</v>
      </c>
    </row>
    <row r="43" spans="1:29" x14ac:dyDescent="0.3">
      <c r="A43" s="13" t="s">
        <v>42</v>
      </c>
      <c r="B43">
        <v>2021</v>
      </c>
      <c r="C43" s="14">
        <v>3128.3270000000002</v>
      </c>
      <c r="D43" s="10">
        <v>0</v>
      </c>
      <c r="E43" s="12">
        <v>0</v>
      </c>
      <c r="F43" s="10">
        <v>0</v>
      </c>
      <c r="G43" s="12">
        <v>1.50879367789876E-4</v>
      </c>
      <c r="H43" s="10">
        <v>0</v>
      </c>
      <c r="I43" s="12">
        <v>0</v>
      </c>
      <c r="J43" s="10">
        <v>4.4752354852929402E-6</v>
      </c>
      <c r="K43" s="11">
        <v>0</v>
      </c>
      <c r="L43" s="11">
        <v>3.3676147026829302E-3</v>
      </c>
      <c r="M43" s="11">
        <v>0</v>
      </c>
      <c r="N43" s="12">
        <v>0</v>
      </c>
      <c r="O43" s="10">
        <v>0</v>
      </c>
      <c r="P43" s="12">
        <v>0</v>
      </c>
      <c r="Q43" s="10">
        <v>0</v>
      </c>
      <c r="R43" s="11">
        <v>0</v>
      </c>
      <c r="S43" s="11">
        <v>0</v>
      </c>
      <c r="T43" s="11">
        <v>0</v>
      </c>
      <c r="U43" s="10">
        <v>6.7960744454350569E-3</v>
      </c>
      <c r="V43" s="12">
        <v>4.0979941297164715E-2</v>
      </c>
      <c r="W43" s="10">
        <v>9.5322515836739595E-4</v>
      </c>
      <c r="X43" s="11">
        <v>0</v>
      </c>
      <c r="Y43" s="12">
        <v>5.0042722515900697E-3</v>
      </c>
      <c r="Z43" s="10">
        <v>0.942743517541485</v>
      </c>
      <c r="AA43" s="11">
        <v>0</v>
      </c>
      <c r="AB43" s="12">
        <v>0</v>
      </c>
      <c r="AC43" s="20">
        <f t="shared" si="0"/>
        <v>3.5229693059580991E-3</v>
      </c>
    </row>
    <row r="44" spans="1:29" x14ac:dyDescent="0.3">
      <c r="A44" s="13" t="s">
        <v>42</v>
      </c>
      <c r="B44">
        <v>2022</v>
      </c>
      <c r="C44" s="14">
        <v>4012.2719999999999</v>
      </c>
      <c r="D44" s="10">
        <v>6.3555013219442695E-5</v>
      </c>
      <c r="E44" s="12">
        <v>0</v>
      </c>
      <c r="F44" s="10">
        <v>0</v>
      </c>
      <c r="G44" s="12">
        <v>1.66763369980899E-3</v>
      </c>
      <c r="H44" s="10">
        <v>3.1403653590783502E-5</v>
      </c>
      <c r="I44" s="12">
        <v>1.03681903918777E-4</v>
      </c>
      <c r="J44" s="10">
        <v>4.1759382215363298E-3</v>
      </c>
      <c r="K44" s="11">
        <v>0</v>
      </c>
      <c r="L44" s="11">
        <v>1.8495755023587601E-3</v>
      </c>
      <c r="M44" s="11">
        <v>0</v>
      </c>
      <c r="N44" s="12">
        <v>0</v>
      </c>
      <c r="O44" s="10">
        <v>0</v>
      </c>
      <c r="P44" s="12">
        <v>0</v>
      </c>
      <c r="Q44" s="10">
        <v>0</v>
      </c>
      <c r="R44" s="11">
        <v>0</v>
      </c>
      <c r="S44" s="11">
        <v>0</v>
      </c>
      <c r="T44" s="11">
        <v>2.2087236358850999E-3</v>
      </c>
      <c r="U44" s="10">
        <v>3.0743320646585011E-3</v>
      </c>
      <c r="V44" s="12">
        <v>1.223968453242166E-2</v>
      </c>
      <c r="W44" s="10">
        <v>2.5945399514290199E-4</v>
      </c>
      <c r="X44" s="11">
        <v>0</v>
      </c>
      <c r="Y44" s="12">
        <v>5.6553992351465699E-3</v>
      </c>
      <c r="Z44" s="10">
        <v>0.96842138319635396</v>
      </c>
      <c r="AA44" s="11">
        <v>0</v>
      </c>
      <c r="AB44" s="12">
        <v>2.49235345958599E-4</v>
      </c>
      <c r="AC44" s="20">
        <f t="shared" si="0"/>
        <v>7.8282329812136408E-3</v>
      </c>
    </row>
    <row r="45" spans="1:29" x14ac:dyDescent="0.3">
      <c r="A45" s="13" t="s">
        <v>42</v>
      </c>
      <c r="B45">
        <v>2023</v>
      </c>
      <c r="C45" s="14">
        <v>2938.8119999999999</v>
      </c>
      <c r="D45" s="10">
        <v>6.3631154357611205E-4</v>
      </c>
      <c r="E45" s="12">
        <v>0</v>
      </c>
      <c r="F45" s="10">
        <v>0</v>
      </c>
      <c r="G45" s="12">
        <v>2.6224882707706399E-3</v>
      </c>
      <c r="H45" s="10">
        <v>5.3967385460519397E-4</v>
      </c>
      <c r="I45" s="12">
        <v>2.3417625897811799E-3</v>
      </c>
      <c r="J45" s="10">
        <v>8.9189100901997092E-3</v>
      </c>
      <c r="K45" s="11">
        <v>2.1096960268298901E-5</v>
      </c>
      <c r="L45" s="11">
        <v>3.8239941854055302E-3</v>
      </c>
      <c r="M45" s="11">
        <v>0</v>
      </c>
      <c r="N45" s="12">
        <v>0</v>
      </c>
      <c r="O45" s="10">
        <v>0</v>
      </c>
      <c r="P45" s="12">
        <v>0</v>
      </c>
      <c r="Q45" s="10">
        <v>0</v>
      </c>
      <c r="R45" s="11">
        <v>0</v>
      </c>
      <c r="S45" s="11">
        <v>0</v>
      </c>
      <c r="T45" s="11">
        <v>0</v>
      </c>
      <c r="U45" s="10">
        <v>8.6501548357908516E-3</v>
      </c>
      <c r="V45" s="12">
        <v>1.4622174255011807E-2</v>
      </c>
      <c r="W45" s="10">
        <v>3.6290174397001201E-3</v>
      </c>
      <c r="X45" s="11">
        <v>0</v>
      </c>
      <c r="Y45" s="12">
        <v>1.08268239002699E-2</v>
      </c>
      <c r="Z45" s="10">
        <v>0.94336759207462095</v>
      </c>
      <c r="AA45" s="11">
        <v>0</v>
      </c>
      <c r="AB45" s="12">
        <v>0</v>
      </c>
      <c r="AC45" s="20">
        <f t="shared" si="0"/>
        <v>1.826792595103055E-2</v>
      </c>
    </row>
    <row r="46" spans="1:29" ht="15" thickBot="1" x14ac:dyDescent="0.35">
      <c r="A46" s="4" t="s">
        <v>42</v>
      </c>
      <c r="B46" s="5">
        <v>2024</v>
      </c>
      <c r="C46" s="15">
        <v>1595.57</v>
      </c>
      <c r="D46" s="16">
        <v>0</v>
      </c>
      <c r="E46" s="17">
        <v>0</v>
      </c>
      <c r="F46" s="16">
        <v>0</v>
      </c>
      <c r="G46" s="17">
        <v>0</v>
      </c>
      <c r="H46" s="16">
        <v>0</v>
      </c>
      <c r="I46" s="17">
        <v>0</v>
      </c>
      <c r="J46" s="16">
        <v>2.1122756807126698E-2</v>
      </c>
      <c r="K46" s="18">
        <v>8.5878316351982696E-3</v>
      </c>
      <c r="L46" s="18">
        <v>1.02279794873005E-2</v>
      </c>
      <c r="M46" s="18">
        <v>0</v>
      </c>
      <c r="N46" s="17">
        <v>0</v>
      </c>
      <c r="O46" s="16">
        <v>0</v>
      </c>
      <c r="P46" s="17">
        <v>0</v>
      </c>
      <c r="Q46" s="16">
        <v>0</v>
      </c>
      <c r="R46" s="18">
        <v>0</v>
      </c>
      <c r="S46" s="18">
        <v>0</v>
      </c>
      <c r="T46" s="18">
        <v>4.7643579213520904E-3</v>
      </c>
      <c r="U46" s="16">
        <v>2.2775919425606921E-3</v>
      </c>
      <c r="V46" s="17">
        <v>4.6000319291415417E-2</v>
      </c>
      <c r="W46" s="16">
        <v>4.1830950167814204E-3</v>
      </c>
      <c r="X46" s="18">
        <v>0</v>
      </c>
      <c r="Y46" s="17">
        <v>3.90143564273472E-3</v>
      </c>
      <c r="Z46" s="16">
        <v>0.89893463225553005</v>
      </c>
      <c r="AA46" s="18">
        <v>0</v>
      </c>
      <c r="AB46" s="17">
        <v>0</v>
      </c>
      <c r="AC46" s="21">
        <f t="shared" si="0"/>
        <v>3.9938567929625468E-2</v>
      </c>
    </row>
  </sheetData>
  <mergeCells count="11">
    <mergeCell ref="AC8:AC9"/>
    <mergeCell ref="D8:I8"/>
    <mergeCell ref="J8:Y8"/>
    <mergeCell ref="Z8:AB9"/>
    <mergeCell ref="D9:E9"/>
    <mergeCell ref="F9:G9"/>
    <mergeCell ref="H9:I9"/>
    <mergeCell ref="J9:N9"/>
    <mergeCell ref="O9:P9"/>
    <mergeCell ref="Q9:V9"/>
    <mergeCell ref="W9:Y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C4B7-222C-4AA8-BE32-C5D000F62F4E}">
  <dimension ref="A1:AC47"/>
  <sheetViews>
    <sheetView topLeftCell="A28" zoomScale="70" zoomScaleNormal="70" workbookViewId="0">
      <selection activeCell="H58" sqref="H58"/>
    </sheetView>
  </sheetViews>
  <sheetFormatPr defaultRowHeight="14.4" x14ac:dyDescent="0.3"/>
  <cols>
    <col min="11" max="11" width="11.33203125" customWidth="1"/>
    <col min="17" max="17" width="10.77734375" customWidth="1"/>
    <col min="18" max="18" width="10.6640625" customWidth="1"/>
    <col min="19" max="19" width="11.33203125" customWidth="1"/>
    <col min="20" max="20" width="10.6640625" customWidth="1"/>
    <col min="21" max="21" width="12.77734375" customWidth="1"/>
    <col min="26" max="26" width="13" customWidth="1"/>
    <col min="27" max="27" width="10.109375" customWidth="1"/>
    <col min="29" max="29" width="12.77734375" customWidth="1"/>
  </cols>
  <sheetData>
    <row r="1" spans="1:29" x14ac:dyDescent="0.3">
      <c r="A1" t="s">
        <v>67</v>
      </c>
    </row>
    <row r="2" spans="1:29" x14ac:dyDescent="0.3">
      <c r="A2" t="s">
        <v>30</v>
      </c>
    </row>
    <row r="3" spans="1:29" x14ac:dyDescent="0.3">
      <c r="A3" t="s">
        <v>0</v>
      </c>
    </row>
    <row r="4" spans="1:29" x14ac:dyDescent="0.3">
      <c r="A4" t="s">
        <v>66</v>
      </c>
    </row>
    <row r="5" spans="1:29" x14ac:dyDescent="0.3">
      <c r="A5" t="s">
        <v>1</v>
      </c>
    </row>
    <row r="7" spans="1:29" ht="15" thickBot="1" x14ac:dyDescent="0.35">
      <c r="A7" t="s">
        <v>60</v>
      </c>
    </row>
    <row r="8" spans="1:29" ht="15" thickBot="1" x14ac:dyDescent="0.35">
      <c r="A8" s="1"/>
      <c r="B8" s="2"/>
      <c r="C8" s="3"/>
      <c r="D8" s="66" t="s">
        <v>2</v>
      </c>
      <c r="E8" s="67"/>
      <c r="F8" s="67"/>
      <c r="G8" s="67"/>
      <c r="H8" s="67"/>
      <c r="I8" s="68"/>
      <c r="J8" s="66" t="s">
        <v>3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69" t="s">
        <v>4</v>
      </c>
      <c r="AA8" s="70"/>
      <c r="AB8" s="71"/>
      <c r="AC8" s="64" t="s">
        <v>34</v>
      </c>
    </row>
    <row r="9" spans="1:29" ht="15" customHeight="1" thickBot="1" x14ac:dyDescent="0.35">
      <c r="A9" s="4"/>
      <c r="B9" s="5"/>
      <c r="C9" s="6"/>
      <c r="D9" s="61" t="s">
        <v>5</v>
      </c>
      <c r="E9" s="63"/>
      <c r="F9" s="61" t="s">
        <v>6</v>
      </c>
      <c r="G9" s="63"/>
      <c r="H9" s="61" t="s">
        <v>7</v>
      </c>
      <c r="I9" s="63"/>
      <c r="J9" s="61" t="s">
        <v>8</v>
      </c>
      <c r="K9" s="62"/>
      <c r="L9" s="62"/>
      <c r="M9" s="62"/>
      <c r="N9" s="63"/>
      <c r="O9" s="61" t="s">
        <v>9</v>
      </c>
      <c r="P9" s="63"/>
      <c r="Q9" s="61" t="s">
        <v>10</v>
      </c>
      <c r="R9" s="62"/>
      <c r="S9" s="62"/>
      <c r="T9" s="62"/>
      <c r="U9" s="62"/>
      <c r="V9" s="63"/>
      <c r="W9" s="61" t="s">
        <v>11</v>
      </c>
      <c r="X9" s="62"/>
      <c r="Y9" s="63"/>
      <c r="Z9" s="72"/>
      <c r="AA9" s="73"/>
      <c r="AB9" s="74"/>
      <c r="AC9" s="65"/>
    </row>
    <row r="10" spans="1:29" ht="43.8" thickBot="1" x14ac:dyDescent="0.35">
      <c r="A10" s="7" t="s">
        <v>12</v>
      </c>
      <c r="B10" s="8" t="s">
        <v>27</v>
      </c>
      <c r="C10" s="9" t="s">
        <v>13</v>
      </c>
      <c r="D10" s="7" t="s">
        <v>14</v>
      </c>
      <c r="E10" s="9" t="s">
        <v>15</v>
      </c>
      <c r="F10" s="7" t="s">
        <v>16</v>
      </c>
      <c r="G10" s="9" t="s">
        <v>17</v>
      </c>
      <c r="H10" s="7" t="s">
        <v>18</v>
      </c>
      <c r="I10" s="9" t="s">
        <v>19</v>
      </c>
      <c r="J10" s="7" t="s">
        <v>20</v>
      </c>
      <c r="K10" s="8" t="s">
        <v>21</v>
      </c>
      <c r="L10" s="8" t="s">
        <v>22</v>
      </c>
      <c r="M10" s="8" t="s">
        <v>7</v>
      </c>
      <c r="N10" s="9" t="s">
        <v>6</v>
      </c>
      <c r="O10" s="25" t="s">
        <v>36</v>
      </c>
      <c r="P10" s="25" t="s">
        <v>38</v>
      </c>
      <c r="Q10" s="7" t="s">
        <v>23</v>
      </c>
      <c r="R10" s="8" t="s">
        <v>53</v>
      </c>
      <c r="S10" s="8" t="s">
        <v>24</v>
      </c>
      <c r="T10" s="8" t="s">
        <v>25</v>
      </c>
      <c r="U10" s="7" t="s">
        <v>40</v>
      </c>
      <c r="V10" s="25" t="s">
        <v>55</v>
      </c>
      <c r="W10" s="7" t="s">
        <v>32</v>
      </c>
      <c r="X10" s="8" t="s">
        <v>31</v>
      </c>
      <c r="Y10" s="9" t="s">
        <v>39</v>
      </c>
      <c r="Z10" s="7" t="s">
        <v>4</v>
      </c>
      <c r="AA10" s="8" t="s">
        <v>28</v>
      </c>
      <c r="AB10" s="9" t="s">
        <v>29</v>
      </c>
      <c r="AC10" s="24" t="s">
        <v>33</v>
      </c>
    </row>
    <row r="11" spans="1:29" x14ac:dyDescent="0.3">
      <c r="A11" s="13" t="s">
        <v>43</v>
      </c>
      <c r="B11">
        <v>1988</v>
      </c>
      <c r="C11" s="14">
        <v>2069.692</v>
      </c>
      <c r="D11" s="10">
        <v>7.6247093770474103E-2</v>
      </c>
      <c r="E11" s="12">
        <v>2.8468003934885001E-3</v>
      </c>
      <c r="F11" s="10">
        <v>9.5792997218909895E-2</v>
      </c>
      <c r="G11" s="12">
        <v>2.9183086179006301E-3</v>
      </c>
      <c r="H11" s="10">
        <v>5.0250955214592302E-2</v>
      </c>
      <c r="I11" s="12">
        <v>6.94789369626012E-4</v>
      </c>
      <c r="J11" s="10">
        <v>1.4718615136938199E-2</v>
      </c>
      <c r="K11" s="11">
        <v>8.7075758132127892E-3</v>
      </c>
      <c r="L11" s="11">
        <v>5.16115441331367E-3</v>
      </c>
      <c r="M11" s="11">
        <v>0</v>
      </c>
      <c r="N11" s="12">
        <v>2.1017620013026101E-4</v>
      </c>
      <c r="O11" s="10">
        <v>3.0263440164043701E-2</v>
      </c>
      <c r="P11" s="12">
        <v>1.6643539231924399E-2</v>
      </c>
      <c r="Q11" s="10">
        <v>5.3405671539166573E-3</v>
      </c>
      <c r="R11" s="11">
        <v>6.0120117670783256E-3</v>
      </c>
      <c r="S11" s="11">
        <v>3.3365632315572151E-3</v>
      </c>
      <c r="T11" s="11">
        <v>0</v>
      </c>
      <c r="U11" s="10">
        <v>3.6509546801417554E-2</v>
      </c>
      <c r="V11" s="12">
        <v>1.8358037360863635E-2</v>
      </c>
      <c r="W11" s="10">
        <v>0</v>
      </c>
      <c r="X11" s="11">
        <v>1.5315805443515299E-2</v>
      </c>
      <c r="Y11" s="12">
        <v>2.6685129961366199E-3</v>
      </c>
      <c r="Z11" s="10">
        <v>0.60580511496396605</v>
      </c>
      <c r="AA11" s="11">
        <v>2.1983947369946799E-3</v>
      </c>
      <c r="AB11" s="12">
        <v>0</v>
      </c>
      <c r="AC11" s="20">
        <f t="shared" ref="AC11:AC47" si="0">SUM(F11:P11)</f>
        <v>0.22536155138059186</v>
      </c>
    </row>
    <row r="12" spans="1:29" x14ac:dyDescent="0.3">
      <c r="A12" s="13" t="s">
        <v>43</v>
      </c>
      <c r="B12">
        <v>1989</v>
      </c>
      <c r="C12" s="14">
        <v>1734.5219999999999</v>
      </c>
      <c r="D12" s="10">
        <v>6.8013550707341899E-2</v>
      </c>
      <c r="E12" s="12">
        <v>3.92817156542263E-2</v>
      </c>
      <c r="F12" s="10">
        <v>7.8853424747567305E-2</v>
      </c>
      <c r="G12" s="12">
        <v>2.88263855978765E-6</v>
      </c>
      <c r="H12" s="10">
        <v>1.2296183040630199E-2</v>
      </c>
      <c r="I12" s="12">
        <v>4.0356939837027096E-6</v>
      </c>
      <c r="J12" s="10">
        <v>2.3061108478301201E-6</v>
      </c>
      <c r="K12" s="11">
        <v>1.3317790146219E-4</v>
      </c>
      <c r="L12" s="11">
        <v>4.0748978681158302E-3</v>
      </c>
      <c r="M12" s="11">
        <v>0</v>
      </c>
      <c r="N12" s="12">
        <v>2.3061108478301201E-6</v>
      </c>
      <c r="O12" s="10">
        <v>7.5010867547370394E-2</v>
      </c>
      <c r="P12" s="12">
        <v>6.6075841067452599E-3</v>
      </c>
      <c r="Q12" s="10">
        <v>0</v>
      </c>
      <c r="R12" s="11">
        <v>4.1169843910887297E-3</v>
      </c>
      <c r="S12" s="11">
        <v>0</v>
      </c>
      <c r="T12" s="11">
        <v>0</v>
      </c>
      <c r="U12" s="10">
        <v>5.2295350683824404E-2</v>
      </c>
      <c r="V12" s="12">
        <v>4.2372271675951909E-3</v>
      </c>
      <c r="W12" s="10">
        <v>0</v>
      </c>
      <c r="X12" s="11">
        <v>1.3272244456974299E-2</v>
      </c>
      <c r="Y12" s="12">
        <v>1.37674817615458E-3</v>
      </c>
      <c r="Z12" s="10">
        <v>0.64041851299666397</v>
      </c>
      <c r="AA12" s="11">
        <v>0</v>
      </c>
      <c r="AB12" s="12">
        <v>0</v>
      </c>
      <c r="AC12" s="20">
        <f t="shared" si="0"/>
        <v>0.17698766576613031</v>
      </c>
    </row>
    <row r="13" spans="1:29" x14ac:dyDescent="0.3">
      <c r="A13" s="13" t="s">
        <v>43</v>
      </c>
      <c r="B13">
        <v>1990</v>
      </c>
      <c r="C13" s="14">
        <v>1242.2940000000001</v>
      </c>
      <c r="D13" s="10">
        <v>0.27446240583951897</v>
      </c>
      <c r="E13" s="12">
        <v>8.0528441737624107E-3</v>
      </c>
      <c r="F13" s="10">
        <v>0.18948091192583999</v>
      </c>
      <c r="G13" s="12">
        <v>3.7004123017578801E-3</v>
      </c>
      <c r="H13" s="10">
        <v>3.6693407518671103E-2</v>
      </c>
      <c r="I13" s="12">
        <v>3.1188269443465099E-2</v>
      </c>
      <c r="J13" s="10">
        <v>8.7604061518448892E-3</v>
      </c>
      <c r="K13" s="11">
        <v>7.4056543781101701E-5</v>
      </c>
      <c r="L13" s="11">
        <v>7.5763064137796699E-3</v>
      </c>
      <c r="M13" s="11">
        <v>0</v>
      </c>
      <c r="N13" s="12">
        <v>8.7402820910348102E-3</v>
      </c>
      <c r="O13" s="10">
        <v>3.25760246769283E-2</v>
      </c>
      <c r="P13" s="12">
        <v>1.8575313090138101E-2</v>
      </c>
      <c r="Q13" s="10">
        <v>0</v>
      </c>
      <c r="R13" s="11">
        <v>1.55494593067342E-2</v>
      </c>
      <c r="S13" s="11">
        <v>0</v>
      </c>
      <c r="T13" s="11">
        <v>0</v>
      </c>
      <c r="U13" s="10">
        <v>5.4659594266521137E-2</v>
      </c>
      <c r="V13" s="12">
        <v>2.3290552800115296E-2</v>
      </c>
      <c r="W13" s="10">
        <v>0</v>
      </c>
      <c r="X13" s="11">
        <v>0</v>
      </c>
      <c r="Y13" s="12">
        <v>4.5770163906450499E-3</v>
      </c>
      <c r="Z13" s="10">
        <v>0.27031443442534497</v>
      </c>
      <c r="AA13" s="11">
        <v>1.17283026401158E-2</v>
      </c>
      <c r="AB13" s="12">
        <v>0</v>
      </c>
      <c r="AC13" s="20">
        <f t="shared" si="0"/>
        <v>0.33736539015724093</v>
      </c>
    </row>
    <row r="14" spans="1:29" x14ac:dyDescent="0.3">
      <c r="A14" s="13" t="s">
        <v>43</v>
      </c>
      <c r="B14">
        <v>1991</v>
      </c>
      <c r="C14" s="14">
        <v>622.88699999999994</v>
      </c>
      <c r="D14" s="10">
        <v>0.33414889056923702</v>
      </c>
      <c r="E14" s="12">
        <v>7.0462218668875696E-3</v>
      </c>
      <c r="F14" s="10">
        <v>0.21450921274645299</v>
      </c>
      <c r="G14" s="12">
        <v>4.9768256521648402E-3</v>
      </c>
      <c r="H14" s="10">
        <v>3.2338128745663303E-2</v>
      </c>
      <c r="I14" s="12">
        <v>1.6054276297305899E-6</v>
      </c>
      <c r="J14" s="10">
        <v>4.9254519680134601E-3</v>
      </c>
      <c r="K14" s="11">
        <v>8.9711295949345595E-3</v>
      </c>
      <c r="L14" s="11">
        <v>5.4584539410840198E-5</v>
      </c>
      <c r="M14" s="11">
        <v>0</v>
      </c>
      <c r="N14" s="12">
        <v>0</v>
      </c>
      <c r="O14" s="10">
        <v>6.7907983309974398E-2</v>
      </c>
      <c r="P14" s="12">
        <v>1.53880238309677E-2</v>
      </c>
      <c r="Q14" s="10">
        <v>7.0028753208848504E-3</v>
      </c>
      <c r="R14" s="11">
        <v>0</v>
      </c>
      <c r="S14" s="11">
        <v>0</v>
      </c>
      <c r="T14" s="11">
        <v>0</v>
      </c>
      <c r="U14" s="10">
        <v>3.3890294901969403E-2</v>
      </c>
      <c r="V14" s="12">
        <v>1.8491597800880392E-2</v>
      </c>
      <c r="W14" s="10">
        <v>0</v>
      </c>
      <c r="X14" s="11">
        <v>3.3095890586896201E-2</v>
      </c>
      <c r="Y14" s="12">
        <v>4.8162828891917801E-6</v>
      </c>
      <c r="Z14" s="10">
        <v>0.21522362804168299</v>
      </c>
      <c r="AA14" s="11">
        <v>2.0228388134605501E-3</v>
      </c>
      <c r="AB14" s="12">
        <v>0</v>
      </c>
      <c r="AC14" s="20">
        <f t="shared" si="0"/>
        <v>0.34907294581521181</v>
      </c>
    </row>
    <row r="15" spans="1:29" x14ac:dyDescent="0.3">
      <c r="A15" s="13" t="s">
        <v>43</v>
      </c>
      <c r="B15">
        <v>1992</v>
      </c>
      <c r="C15" s="14">
        <v>335.72399999999999</v>
      </c>
      <c r="D15" s="10">
        <v>0.13208766725047999</v>
      </c>
      <c r="E15" s="12">
        <v>6.6066173404343998E-3</v>
      </c>
      <c r="F15" s="10">
        <v>0.20005718983450699</v>
      </c>
      <c r="G15" s="12">
        <v>5.4181410920875498E-3</v>
      </c>
      <c r="H15" s="10">
        <v>6.145226436001E-2</v>
      </c>
      <c r="I15" s="12">
        <v>0</v>
      </c>
      <c r="J15" s="10">
        <v>1.87386067126568E-2</v>
      </c>
      <c r="K15" s="11">
        <v>1.0508632090645899E-2</v>
      </c>
      <c r="L15" s="11">
        <v>1.63229319321824E-2</v>
      </c>
      <c r="M15" s="11">
        <v>0</v>
      </c>
      <c r="N15" s="12">
        <v>0</v>
      </c>
      <c r="O15" s="10">
        <v>6.0609310028475798E-2</v>
      </c>
      <c r="P15" s="12">
        <v>8.0423204775351198E-2</v>
      </c>
      <c r="Q15" s="10">
        <v>0</v>
      </c>
      <c r="R15" s="11">
        <v>3.8180171807794497E-2</v>
      </c>
      <c r="S15" s="11">
        <v>0</v>
      </c>
      <c r="T15" s="11">
        <v>0</v>
      </c>
      <c r="U15" s="10">
        <v>3.0029348084710542E-2</v>
      </c>
      <c r="V15" s="12">
        <v>1.3250250633283955E-2</v>
      </c>
      <c r="W15" s="10">
        <v>4.0509466109065801E-4</v>
      </c>
      <c r="X15" s="11">
        <v>9.8295028058762501E-5</v>
      </c>
      <c r="Y15" s="12">
        <v>1.3234085141366101E-2</v>
      </c>
      <c r="Z15" s="10">
        <v>0.31257818922686498</v>
      </c>
      <c r="AA15" s="11">
        <v>0</v>
      </c>
      <c r="AB15" s="12">
        <v>0</v>
      </c>
      <c r="AC15" s="20">
        <f t="shared" si="0"/>
        <v>0.45353028082591668</v>
      </c>
    </row>
    <row r="16" spans="1:29" x14ac:dyDescent="0.3">
      <c r="A16" s="13" t="s">
        <v>43</v>
      </c>
      <c r="B16">
        <v>1993</v>
      </c>
      <c r="C16" s="14">
        <v>493.09699999999998</v>
      </c>
      <c r="D16" s="10">
        <v>0.115127449568746</v>
      </c>
      <c r="E16" s="12">
        <v>1.8677866626647499E-2</v>
      </c>
      <c r="F16" s="10">
        <v>0.13752669353088701</v>
      </c>
      <c r="G16" s="12">
        <v>1.1194551984700801E-3</v>
      </c>
      <c r="H16" s="10">
        <v>9.2363165867973204E-2</v>
      </c>
      <c r="I16" s="12">
        <v>0</v>
      </c>
      <c r="J16" s="10">
        <v>3.58347343423302E-3</v>
      </c>
      <c r="K16" s="11">
        <v>9.3389333133237495E-3</v>
      </c>
      <c r="L16" s="11">
        <v>3.1839577202862703E-4</v>
      </c>
      <c r="M16" s="11">
        <v>0</v>
      </c>
      <c r="N16" s="12">
        <v>8.8420736690752501E-4</v>
      </c>
      <c r="O16" s="10">
        <v>7.48331464194672E-2</v>
      </c>
      <c r="P16" s="12">
        <v>3.1987621096863303E-2</v>
      </c>
      <c r="Q16" s="10">
        <v>0</v>
      </c>
      <c r="R16" s="11">
        <v>3.2518956716427003E-2</v>
      </c>
      <c r="S16" s="11">
        <v>0</v>
      </c>
      <c r="T16" s="11">
        <v>0</v>
      </c>
      <c r="U16" s="10">
        <v>6.1604283080263625E-2</v>
      </c>
      <c r="V16" s="12">
        <v>2.2367024796279975E-2</v>
      </c>
      <c r="W16" s="10">
        <v>3.4638215199037899E-3</v>
      </c>
      <c r="X16" s="11">
        <v>2.23079840274834E-5</v>
      </c>
      <c r="Y16" s="12">
        <v>0</v>
      </c>
      <c r="Z16" s="10">
        <v>0.39426319770754997</v>
      </c>
      <c r="AA16" s="11">
        <v>0</v>
      </c>
      <c r="AB16" s="12">
        <v>0</v>
      </c>
      <c r="AC16" s="20">
        <f t="shared" si="0"/>
        <v>0.35195509200015379</v>
      </c>
    </row>
    <row r="17" spans="1:29" x14ac:dyDescent="0.3">
      <c r="A17" s="13" t="s">
        <v>43</v>
      </c>
      <c r="B17">
        <v>1994</v>
      </c>
      <c r="C17" s="14">
        <v>996.3</v>
      </c>
      <c r="D17" s="10">
        <v>0.10006925624811799</v>
      </c>
      <c r="E17" s="12">
        <v>1.18277627220717E-2</v>
      </c>
      <c r="F17" s="10">
        <v>0.16090635350797999</v>
      </c>
      <c r="G17" s="12">
        <v>1.6237077185586701E-2</v>
      </c>
      <c r="H17" s="10">
        <v>7.4761617986550205E-2</v>
      </c>
      <c r="I17" s="12">
        <v>2.9308441232560502E-4</v>
      </c>
      <c r="J17" s="10">
        <v>4.3169727993576197E-3</v>
      </c>
      <c r="K17" s="11">
        <v>1.0946502057613199E-2</v>
      </c>
      <c r="L17" s="11">
        <v>4.0821037840008002E-3</v>
      </c>
      <c r="M17" s="11">
        <v>0</v>
      </c>
      <c r="N17" s="12">
        <v>5.7412425976111601E-4</v>
      </c>
      <c r="O17" s="10">
        <v>5.0034126267188603E-2</v>
      </c>
      <c r="P17" s="12">
        <v>9.9996988858777502E-2</v>
      </c>
      <c r="Q17" s="10">
        <v>0</v>
      </c>
      <c r="R17" s="11">
        <v>0</v>
      </c>
      <c r="S17" s="11">
        <v>0</v>
      </c>
      <c r="T17" s="11">
        <v>0</v>
      </c>
      <c r="U17" s="10">
        <v>7.3950077155162219E-2</v>
      </c>
      <c r="V17" s="12">
        <v>2.8163743983048793E-2</v>
      </c>
      <c r="W17" s="10">
        <v>2.0074274816822199E-6</v>
      </c>
      <c r="X17" s="11">
        <v>3.1368061828766398E-2</v>
      </c>
      <c r="Y17" s="12">
        <v>0</v>
      </c>
      <c r="Z17" s="10">
        <v>0.32748168222423002</v>
      </c>
      <c r="AA17" s="11">
        <v>4.9884572919803296E-3</v>
      </c>
      <c r="AB17" s="12">
        <v>0</v>
      </c>
      <c r="AC17" s="20">
        <f t="shared" si="0"/>
        <v>0.42214895111914136</v>
      </c>
    </row>
    <row r="18" spans="1:29" x14ac:dyDescent="0.3">
      <c r="A18" s="13" t="s">
        <v>43</v>
      </c>
      <c r="B18">
        <v>1995</v>
      </c>
      <c r="C18" s="14">
        <v>522.904</v>
      </c>
      <c r="D18" s="10">
        <v>0.18074063307987701</v>
      </c>
      <c r="E18" s="12">
        <v>3.1382433486835101E-2</v>
      </c>
      <c r="F18" s="10">
        <v>9.2408931658583604E-2</v>
      </c>
      <c r="G18" s="12">
        <v>4.1908266144454802E-2</v>
      </c>
      <c r="H18" s="10">
        <v>2.5000764958768702E-2</v>
      </c>
      <c r="I18" s="12">
        <v>3.8247938436118297E-6</v>
      </c>
      <c r="J18" s="10">
        <v>1.52016431314352E-2</v>
      </c>
      <c r="K18" s="11">
        <v>1.29105916191117E-2</v>
      </c>
      <c r="L18" s="11">
        <v>8.4336704251640796E-4</v>
      </c>
      <c r="M18" s="11">
        <v>0</v>
      </c>
      <c r="N18" s="12">
        <v>1.7439147529948101E-2</v>
      </c>
      <c r="O18" s="10">
        <v>3.6605189480287001E-2</v>
      </c>
      <c r="P18" s="12">
        <v>6.5403974725762298E-3</v>
      </c>
      <c r="Q18" s="10">
        <v>0</v>
      </c>
      <c r="R18" s="11">
        <v>4.7025840307207403E-3</v>
      </c>
      <c r="S18" s="11">
        <v>0</v>
      </c>
      <c r="T18" s="11">
        <v>0</v>
      </c>
      <c r="U18" s="10">
        <v>2.5801131526511742E-2</v>
      </c>
      <c r="V18" s="12">
        <v>5.477197558301506E-2</v>
      </c>
      <c r="W18" s="10">
        <v>0</v>
      </c>
      <c r="X18" s="11">
        <v>3.1520126065205101E-2</v>
      </c>
      <c r="Y18" s="12">
        <v>0</v>
      </c>
      <c r="Z18" s="10">
        <v>0.416290561938711</v>
      </c>
      <c r="AA18" s="11">
        <v>5.92843045759833E-3</v>
      </c>
      <c r="AB18" s="12">
        <v>0</v>
      </c>
      <c r="AC18" s="20">
        <f t="shared" si="0"/>
        <v>0.24886212383152539</v>
      </c>
    </row>
    <row r="19" spans="1:29" x14ac:dyDescent="0.3">
      <c r="A19" s="13" t="s">
        <v>43</v>
      </c>
      <c r="B19">
        <v>1996</v>
      </c>
      <c r="C19" s="14">
        <v>777.25599999999997</v>
      </c>
      <c r="D19" s="10">
        <v>0.15794667394011799</v>
      </c>
      <c r="E19" s="12">
        <v>1.1108309231450101E-2</v>
      </c>
      <c r="F19" s="10">
        <v>9.5193861481931309E-3</v>
      </c>
      <c r="G19" s="12">
        <v>3.1230379694720901E-2</v>
      </c>
      <c r="H19" s="10">
        <v>3.2383153040954301E-3</v>
      </c>
      <c r="I19" s="12">
        <v>9.6467573103327601E-3</v>
      </c>
      <c r="J19" s="10">
        <v>1.8987309200572299E-2</v>
      </c>
      <c r="K19" s="11">
        <v>1.3416429078707701E-2</v>
      </c>
      <c r="L19" s="11">
        <v>7.7850798192616102E-3</v>
      </c>
      <c r="M19" s="11">
        <v>1.2093827516288099E-3</v>
      </c>
      <c r="N19" s="12">
        <v>1.2847761869963E-2</v>
      </c>
      <c r="O19" s="10">
        <v>5.8745123871671596E-3</v>
      </c>
      <c r="P19" s="12">
        <v>5.09484648558519E-4</v>
      </c>
      <c r="Q19" s="10">
        <v>1.15393126588923E-2</v>
      </c>
      <c r="R19" s="11">
        <v>0</v>
      </c>
      <c r="S19" s="11">
        <v>0</v>
      </c>
      <c r="T19" s="11">
        <v>0</v>
      </c>
      <c r="U19" s="10">
        <v>5.4448295246405924E-2</v>
      </c>
      <c r="V19" s="12">
        <v>2.3553032501466072E-2</v>
      </c>
      <c r="W19" s="10">
        <v>0</v>
      </c>
      <c r="X19" s="11">
        <v>1.02926191627984E-5</v>
      </c>
      <c r="Y19" s="12">
        <v>0</v>
      </c>
      <c r="Z19" s="10">
        <v>0.62712928558930403</v>
      </c>
      <c r="AA19" s="11">
        <v>0</v>
      </c>
      <c r="AB19" s="12">
        <v>0</v>
      </c>
      <c r="AC19" s="20">
        <f t="shared" si="0"/>
        <v>0.1142647982132013</v>
      </c>
    </row>
    <row r="20" spans="1:29" x14ac:dyDescent="0.3">
      <c r="A20" s="13" t="s">
        <v>43</v>
      </c>
      <c r="B20">
        <v>1997</v>
      </c>
      <c r="C20" s="14">
        <v>628.57899999999995</v>
      </c>
      <c r="D20" s="10">
        <v>0.140655351196906</v>
      </c>
      <c r="E20" s="12">
        <v>2.5188560228706299E-2</v>
      </c>
      <c r="F20" s="10">
        <v>7.2325037902952499E-2</v>
      </c>
      <c r="G20" s="12">
        <v>2.6152639525023901E-2</v>
      </c>
      <c r="H20" s="10">
        <v>4.5547178636257298E-3</v>
      </c>
      <c r="I20" s="12">
        <v>0</v>
      </c>
      <c r="J20" s="10">
        <v>2.0040440421967599E-2</v>
      </c>
      <c r="K20" s="11">
        <v>1.12110013220295E-2</v>
      </c>
      <c r="L20" s="11">
        <v>2.5777189502035499E-2</v>
      </c>
      <c r="M20" s="11">
        <v>1.59088992791678E-6</v>
      </c>
      <c r="N20" s="12">
        <v>8.2201282575459899E-3</v>
      </c>
      <c r="O20" s="10">
        <v>3.7680227942708901E-2</v>
      </c>
      <c r="P20" s="12">
        <v>1.62907128618678E-3</v>
      </c>
      <c r="Q20" s="10">
        <v>0</v>
      </c>
      <c r="R20" s="11">
        <v>0</v>
      </c>
      <c r="S20" s="11">
        <v>0</v>
      </c>
      <c r="T20" s="11">
        <v>0</v>
      </c>
      <c r="U20" s="10">
        <v>0.14524688286489579</v>
      </c>
      <c r="V20" s="12">
        <v>7.9319538445711962E-3</v>
      </c>
      <c r="W20" s="10">
        <v>0</v>
      </c>
      <c r="X20" s="11">
        <v>2.34338086382141E-2</v>
      </c>
      <c r="Y20" s="12">
        <v>0</v>
      </c>
      <c r="Z20" s="10">
        <v>0.44995139831270198</v>
      </c>
      <c r="AA20" s="11">
        <v>0</v>
      </c>
      <c r="AB20" s="12">
        <v>0</v>
      </c>
      <c r="AC20" s="20">
        <f t="shared" si="0"/>
        <v>0.20759204491400429</v>
      </c>
    </row>
    <row r="21" spans="1:29" x14ac:dyDescent="0.3">
      <c r="A21" s="13" t="s">
        <v>43</v>
      </c>
      <c r="B21">
        <v>1998</v>
      </c>
      <c r="C21" s="14">
        <v>737.11099999999999</v>
      </c>
      <c r="D21" s="10">
        <v>0.209094695371525</v>
      </c>
      <c r="E21" s="12">
        <v>9.9917108820788206E-2</v>
      </c>
      <c r="F21" s="10">
        <v>6.3377157578709306E-2</v>
      </c>
      <c r="G21" s="12">
        <v>0.13903740413587601</v>
      </c>
      <c r="H21" s="10">
        <v>0</v>
      </c>
      <c r="I21" s="12">
        <v>0</v>
      </c>
      <c r="J21" s="10">
        <v>1.4014171542684899E-2</v>
      </c>
      <c r="K21" s="11">
        <v>1.26914399595176E-2</v>
      </c>
      <c r="L21" s="11">
        <v>4.6505885816383201E-2</v>
      </c>
      <c r="M21" s="11">
        <v>6.9623163946814001E-3</v>
      </c>
      <c r="N21" s="12">
        <v>1.10336163752813E-2</v>
      </c>
      <c r="O21" s="10">
        <v>4.0930063450416599E-3</v>
      </c>
      <c r="P21" s="12">
        <v>1.35664777760744E-6</v>
      </c>
      <c r="Q21" s="10">
        <v>0</v>
      </c>
      <c r="R21" s="11">
        <v>7.2363592457581E-3</v>
      </c>
      <c r="S21" s="11">
        <v>0</v>
      </c>
      <c r="T21" s="11">
        <v>0</v>
      </c>
      <c r="U21" s="10">
        <v>3.0644148888467355E-2</v>
      </c>
      <c r="V21" s="12">
        <v>2.466773765236574E-2</v>
      </c>
      <c r="W21" s="10">
        <v>0</v>
      </c>
      <c r="X21" s="11">
        <v>7.0450719091154504E-3</v>
      </c>
      <c r="Y21" s="12">
        <v>1.72294267756145E-4</v>
      </c>
      <c r="Z21" s="10">
        <v>0.311296399049804</v>
      </c>
      <c r="AA21" s="11">
        <v>1.2209829998467E-2</v>
      </c>
      <c r="AB21" s="12">
        <v>0</v>
      </c>
      <c r="AC21" s="20">
        <f t="shared" si="0"/>
        <v>0.29771635479595299</v>
      </c>
    </row>
    <row r="22" spans="1:29" x14ac:dyDescent="0.3">
      <c r="A22" s="13" t="s">
        <v>43</v>
      </c>
      <c r="B22">
        <v>1999</v>
      </c>
      <c r="C22" s="14">
        <v>823.07</v>
      </c>
      <c r="D22" s="10">
        <v>0.14525374512495901</v>
      </c>
      <c r="E22" s="12">
        <v>6.4898489800381501E-2</v>
      </c>
      <c r="F22" s="10">
        <v>5.9764054090174603E-3</v>
      </c>
      <c r="G22" s="12">
        <v>4.4246540391461198E-2</v>
      </c>
      <c r="H22" s="10">
        <v>0</v>
      </c>
      <c r="I22" s="12">
        <v>0</v>
      </c>
      <c r="J22" s="10">
        <v>5.4721955605234098E-3</v>
      </c>
      <c r="K22" s="11">
        <v>1.75440728006123E-2</v>
      </c>
      <c r="L22" s="11">
        <v>2.2973744638973601E-2</v>
      </c>
      <c r="M22" s="11">
        <v>0</v>
      </c>
      <c r="N22" s="12">
        <v>3.2305879208329798E-3</v>
      </c>
      <c r="O22" s="10">
        <v>5.4673357065620198E-5</v>
      </c>
      <c r="P22" s="12">
        <v>0</v>
      </c>
      <c r="Q22" s="10">
        <v>0</v>
      </c>
      <c r="R22" s="11">
        <v>3.2463824462074901E-3</v>
      </c>
      <c r="S22" s="11">
        <v>0</v>
      </c>
      <c r="T22" s="11">
        <v>0</v>
      </c>
      <c r="U22" s="10">
        <v>8.5743122914459895E-3</v>
      </c>
      <c r="V22" s="12">
        <v>4.5169597704058609E-2</v>
      </c>
      <c r="W22" s="10">
        <v>1.21496349034712E-4</v>
      </c>
      <c r="X22" s="11">
        <v>0</v>
      </c>
      <c r="Y22" s="12">
        <v>2.3084306316595201E-5</v>
      </c>
      <c r="Z22" s="10">
        <v>0.63321467189910996</v>
      </c>
      <c r="AA22" s="11">
        <v>0</v>
      </c>
      <c r="AB22" s="12">
        <v>0</v>
      </c>
      <c r="AC22" s="20">
        <f t="shared" si="0"/>
        <v>9.9498220078486577E-2</v>
      </c>
    </row>
    <row r="23" spans="1:29" x14ac:dyDescent="0.3">
      <c r="A23" s="13" t="s">
        <v>43</v>
      </c>
      <c r="B23">
        <v>2000</v>
      </c>
      <c r="C23" s="14">
        <v>786.49</v>
      </c>
      <c r="D23" s="10">
        <v>0.122292718279953</v>
      </c>
      <c r="E23" s="12">
        <v>7.7276252717771401E-2</v>
      </c>
      <c r="F23" s="10">
        <v>2.0738979516586299E-2</v>
      </c>
      <c r="G23" s="12">
        <v>4.6087044971964003E-2</v>
      </c>
      <c r="H23" s="10">
        <v>1.4634642525651899E-3</v>
      </c>
      <c r="I23" s="12">
        <v>0</v>
      </c>
      <c r="J23" s="10">
        <v>9.8106778217142004E-3</v>
      </c>
      <c r="K23" s="11">
        <v>4.2772317511983599E-3</v>
      </c>
      <c r="L23" s="11">
        <v>2.2642373075309301E-2</v>
      </c>
      <c r="M23" s="11">
        <v>0</v>
      </c>
      <c r="N23" s="12">
        <v>2.90785642538367E-3</v>
      </c>
      <c r="O23" s="10">
        <v>2.92438556116416E-5</v>
      </c>
      <c r="P23" s="12">
        <v>4.6273951353481897E-2</v>
      </c>
      <c r="Q23" s="10">
        <v>1.2872382357054801E-2</v>
      </c>
      <c r="R23" s="11">
        <v>0</v>
      </c>
      <c r="S23" s="11">
        <v>0</v>
      </c>
      <c r="T23" s="11">
        <v>0</v>
      </c>
      <c r="U23" s="10">
        <v>3.416853011020711E-2</v>
      </c>
      <c r="V23" s="12">
        <v>2.3758461968522389E-2</v>
      </c>
      <c r="W23" s="10">
        <v>1.0680364658164801E-4</v>
      </c>
      <c r="X23" s="11">
        <v>1.0464214421035201E-3</v>
      </c>
      <c r="Y23" s="12">
        <v>4.2594311434347503E-3</v>
      </c>
      <c r="Z23" s="10">
        <v>0.561316736385714</v>
      </c>
      <c r="AA23" s="11">
        <v>8.6714389248432906E-3</v>
      </c>
      <c r="AB23" s="12">
        <v>0</v>
      </c>
      <c r="AC23" s="20">
        <f t="shared" si="0"/>
        <v>0.15423082302381455</v>
      </c>
    </row>
    <row r="24" spans="1:29" x14ac:dyDescent="0.3">
      <c r="A24" s="13" t="s">
        <v>43</v>
      </c>
      <c r="B24">
        <v>2001</v>
      </c>
      <c r="C24" s="14">
        <v>1253.288</v>
      </c>
      <c r="D24" s="10">
        <v>9.1555173272224705E-2</v>
      </c>
      <c r="E24" s="12">
        <v>1.83804520589043E-2</v>
      </c>
      <c r="F24" s="10">
        <v>2.0569095052374201E-2</v>
      </c>
      <c r="G24" s="12">
        <v>5.3483317481696196E-3</v>
      </c>
      <c r="H24" s="10">
        <v>5.02677756429488E-5</v>
      </c>
      <c r="I24" s="12">
        <v>0</v>
      </c>
      <c r="J24" s="10">
        <v>1.80373545426111E-2</v>
      </c>
      <c r="K24" s="11">
        <v>3.6513554745597199E-2</v>
      </c>
      <c r="L24" s="11">
        <v>3.10247923861076E-2</v>
      </c>
      <c r="M24" s="11">
        <v>0</v>
      </c>
      <c r="N24" s="12">
        <v>9.5484836685582192E-3</v>
      </c>
      <c r="O24" s="10">
        <v>6.0377183855586302E-3</v>
      </c>
      <c r="P24" s="12">
        <v>3.2484951583355098E-2</v>
      </c>
      <c r="Q24" s="10">
        <v>1.791283712939464E-3</v>
      </c>
      <c r="R24" s="11">
        <v>1.3391978234833136E-2</v>
      </c>
      <c r="S24" s="11">
        <v>0</v>
      </c>
      <c r="T24" s="11">
        <v>0</v>
      </c>
      <c r="U24" s="10">
        <v>9.0315686896702413E-3</v>
      </c>
      <c r="V24" s="12">
        <v>5.4686898303187579E-3</v>
      </c>
      <c r="W24" s="10">
        <v>1.5343640089109599E-3</v>
      </c>
      <c r="X24" s="11">
        <v>3.8450858860852402E-3</v>
      </c>
      <c r="Y24" s="12">
        <v>0</v>
      </c>
      <c r="Z24" s="10">
        <v>0.69538685441813897</v>
      </c>
      <c r="AA24" s="11">
        <v>0</v>
      </c>
      <c r="AB24" s="12">
        <v>0</v>
      </c>
      <c r="AC24" s="20">
        <f t="shared" si="0"/>
        <v>0.1596145498879746</v>
      </c>
    </row>
    <row r="25" spans="1:29" x14ac:dyDescent="0.3">
      <c r="A25" s="13" t="s">
        <v>43</v>
      </c>
      <c r="B25">
        <v>2002</v>
      </c>
      <c r="C25" s="14">
        <v>1551.1420000000001</v>
      </c>
      <c r="D25" s="10">
        <v>0.17536756789513799</v>
      </c>
      <c r="E25" s="12">
        <v>2.5846118537180999E-2</v>
      </c>
      <c r="F25" s="10">
        <v>0.120310713010156</v>
      </c>
      <c r="G25" s="12">
        <v>4.4027561628787001E-2</v>
      </c>
      <c r="H25" s="10">
        <v>1.3153534621588499E-2</v>
      </c>
      <c r="I25" s="12">
        <v>0</v>
      </c>
      <c r="J25" s="10">
        <v>1.5476339368026899E-2</v>
      </c>
      <c r="K25" s="11">
        <v>8.5665915822020194E-3</v>
      </c>
      <c r="L25" s="11">
        <v>1.3761473804461501E-2</v>
      </c>
      <c r="M25" s="11">
        <v>1.8824840021094101E-4</v>
      </c>
      <c r="N25" s="12">
        <v>1.7734030797953999E-2</v>
      </c>
      <c r="O25" s="10">
        <v>6.4468630209226499E-7</v>
      </c>
      <c r="P25" s="12">
        <v>3.6424776068213001E-3</v>
      </c>
      <c r="Q25" s="10">
        <v>0</v>
      </c>
      <c r="R25" s="11">
        <v>4.90864150413051E-3</v>
      </c>
      <c r="S25" s="11">
        <v>0</v>
      </c>
      <c r="T25" s="11">
        <v>0</v>
      </c>
      <c r="U25" s="10">
        <v>3.7269146093746985E-2</v>
      </c>
      <c r="V25" s="12">
        <v>4.857599252025481E-2</v>
      </c>
      <c r="W25" s="10">
        <v>3.5328809354656101E-4</v>
      </c>
      <c r="X25" s="11">
        <v>1.6117157552306601E-5</v>
      </c>
      <c r="Y25" s="12">
        <v>0</v>
      </c>
      <c r="Z25" s="10">
        <v>0.47080151269193898</v>
      </c>
      <c r="AA25" s="11">
        <v>0</v>
      </c>
      <c r="AB25" s="12">
        <v>0</v>
      </c>
      <c r="AC25" s="20">
        <f t="shared" si="0"/>
        <v>0.23686161550651025</v>
      </c>
    </row>
    <row r="26" spans="1:29" x14ac:dyDescent="0.3">
      <c r="A26" s="13" t="s">
        <v>43</v>
      </c>
      <c r="B26">
        <v>2003</v>
      </c>
      <c r="C26" s="14">
        <v>1885.817</v>
      </c>
      <c r="D26" s="10">
        <v>0.100259463139849</v>
      </c>
      <c r="E26" s="12">
        <v>2.3431223708345002E-2</v>
      </c>
      <c r="F26" s="10">
        <v>7.8108851495134496E-2</v>
      </c>
      <c r="G26" s="12">
        <v>2.5806851884355698E-2</v>
      </c>
      <c r="H26" s="10">
        <v>1.32568536607741E-5</v>
      </c>
      <c r="I26" s="12">
        <v>2.2160156579349999E-3</v>
      </c>
      <c r="J26" s="10">
        <v>4.00775897131058E-2</v>
      </c>
      <c r="K26" s="11">
        <v>2.20811457315317E-2</v>
      </c>
      <c r="L26" s="11">
        <v>7.5861019388413602E-3</v>
      </c>
      <c r="M26" s="11">
        <v>2.5405434355507501E-3</v>
      </c>
      <c r="N26" s="12">
        <v>4.50096695490602E-3</v>
      </c>
      <c r="O26" s="10">
        <v>0</v>
      </c>
      <c r="P26" s="12">
        <v>1.31322392363628E-2</v>
      </c>
      <c r="Q26" s="10">
        <v>1.2567442962893333E-2</v>
      </c>
      <c r="R26" s="11">
        <v>1.006755918001739E-2</v>
      </c>
      <c r="S26" s="11">
        <v>0</v>
      </c>
      <c r="T26" s="11">
        <v>6.1221643662267926E-4</v>
      </c>
      <c r="U26" s="10">
        <v>2.0395712569714307E-2</v>
      </c>
      <c r="V26" s="12">
        <v>2.4166405599758092E-2</v>
      </c>
      <c r="W26" s="10">
        <v>3.4595085313156001E-3</v>
      </c>
      <c r="X26" s="11">
        <v>4.5174054534453797E-3</v>
      </c>
      <c r="Y26" s="12">
        <v>0</v>
      </c>
      <c r="Z26" s="10">
        <v>0.60445949951665501</v>
      </c>
      <c r="AA26" s="11">
        <v>0</v>
      </c>
      <c r="AB26" s="12">
        <v>0</v>
      </c>
      <c r="AC26" s="20">
        <f t="shared" si="0"/>
        <v>0.19606356290138435</v>
      </c>
    </row>
    <row r="27" spans="1:29" x14ac:dyDescent="0.3">
      <c r="A27" s="13" t="s">
        <v>43</v>
      </c>
      <c r="B27">
        <v>2004</v>
      </c>
      <c r="C27" s="14">
        <v>1177.3030000000001</v>
      </c>
      <c r="D27" s="10">
        <v>0.17402232050712499</v>
      </c>
      <c r="E27" s="12">
        <v>2.2043603048662899E-2</v>
      </c>
      <c r="F27" s="10">
        <v>9.6810251906263703E-2</v>
      </c>
      <c r="G27" s="12">
        <v>4.9701733538434899E-2</v>
      </c>
      <c r="H27" s="10">
        <v>7.5137836223979704E-3</v>
      </c>
      <c r="I27" s="12">
        <v>1.1144114981444899E-3</v>
      </c>
      <c r="J27" s="10">
        <v>5.8149856069338096E-3</v>
      </c>
      <c r="K27" s="11">
        <v>1.3275257091844701E-2</v>
      </c>
      <c r="L27" s="11">
        <v>3.9536975612905097E-2</v>
      </c>
      <c r="M27" s="11">
        <v>0</v>
      </c>
      <c r="N27" s="12">
        <v>4.2909939072609198E-2</v>
      </c>
      <c r="O27" s="10">
        <v>0</v>
      </c>
      <c r="P27" s="12">
        <v>1.6987980154641599E-6</v>
      </c>
      <c r="Q27" s="10">
        <v>1.488271683905228E-2</v>
      </c>
      <c r="R27" s="11">
        <v>1.2095045045526321E-2</v>
      </c>
      <c r="S27" s="11">
        <v>0</v>
      </c>
      <c r="T27" s="11">
        <v>0</v>
      </c>
      <c r="U27" s="10">
        <v>8.3112731846358964E-2</v>
      </c>
      <c r="V27" s="12">
        <v>3.3215859858580041E-2</v>
      </c>
      <c r="W27" s="10">
        <v>2.9864869111859899E-3</v>
      </c>
      <c r="X27" s="11">
        <v>1.1045584696548E-2</v>
      </c>
      <c r="Y27" s="12">
        <v>0</v>
      </c>
      <c r="Z27" s="10">
        <v>0.38991661449941101</v>
      </c>
      <c r="AA27" s="11">
        <v>0</v>
      </c>
      <c r="AB27" s="12">
        <v>0</v>
      </c>
      <c r="AC27" s="20">
        <f t="shared" si="0"/>
        <v>0.25667903674754933</v>
      </c>
    </row>
    <row r="28" spans="1:29" x14ac:dyDescent="0.3">
      <c r="A28" s="13" t="s">
        <v>43</v>
      </c>
      <c r="B28">
        <v>2005</v>
      </c>
      <c r="C28" s="14">
        <v>1014.843</v>
      </c>
      <c r="D28" s="10">
        <v>0.117795560495564</v>
      </c>
      <c r="E28" s="12">
        <v>1.9077827801935902E-2</v>
      </c>
      <c r="F28" s="10">
        <v>9.8072312663140995E-2</v>
      </c>
      <c r="G28" s="12">
        <v>3.3331264047739402E-2</v>
      </c>
      <c r="H28" s="10">
        <v>3.4635899346007202E-3</v>
      </c>
      <c r="I28" s="12">
        <v>6.2735812337474897E-2</v>
      </c>
      <c r="J28" s="10">
        <v>5.0740853511331299E-2</v>
      </c>
      <c r="K28" s="11">
        <v>7.5408708539153296E-2</v>
      </c>
      <c r="L28" s="11">
        <v>0.1464275754969</v>
      </c>
      <c r="M28" s="11">
        <v>0</v>
      </c>
      <c r="N28" s="12">
        <v>1.2338854384372801E-2</v>
      </c>
      <c r="O28" s="10">
        <v>0</v>
      </c>
      <c r="P28" s="12">
        <v>0</v>
      </c>
      <c r="Q28" s="10">
        <v>1.7528667365047386E-2</v>
      </c>
      <c r="R28" s="11">
        <v>8.4061758156897936E-3</v>
      </c>
      <c r="S28" s="11">
        <v>0</v>
      </c>
      <c r="T28" s="11">
        <v>5.2670274534397203E-3</v>
      </c>
      <c r="U28" s="10">
        <v>5.2251950330007273E-3</v>
      </c>
      <c r="V28" s="12">
        <v>5.3002530831985278E-2</v>
      </c>
      <c r="W28" s="10">
        <v>1.55590569181637E-3</v>
      </c>
      <c r="X28" s="11">
        <v>3.1049137649863099E-3</v>
      </c>
      <c r="Y28" s="12">
        <v>0</v>
      </c>
      <c r="Z28" s="10">
        <v>0.28651722483182102</v>
      </c>
      <c r="AA28" s="11">
        <v>0</v>
      </c>
      <c r="AB28" s="12">
        <v>0</v>
      </c>
      <c r="AC28" s="20">
        <f t="shared" si="0"/>
        <v>0.48251897091471346</v>
      </c>
    </row>
    <row r="29" spans="1:29" x14ac:dyDescent="0.3">
      <c r="A29" s="13" t="s">
        <v>43</v>
      </c>
      <c r="B29">
        <v>2006</v>
      </c>
      <c r="C29" s="14">
        <v>1585.23</v>
      </c>
      <c r="D29" s="10">
        <v>9.8791342581202701E-2</v>
      </c>
      <c r="E29" s="12">
        <v>2.2833279713353902E-2</v>
      </c>
      <c r="F29" s="10">
        <v>0.10543075768185101</v>
      </c>
      <c r="G29" s="12">
        <v>6.1529872636778199E-2</v>
      </c>
      <c r="H29" s="10">
        <v>2.6873072046327698E-3</v>
      </c>
      <c r="I29" s="12">
        <v>1.7029074645319602E-2</v>
      </c>
      <c r="J29" s="10">
        <v>1.512966572674E-2</v>
      </c>
      <c r="K29" s="11">
        <v>4.8264289724519502E-2</v>
      </c>
      <c r="L29" s="11">
        <v>0.17430341338480901</v>
      </c>
      <c r="M29" s="11">
        <v>0</v>
      </c>
      <c r="N29" s="12">
        <v>2.1632822997293799E-2</v>
      </c>
      <c r="O29" s="10">
        <v>0</v>
      </c>
      <c r="P29" s="12">
        <v>0</v>
      </c>
      <c r="Q29" s="10">
        <v>2.179159835229607E-2</v>
      </c>
      <c r="R29" s="11">
        <v>6.2081240854574317E-3</v>
      </c>
      <c r="S29" s="11">
        <v>0</v>
      </c>
      <c r="T29" s="11">
        <v>0</v>
      </c>
      <c r="U29" s="10">
        <v>2.2825672784004804E-2</v>
      </c>
      <c r="V29" s="12">
        <v>3.7299356391572225E-2</v>
      </c>
      <c r="W29" s="10">
        <v>2.1063189568706099E-3</v>
      </c>
      <c r="X29" s="11">
        <v>6.37510014319689E-3</v>
      </c>
      <c r="Y29" s="12">
        <v>0</v>
      </c>
      <c r="Z29" s="10">
        <v>0.32852015164991799</v>
      </c>
      <c r="AA29" s="11">
        <v>7.2418513401840698E-3</v>
      </c>
      <c r="AB29" s="12">
        <v>0</v>
      </c>
      <c r="AC29" s="20">
        <f t="shared" si="0"/>
        <v>0.44600720400194388</v>
      </c>
    </row>
    <row r="30" spans="1:29" x14ac:dyDescent="0.3">
      <c r="A30" s="13" t="s">
        <v>43</v>
      </c>
      <c r="B30">
        <v>2007</v>
      </c>
      <c r="C30" s="14">
        <v>571.58299999999997</v>
      </c>
      <c r="D30" s="10">
        <v>9.2903392858080094E-2</v>
      </c>
      <c r="E30" s="12">
        <v>5.3194374220366901E-2</v>
      </c>
      <c r="F30" s="10">
        <v>6.3773765139970906E-2</v>
      </c>
      <c r="G30" s="12">
        <v>7.0635410780236593E-2</v>
      </c>
      <c r="H30" s="10">
        <v>1.02347340631194E-3</v>
      </c>
      <c r="I30" s="12">
        <v>2.94900303193062E-2</v>
      </c>
      <c r="J30" s="10">
        <v>2.9843434811742099E-2</v>
      </c>
      <c r="K30" s="11">
        <v>1.14699002594549E-2</v>
      </c>
      <c r="L30" s="11">
        <v>7.0308249195654898E-2</v>
      </c>
      <c r="M30" s="11">
        <v>0</v>
      </c>
      <c r="N30" s="12">
        <v>4.6992300330835598E-3</v>
      </c>
      <c r="O30" s="10">
        <v>0</v>
      </c>
      <c r="P30" s="12">
        <v>0</v>
      </c>
      <c r="Q30" s="10">
        <v>2.9932402571483739E-2</v>
      </c>
      <c r="R30" s="11">
        <v>0</v>
      </c>
      <c r="S30" s="11">
        <v>0</v>
      </c>
      <c r="T30" s="11">
        <v>1.5714511350028965E-2</v>
      </c>
      <c r="U30" s="10">
        <v>3.4686716065233797E-3</v>
      </c>
      <c r="V30" s="12">
        <v>4.440539042821174E-2</v>
      </c>
      <c r="W30" s="10">
        <v>5.0386383079972601E-4</v>
      </c>
      <c r="X30" s="11">
        <v>0</v>
      </c>
      <c r="Y30" s="12">
        <v>1.20542423410073E-3</v>
      </c>
      <c r="Z30" s="10">
        <v>0.47742847495464402</v>
      </c>
      <c r="AA30" s="11">
        <v>0</v>
      </c>
      <c r="AB30" s="12">
        <v>0</v>
      </c>
      <c r="AC30" s="20">
        <f t="shared" si="0"/>
        <v>0.28124349394576109</v>
      </c>
    </row>
    <row r="31" spans="1:29" x14ac:dyDescent="0.3">
      <c r="A31" s="13" t="s">
        <v>43</v>
      </c>
      <c r="B31">
        <v>2008</v>
      </c>
      <c r="C31" s="14">
        <v>2556.2640000000001</v>
      </c>
      <c r="D31" s="10">
        <v>6.2247483045569603E-2</v>
      </c>
      <c r="E31" s="12">
        <v>7.2355593944913397E-3</v>
      </c>
      <c r="F31" s="10">
        <v>5.6011037983557201E-2</v>
      </c>
      <c r="G31" s="12">
        <v>4.9514447647034901E-2</v>
      </c>
      <c r="H31" s="10">
        <v>8.4107118826537504E-5</v>
      </c>
      <c r="I31" s="12">
        <v>2.21103923538414E-2</v>
      </c>
      <c r="J31" s="10">
        <v>2.5318589942196899E-2</v>
      </c>
      <c r="K31" s="11">
        <v>9.8281319926267402E-2</v>
      </c>
      <c r="L31" s="11">
        <v>0.22027302344358801</v>
      </c>
      <c r="M31" s="11">
        <v>0</v>
      </c>
      <c r="N31" s="12">
        <v>7.4209862518112395E-4</v>
      </c>
      <c r="O31" s="10">
        <v>0</v>
      </c>
      <c r="P31" s="12">
        <v>0</v>
      </c>
      <c r="Q31" s="10">
        <v>2.5093709019978487E-3</v>
      </c>
      <c r="R31" s="11">
        <v>1.5783942973566466E-2</v>
      </c>
      <c r="S31" s="11">
        <v>3.0488856459273861E-3</v>
      </c>
      <c r="T31" s="11">
        <v>4.6423361686960204E-4</v>
      </c>
      <c r="U31" s="10">
        <v>2.9134151239132407E-3</v>
      </c>
      <c r="V31" s="12">
        <v>1.68032495085347E-2</v>
      </c>
      <c r="W31" s="10">
        <v>2.4919178926746199E-4</v>
      </c>
      <c r="X31" s="11">
        <v>0</v>
      </c>
      <c r="Y31" s="12">
        <v>6.3764931947561001E-5</v>
      </c>
      <c r="Z31" s="10">
        <v>0.41634588602742101</v>
      </c>
      <c r="AA31" s="11">
        <v>0</v>
      </c>
      <c r="AB31" s="12">
        <v>0</v>
      </c>
      <c r="AC31" s="20">
        <f t="shared" si="0"/>
        <v>0.47233501704049347</v>
      </c>
    </row>
    <row r="32" spans="1:29" x14ac:dyDescent="0.3">
      <c r="A32" s="13" t="s">
        <v>43</v>
      </c>
      <c r="B32">
        <v>2009</v>
      </c>
      <c r="C32" s="14">
        <v>2169.7930000000001</v>
      </c>
      <c r="D32" s="10">
        <v>7.08712766609534E-2</v>
      </c>
      <c r="E32" s="12">
        <v>2.3386562681324899E-2</v>
      </c>
      <c r="F32" s="10">
        <v>5.4755453630830203E-2</v>
      </c>
      <c r="G32" s="12">
        <v>3.3499508939331998E-2</v>
      </c>
      <c r="H32" s="10">
        <v>6.0554163461675903E-3</v>
      </c>
      <c r="I32" s="12">
        <v>2.4909288581906198E-2</v>
      </c>
      <c r="J32" s="10">
        <v>4.6093797887632598E-2</v>
      </c>
      <c r="K32" s="11">
        <v>5.9758235002140801E-2</v>
      </c>
      <c r="L32" s="11">
        <v>0.14142178539611799</v>
      </c>
      <c r="M32" s="11">
        <v>0</v>
      </c>
      <c r="N32" s="12">
        <v>1.48041771726612E-2</v>
      </c>
      <c r="O32" s="10">
        <v>1.9817558633473302E-5</v>
      </c>
      <c r="P32" s="12">
        <v>0</v>
      </c>
      <c r="Q32" s="10">
        <v>7.3901164956632556E-3</v>
      </c>
      <c r="R32" s="11">
        <v>4.0719541891104542E-2</v>
      </c>
      <c r="S32" s="11">
        <v>0</v>
      </c>
      <c r="T32" s="11">
        <v>0</v>
      </c>
      <c r="U32" s="10">
        <v>9.6602023959770182E-3</v>
      </c>
      <c r="V32" s="12">
        <v>6.8373508653878853E-2</v>
      </c>
      <c r="W32" s="10">
        <v>1.6596053171892399E-3</v>
      </c>
      <c r="X32" s="11">
        <v>1.52088240675493E-5</v>
      </c>
      <c r="Y32" s="12">
        <v>2.0250779682670201E-3</v>
      </c>
      <c r="Z32" s="10">
        <v>0.392797838319139</v>
      </c>
      <c r="AA32" s="11">
        <v>1.7835802770126E-3</v>
      </c>
      <c r="AB32" s="12">
        <v>0</v>
      </c>
      <c r="AC32" s="20">
        <f t="shared" si="0"/>
        <v>0.38131748051542202</v>
      </c>
    </row>
    <row r="33" spans="1:29" x14ac:dyDescent="0.3">
      <c r="A33" s="13" t="s">
        <v>43</v>
      </c>
      <c r="B33">
        <v>2010</v>
      </c>
      <c r="C33" s="14">
        <v>2203.259</v>
      </c>
      <c r="D33" s="10">
        <v>8.5900931302220901E-2</v>
      </c>
      <c r="E33" s="12">
        <v>2.0159227762146899E-2</v>
      </c>
      <c r="F33" s="10">
        <v>8.9068965564193803E-2</v>
      </c>
      <c r="G33" s="12">
        <v>2.8588559039132499E-2</v>
      </c>
      <c r="H33" s="10">
        <v>2.13774231717651E-4</v>
      </c>
      <c r="I33" s="12">
        <v>5.3743114177679501E-3</v>
      </c>
      <c r="J33" s="10">
        <v>2.0073899618701201E-2</v>
      </c>
      <c r="K33" s="11">
        <v>3.96194909450047E-2</v>
      </c>
      <c r="L33" s="11">
        <v>9.9153572049405003E-2</v>
      </c>
      <c r="M33" s="11">
        <v>9.3951732410942206E-5</v>
      </c>
      <c r="N33" s="12">
        <v>1.3219508010633299E-2</v>
      </c>
      <c r="O33" s="10">
        <v>1.5885558620207601E-5</v>
      </c>
      <c r="P33" s="12">
        <v>3.06818217921724E-4</v>
      </c>
      <c r="Q33" s="10">
        <v>5.9436827412307049E-3</v>
      </c>
      <c r="R33" s="11">
        <v>1.2489011735451293E-2</v>
      </c>
      <c r="S33" s="11">
        <v>0</v>
      </c>
      <c r="T33" s="11">
        <v>0</v>
      </c>
      <c r="U33" s="10">
        <v>4.1119135400969342E-2</v>
      </c>
      <c r="V33" s="12">
        <v>4.5579250943985995E-2</v>
      </c>
      <c r="W33" s="10">
        <v>3.2769638067971099E-3</v>
      </c>
      <c r="X33" s="11">
        <v>1.34119502064896E-2</v>
      </c>
      <c r="Y33" s="12">
        <v>1.70792448822404E-3</v>
      </c>
      <c r="Z33" s="10">
        <v>0.46409432572384801</v>
      </c>
      <c r="AA33" s="11">
        <v>1.0588859503126999E-2</v>
      </c>
      <c r="AB33" s="12">
        <v>0</v>
      </c>
      <c r="AC33" s="20">
        <f t="shared" si="0"/>
        <v>0.29572873638550901</v>
      </c>
    </row>
    <row r="34" spans="1:29" x14ac:dyDescent="0.3">
      <c r="A34" s="13" t="s">
        <v>43</v>
      </c>
      <c r="B34">
        <v>2011</v>
      </c>
      <c r="C34" s="14">
        <v>2203.5120000000002</v>
      </c>
      <c r="D34" s="10">
        <v>7.3042034715490506E-2</v>
      </c>
      <c r="E34" s="12">
        <v>2.36826484266934E-2</v>
      </c>
      <c r="F34" s="10">
        <v>6.2998976179843805E-2</v>
      </c>
      <c r="G34" s="12">
        <v>4.0919677315122402E-2</v>
      </c>
      <c r="H34" s="10">
        <v>1.0708813929763E-2</v>
      </c>
      <c r="I34" s="12">
        <v>8.1606090640758897E-3</v>
      </c>
      <c r="J34" s="10">
        <v>2.9053619857754402E-2</v>
      </c>
      <c r="K34" s="11">
        <v>3.4097386354147399E-2</v>
      </c>
      <c r="L34" s="11">
        <v>0.14445349060953599</v>
      </c>
      <c r="M34" s="11">
        <v>2.1488423934156002E-3</v>
      </c>
      <c r="N34" s="12">
        <v>4.8377317663802198E-4</v>
      </c>
      <c r="O34" s="10">
        <v>0</v>
      </c>
      <c r="P34" s="12">
        <v>1.8969717432898E-4</v>
      </c>
      <c r="Q34" s="10">
        <v>1.0669387066466326E-2</v>
      </c>
      <c r="R34" s="11">
        <v>1.4361703372778685E-2</v>
      </c>
      <c r="S34" s="11">
        <v>0</v>
      </c>
      <c r="T34" s="11">
        <v>7.2778902226919003E-4</v>
      </c>
      <c r="U34" s="10">
        <v>8.8460568406504795E-3</v>
      </c>
      <c r="V34" s="12">
        <v>7.9754776737746239E-2</v>
      </c>
      <c r="W34" s="10">
        <v>4.2945080398926801E-3</v>
      </c>
      <c r="X34" s="11">
        <v>2.2373374867030501E-3</v>
      </c>
      <c r="Y34" s="12">
        <v>3.8842538638319199E-3</v>
      </c>
      <c r="Z34" s="10">
        <v>0.444830797381634</v>
      </c>
      <c r="AA34" s="11">
        <v>4.5382099121765598E-4</v>
      </c>
      <c r="AB34" s="12">
        <v>0</v>
      </c>
      <c r="AC34" s="20">
        <f t="shared" si="0"/>
        <v>0.33321488605462551</v>
      </c>
    </row>
    <row r="35" spans="1:29" x14ac:dyDescent="0.3">
      <c r="A35" s="13" t="s">
        <v>43</v>
      </c>
      <c r="B35">
        <v>2012</v>
      </c>
      <c r="C35" s="14">
        <v>2369.107</v>
      </c>
      <c r="D35" s="10">
        <v>8.5211854086793007E-2</v>
      </c>
      <c r="E35" s="12">
        <v>4.1362420523851397E-2</v>
      </c>
      <c r="F35" s="10">
        <v>7.9575553151461698E-2</v>
      </c>
      <c r="G35" s="12">
        <v>5.2688629091045699E-2</v>
      </c>
      <c r="H35" s="10">
        <v>1.12612051714E-2</v>
      </c>
      <c r="I35" s="12">
        <v>1.8636135894242001E-2</v>
      </c>
      <c r="J35" s="10">
        <v>3.5054558531970099E-2</v>
      </c>
      <c r="K35" s="11">
        <v>3.04131472322694E-2</v>
      </c>
      <c r="L35" s="11">
        <v>9.0816075424199894E-2</v>
      </c>
      <c r="M35" s="11">
        <v>2.5781866331913198E-3</v>
      </c>
      <c r="N35" s="12">
        <v>1.57629013801403E-2</v>
      </c>
      <c r="O35" s="10">
        <v>0</v>
      </c>
      <c r="P35" s="12">
        <v>0</v>
      </c>
      <c r="Q35" s="10">
        <v>7.8383901316243041E-3</v>
      </c>
      <c r="R35" s="11">
        <v>3.3483508794848793E-2</v>
      </c>
      <c r="S35" s="11">
        <v>0</v>
      </c>
      <c r="T35" s="11">
        <v>0</v>
      </c>
      <c r="U35" s="10">
        <v>3.0810382503882131E-3</v>
      </c>
      <c r="V35" s="12">
        <v>3.7064890152170203E-2</v>
      </c>
      <c r="W35" s="10">
        <v>7.6674460039162402E-3</v>
      </c>
      <c r="X35" s="11">
        <v>4.6177737012300399E-4</v>
      </c>
      <c r="Y35" s="12">
        <v>1.5706762083772498E-2</v>
      </c>
      <c r="Z35" s="10">
        <v>0.43133552009259202</v>
      </c>
      <c r="AA35" s="11">
        <v>0</v>
      </c>
      <c r="AB35" s="12">
        <v>0</v>
      </c>
      <c r="AC35" s="20">
        <f t="shared" si="0"/>
        <v>0.33678639250992043</v>
      </c>
    </row>
    <row r="36" spans="1:29" x14ac:dyDescent="0.3">
      <c r="A36" s="13" t="s">
        <v>43</v>
      </c>
      <c r="B36">
        <v>2013</v>
      </c>
      <c r="C36" s="14">
        <v>8525.6630000000005</v>
      </c>
      <c r="D36" s="10">
        <v>6.9431081195679395E-2</v>
      </c>
      <c r="E36" s="12">
        <v>1.2206088840246199E-2</v>
      </c>
      <c r="F36" s="10">
        <v>6.7284855148508696E-2</v>
      </c>
      <c r="G36" s="12">
        <v>4.0199454282910302E-2</v>
      </c>
      <c r="H36" s="10">
        <v>2.4506012025105801E-3</v>
      </c>
      <c r="I36" s="12">
        <v>1.09075388037271E-2</v>
      </c>
      <c r="J36" s="10">
        <v>4.1139909001798501E-2</v>
      </c>
      <c r="K36" s="11">
        <v>2.94112023897731E-2</v>
      </c>
      <c r="L36" s="11">
        <v>5.2545825468353603E-2</v>
      </c>
      <c r="M36" s="11">
        <v>1.1956841362366799E-3</v>
      </c>
      <c r="N36" s="12">
        <v>3.4434858614514801E-3</v>
      </c>
      <c r="O36" s="10">
        <v>0</v>
      </c>
      <c r="P36" s="12">
        <v>2.0115737626504799E-4</v>
      </c>
      <c r="Q36" s="10">
        <v>0</v>
      </c>
      <c r="R36" s="11">
        <v>1.9238831033212375E-2</v>
      </c>
      <c r="S36" s="11">
        <v>4.3260097154782472E-4</v>
      </c>
      <c r="T36" s="11">
        <v>0</v>
      </c>
      <c r="U36" s="10">
        <v>1.0130037349424059E-2</v>
      </c>
      <c r="V36" s="12">
        <v>3.0316787724473444E-2</v>
      </c>
      <c r="W36" s="10">
        <v>6.6337362853774503E-3</v>
      </c>
      <c r="X36" s="11">
        <v>3.0850386650281602E-3</v>
      </c>
      <c r="Y36" s="12">
        <v>6.7165450944988098E-3</v>
      </c>
      <c r="Z36" s="10">
        <v>0.58427948653377404</v>
      </c>
      <c r="AA36" s="11">
        <v>8.7500526352026799E-3</v>
      </c>
      <c r="AB36" s="12">
        <v>0</v>
      </c>
      <c r="AC36" s="20">
        <f t="shared" si="0"/>
        <v>0.24877971367153512</v>
      </c>
    </row>
    <row r="37" spans="1:29" x14ac:dyDescent="0.3">
      <c r="A37" s="13" t="s">
        <v>43</v>
      </c>
      <c r="B37">
        <v>2014</v>
      </c>
      <c r="C37" s="14">
        <v>4762.9790000000003</v>
      </c>
      <c r="D37" s="10">
        <v>0.101724991859087</v>
      </c>
      <c r="E37" s="12">
        <v>2.5222450067489299E-2</v>
      </c>
      <c r="F37" s="10">
        <v>6.7534414911340102E-2</v>
      </c>
      <c r="G37" s="12">
        <v>3.0062488203286199E-2</v>
      </c>
      <c r="H37" s="10">
        <v>3.0567634247390101E-2</v>
      </c>
      <c r="I37" s="12">
        <v>1.7149141325208402E-2</v>
      </c>
      <c r="J37" s="10">
        <v>2.35890185533046E-2</v>
      </c>
      <c r="K37" s="11">
        <v>7.6049044096142297E-3</v>
      </c>
      <c r="L37" s="11">
        <v>3.10431769697074E-2</v>
      </c>
      <c r="M37" s="11">
        <v>2.0995263678466801E-7</v>
      </c>
      <c r="N37" s="12">
        <v>4.25028117906881E-3</v>
      </c>
      <c r="O37" s="10">
        <v>7.7525011132738601E-3</v>
      </c>
      <c r="P37" s="12">
        <v>5.98994872746657E-4</v>
      </c>
      <c r="Q37" s="10">
        <v>4.2087028094529161E-3</v>
      </c>
      <c r="R37" s="11">
        <v>8.6351358442481978E-3</v>
      </c>
      <c r="S37" s="11">
        <v>4.3097116768797865E-3</v>
      </c>
      <c r="T37" s="11">
        <v>0</v>
      </c>
      <c r="U37" s="10">
        <v>1.2927070771744771E-2</v>
      </c>
      <c r="V37" s="12">
        <v>8.6879793797676907E-2</v>
      </c>
      <c r="W37" s="10">
        <v>1.9256855845889698E-2</v>
      </c>
      <c r="X37" s="11">
        <v>4.56353051315154E-3</v>
      </c>
      <c r="Y37" s="12">
        <v>1.24359145820294E-2</v>
      </c>
      <c r="Z37" s="10">
        <v>0.49098893780552</v>
      </c>
      <c r="AA37" s="11">
        <v>8.6941386892530892E-3</v>
      </c>
      <c r="AB37" s="12">
        <v>0</v>
      </c>
      <c r="AC37" s="20">
        <f t="shared" si="0"/>
        <v>0.22015276573757708</v>
      </c>
    </row>
    <row r="38" spans="1:29" x14ac:dyDescent="0.3">
      <c r="A38" s="13" t="s">
        <v>43</v>
      </c>
      <c r="B38">
        <v>2015</v>
      </c>
      <c r="C38" s="14">
        <v>5363.7520000000004</v>
      </c>
      <c r="D38" s="10">
        <v>6.4118549850925299E-2</v>
      </c>
      <c r="E38" s="12">
        <v>7.8359327575175004E-3</v>
      </c>
      <c r="F38" s="10">
        <v>3.7160741212494498E-2</v>
      </c>
      <c r="G38" s="12">
        <v>2.5257506312745301E-2</v>
      </c>
      <c r="H38" s="10">
        <v>5.23887010435978E-3</v>
      </c>
      <c r="I38" s="12">
        <v>1.8815933324284901E-2</v>
      </c>
      <c r="J38" s="10">
        <v>2.5664311101631799E-2</v>
      </c>
      <c r="K38" s="11">
        <v>2.0574403887428101E-2</v>
      </c>
      <c r="L38" s="11">
        <v>6.6746188116079894E-2</v>
      </c>
      <c r="M38" s="11">
        <v>1.37832621642462E-3</v>
      </c>
      <c r="N38" s="12">
        <v>7.9153547740462293E-3</v>
      </c>
      <c r="O38" s="10">
        <v>1.5287805998487602E-5</v>
      </c>
      <c r="P38" s="12">
        <v>3.8778824971773498E-5</v>
      </c>
      <c r="Q38" s="10">
        <v>8.5122079141734322E-3</v>
      </c>
      <c r="R38" s="11">
        <v>2.1552567638462066E-2</v>
      </c>
      <c r="S38" s="11">
        <v>0</v>
      </c>
      <c r="T38" s="11">
        <v>0</v>
      </c>
      <c r="U38" s="10">
        <v>4.3394570458813123E-3</v>
      </c>
      <c r="V38" s="12">
        <v>2.831212714369347E-2</v>
      </c>
      <c r="W38" s="10">
        <v>1.9086452915794801E-2</v>
      </c>
      <c r="X38" s="11">
        <v>8.3918868732185993E-3</v>
      </c>
      <c r="Y38" s="12">
        <v>1.2927890774964999E-2</v>
      </c>
      <c r="Z38" s="10">
        <v>0.60343207515932895</v>
      </c>
      <c r="AA38" s="11">
        <v>1.26851502455744E-2</v>
      </c>
      <c r="AB38" s="12">
        <v>0</v>
      </c>
      <c r="AC38" s="20">
        <f t="shared" si="0"/>
        <v>0.20880570168046539</v>
      </c>
    </row>
    <row r="39" spans="1:29" x14ac:dyDescent="0.3">
      <c r="A39" s="13" t="s">
        <v>43</v>
      </c>
      <c r="B39">
        <v>2016</v>
      </c>
      <c r="C39" s="14">
        <v>2255.4580000000001</v>
      </c>
      <c r="D39" s="10">
        <v>9.97575658691051E-2</v>
      </c>
      <c r="E39" s="12">
        <v>2.7251227910251499E-2</v>
      </c>
      <c r="F39" s="10">
        <v>8.63540797478827E-2</v>
      </c>
      <c r="G39" s="12">
        <v>3.4337593517591497E-2</v>
      </c>
      <c r="H39" s="10">
        <v>1.84241958839402E-2</v>
      </c>
      <c r="I39" s="12">
        <v>6.2191359803640796E-3</v>
      </c>
      <c r="J39" s="10">
        <v>7.0030122485100601E-3</v>
      </c>
      <c r="K39" s="11">
        <v>2.1852767819219E-2</v>
      </c>
      <c r="L39" s="11">
        <v>4.82620381315014E-2</v>
      </c>
      <c r="M39" s="11">
        <v>2.3808911538144401E-4</v>
      </c>
      <c r="N39" s="12">
        <v>7.8746755647855094E-3</v>
      </c>
      <c r="O39" s="10">
        <v>8.8673785989364499E-7</v>
      </c>
      <c r="P39" s="12">
        <v>0</v>
      </c>
      <c r="Q39" s="10">
        <v>0</v>
      </c>
      <c r="R39" s="11">
        <v>1.9175706220200098E-2</v>
      </c>
      <c r="S39" s="11">
        <v>0</v>
      </c>
      <c r="T39" s="11">
        <v>0</v>
      </c>
      <c r="U39" s="10">
        <v>3.9103971672937868E-3</v>
      </c>
      <c r="V39" s="12">
        <v>2.4985729473060419E-2</v>
      </c>
      <c r="W39" s="10">
        <v>2.4327653186182099E-3</v>
      </c>
      <c r="X39" s="11">
        <v>2.7989880547542902E-3</v>
      </c>
      <c r="Y39" s="12">
        <v>5.6298986724647501E-3</v>
      </c>
      <c r="Z39" s="10">
        <v>0.58349124656721596</v>
      </c>
      <c r="AA39" s="11">
        <v>0</v>
      </c>
      <c r="AB39" s="12">
        <v>0</v>
      </c>
      <c r="AC39" s="20">
        <f t="shared" si="0"/>
        <v>0.23056647474703579</v>
      </c>
    </row>
    <row r="40" spans="1:29" x14ac:dyDescent="0.3">
      <c r="A40" s="13" t="s">
        <v>43</v>
      </c>
      <c r="B40">
        <v>2017</v>
      </c>
      <c r="C40" s="14">
        <v>3074.5630000000001</v>
      </c>
      <c r="D40" s="10">
        <v>0.111639605368308</v>
      </c>
      <c r="E40" s="12">
        <v>2.58687169526206E-2</v>
      </c>
      <c r="F40" s="10">
        <v>6.7024159205714806E-2</v>
      </c>
      <c r="G40" s="12">
        <v>4.1078358127642899E-2</v>
      </c>
      <c r="H40" s="10">
        <v>1.4274874185372001E-2</v>
      </c>
      <c r="I40" s="12">
        <v>2.1411172904897399E-2</v>
      </c>
      <c r="J40" s="10">
        <v>4.1436783048517799E-2</v>
      </c>
      <c r="K40" s="11">
        <v>1.8962694861025801E-2</v>
      </c>
      <c r="L40" s="11">
        <v>5.3620303112995302E-2</v>
      </c>
      <c r="M40" s="11">
        <v>5.2885564550149101E-3</v>
      </c>
      <c r="N40" s="12">
        <v>2.0718391524258899E-4</v>
      </c>
      <c r="O40" s="10">
        <v>6.5049894895632302E-7</v>
      </c>
      <c r="P40" s="12">
        <v>8.52153623132783E-5</v>
      </c>
      <c r="Q40" s="10">
        <v>0</v>
      </c>
      <c r="R40" s="11">
        <v>1.7221634424144198E-2</v>
      </c>
      <c r="S40" s="11">
        <v>0</v>
      </c>
      <c r="T40" s="11">
        <v>0</v>
      </c>
      <c r="U40" s="10">
        <v>2.5311974049615502E-3</v>
      </c>
      <c r="V40" s="12">
        <v>2.4986534383263304E-2</v>
      </c>
      <c r="W40" s="10">
        <v>2.7041241308114398E-3</v>
      </c>
      <c r="X40" s="11">
        <v>7.8742897771162895E-4</v>
      </c>
      <c r="Y40" s="12">
        <v>1.08786191728711E-2</v>
      </c>
      <c r="Z40" s="10">
        <v>0.53527607012768996</v>
      </c>
      <c r="AA40" s="11">
        <v>4.7161173799333397E-3</v>
      </c>
      <c r="AB40" s="12">
        <v>0</v>
      </c>
      <c r="AC40" s="20">
        <f t="shared" si="0"/>
        <v>0.26338995167768575</v>
      </c>
    </row>
    <row r="41" spans="1:29" x14ac:dyDescent="0.3">
      <c r="A41" s="13" t="s">
        <v>43</v>
      </c>
      <c r="B41">
        <v>2018</v>
      </c>
      <c r="C41" s="14">
        <v>5214.4120000000003</v>
      </c>
      <c r="D41" s="10">
        <v>4.5123975627549197E-2</v>
      </c>
      <c r="E41" s="12">
        <v>1.11356755085712E-2</v>
      </c>
      <c r="F41" s="10">
        <v>2.77170273465158E-2</v>
      </c>
      <c r="G41" s="12">
        <v>2.5073392743036001E-2</v>
      </c>
      <c r="H41" s="10">
        <v>8.6228322579803805E-3</v>
      </c>
      <c r="I41" s="12">
        <v>2.3254587477936101E-2</v>
      </c>
      <c r="J41" s="10">
        <v>4.3070628097664702E-2</v>
      </c>
      <c r="K41" s="11">
        <v>3.4638037807522698E-2</v>
      </c>
      <c r="L41" s="11">
        <v>3.1313789550959897E-2</v>
      </c>
      <c r="M41" s="11">
        <v>1.23043595327719E-3</v>
      </c>
      <c r="N41" s="12">
        <v>5.1984768368897602E-3</v>
      </c>
      <c r="O41" s="10">
        <v>6.0256074893966899E-4</v>
      </c>
      <c r="P41" s="12">
        <v>0</v>
      </c>
      <c r="Q41" s="10">
        <v>2.6970438979510578E-3</v>
      </c>
      <c r="R41" s="11">
        <v>2.2019363717416394E-2</v>
      </c>
      <c r="S41" s="11">
        <v>0</v>
      </c>
      <c r="T41" s="11">
        <v>2.0509839528144925E-4</v>
      </c>
      <c r="U41" s="10">
        <v>6.0601110762232065E-3</v>
      </c>
      <c r="V41" s="12">
        <v>5.6011125335475788E-2</v>
      </c>
      <c r="W41" s="10">
        <v>1.84910590110639E-3</v>
      </c>
      <c r="X41" s="11">
        <v>4.9186753942726397E-3</v>
      </c>
      <c r="Y41" s="12">
        <v>8.3804271699282704E-3</v>
      </c>
      <c r="Z41" s="10">
        <v>0.63879110434695197</v>
      </c>
      <c r="AA41" s="11">
        <v>2.0865248085498401E-3</v>
      </c>
      <c r="AB41" s="12">
        <v>0</v>
      </c>
      <c r="AC41" s="20">
        <f t="shared" si="0"/>
        <v>0.20072176882072218</v>
      </c>
    </row>
    <row r="42" spans="1:29" x14ac:dyDescent="0.3">
      <c r="A42" s="13" t="s">
        <v>43</v>
      </c>
      <c r="B42">
        <v>2019</v>
      </c>
      <c r="C42" s="14">
        <v>7146.4009999999998</v>
      </c>
      <c r="D42" s="10">
        <v>2.1868490167288399E-2</v>
      </c>
      <c r="E42" s="12">
        <v>2.0699510145036602E-2</v>
      </c>
      <c r="F42" s="10">
        <v>2.1838964815996198E-3</v>
      </c>
      <c r="G42" s="12">
        <v>1.8386177881705799E-2</v>
      </c>
      <c r="H42" s="10">
        <v>4.0361575008175396E-3</v>
      </c>
      <c r="I42" s="12">
        <v>3.4501282533683699E-3</v>
      </c>
      <c r="J42" s="10">
        <v>5.1838680756929297E-3</v>
      </c>
      <c r="K42" s="11">
        <v>8.0468476370133702E-3</v>
      </c>
      <c r="L42" s="11">
        <v>3.6677482833666897E-2</v>
      </c>
      <c r="M42" s="11">
        <v>4.63478050000273E-3</v>
      </c>
      <c r="N42" s="12">
        <v>9.1728689727878406E-3</v>
      </c>
      <c r="O42" s="10">
        <v>4.8346013608808103E-4</v>
      </c>
      <c r="P42" s="12">
        <v>6.5207647877582001E-5</v>
      </c>
      <c r="Q42" s="10">
        <v>0</v>
      </c>
      <c r="R42" s="11">
        <v>2.5781088970518201E-2</v>
      </c>
      <c r="S42" s="11">
        <v>0</v>
      </c>
      <c r="T42" s="11">
        <v>0</v>
      </c>
      <c r="U42" s="10">
        <v>4.3167441959991283E-3</v>
      </c>
      <c r="V42" s="12">
        <v>3.2957542539380012E-2</v>
      </c>
      <c r="W42" s="10">
        <v>2.1413575868468602E-3</v>
      </c>
      <c r="X42" s="11">
        <v>2.2803086476675498E-3</v>
      </c>
      <c r="Y42" s="12">
        <v>7.0487228466468597E-3</v>
      </c>
      <c r="Z42" s="10">
        <v>0.781803316102749</v>
      </c>
      <c r="AA42" s="11">
        <v>8.7820428772468796E-3</v>
      </c>
      <c r="AB42" s="12">
        <v>0</v>
      </c>
      <c r="AC42" s="20">
        <f t="shared" si="0"/>
        <v>9.2320875920620743E-2</v>
      </c>
    </row>
    <row r="43" spans="1:29" x14ac:dyDescent="0.3">
      <c r="A43" s="13" t="s">
        <v>43</v>
      </c>
      <c r="B43">
        <v>2020</v>
      </c>
      <c r="C43" s="14">
        <v>7094.4179999999997</v>
      </c>
      <c r="D43" s="10">
        <v>4.4614089556042499E-2</v>
      </c>
      <c r="E43" s="12">
        <v>1.4717204427480901E-2</v>
      </c>
      <c r="F43" s="10">
        <v>1.3800991145432901E-3</v>
      </c>
      <c r="G43" s="12">
        <v>6.5561403345559804E-3</v>
      </c>
      <c r="H43" s="10">
        <v>2.3763753418532701E-3</v>
      </c>
      <c r="I43" s="12">
        <v>7.0437067564950396E-3</v>
      </c>
      <c r="J43" s="10">
        <v>2.0534313033148E-2</v>
      </c>
      <c r="K43" s="11">
        <v>5.0467846692991598E-3</v>
      </c>
      <c r="L43" s="11">
        <v>2.6497874808053299E-2</v>
      </c>
      <c r="M43" s="11">
        <v>7.6496761256525901E-4</v>
      </c>
      <c r="N43" s="12">
        <v>1.6944307482305099E-3</v>
      </c>
      <c r="O43" s="10">
        <v>2.57949277868882E-5</v>
      </c>
      <c r="P43" s="12">
        <v>1.8324265640958901E-6</v>
      </c>
      <c r="Q43" s="10">
        <v>0</v>
      </c>
      <c r="R43" s="11">
        <v>5.1945205371321503E-2</v>
      </c>
      <c r="S43" s="11">
        <v>0</v>
      </c>
      <c r="T43" s="11">
        <v>0</v>
      </c>
      <c r="U43" s="10">
        <v>8.7526929908153684E-3</v>
      </c>
      <c r="V43" s="12">
        <v>8.8696879334920181E-2</v>
      </c>
      <c r="W43" s="10">
        <v>4.2357244808524099E-4</v>
      </c>
      <c r="X43" s="11">
        <v>9.8669122682086106E-7</v>
      </c>
      <c r="Y43" s="12">
        <v>3.1558614110417499E-3</v>
      </c>
      <c r="Z43" s="10">
        <v>0.704766761699127</v>
      </c>
      <c r="AA43" s="11">
        <v>1.1004426296843501E-2</v>
      </c>
      <c r="AB43" s="12">
        <v>0</v>
      </c>
      <c r="AC43" s="20">
        <f t="shared" si="0"/>
        <v>7.1922319773094781E-2</v>
      </c>
    </row>
    <row r="44" spans="1:29" x14ac:dyDescent="0.3">
      <c r="A44" s="13" t="s">
        <v>43</v>
      </c>
      <c r="B44">
        <v>2021</v>
      </c>
      <c r="C44" s="14">
        <v>5556.4669999999996</v>
      </c>
      <c r="D44" s="10">
        <v>4.0996554105333503E-2</v>
      </c>
      <c r="E44" s="12">
        <v>2.6176165538281799E-2</v>
      </c>
      <c r="F44" s="10">
        <v>1.6512290993539601E-3</v>
      </c>
      <c r="G44" s="12">
        <v>1.0015536851024199E-2</v>
      </c>
      <c r="H44" s="10">
        <v>1.0168151813013599E-2</v>
      </c>
      <c r="I44" s="12">
        <v>5.0091182040674399E-3</v>
      </c>
      <c r="J44" s="10">
        <v>9.3910393060914407E-3</v>
      </c>
      <c r="K44" s="11">
        <v>4.7670579164782196E-3</v>
      </c>
      <c r="L44" s="11">
        <v>2.3792096668620501E-2</v>
      </c>
      <c r="M44" s="11">
        <v>2.0871175874886002E-3</v>
      </c>
      <c r="N44" s="12">
        <v>9.6462374382858696E-3</v>
      </c>
      <c r="O44" s="10">
        <v>1.64133072328154E-4</v>
      </c>
      <c r="P44" s="12">
        <v>0</v>
      </c>
      <c r="Q44" s="10">
        <v>0</v>
      </c>
      <c r="R44" s="11">
        <v>3.34973644223929E-2</v>
      </c>
      <c r="S44" s="11">
        <v>0</v>
      </c>
      <c r="T44" s="11">
        <v>0</v>
      </c>
      <c r="U44" s="10">
        <v>7.2528903812298495E-3</v>
      </c>
      <c r="V44" s="12">
        <v>5.8935390769364576E-2</v>
      </c>
      <c r="W44" s="10">
        <v>3.7757805454437102E-4</v>
      </c>
      <c r="X44" s="11">
        <v>7.5695581382918299E-4</v>
      </c>
      <c r="Y44" s="12">
        <v>7.9996875712570596E-4</v>
      </c>
      <c r="Z44" s="10">
        <v>0.72424977958116199</v>
      </c>
      <c r="AA44" s="11">
        <v>3.0265634619984199E-2</v>
      </c>
      <c r="AB44" s="12">
        <v>0</v>
      </c>
      <c r="AC44" s="20">
        <f t="shared" si="0"/>
        <v>7.6691717956751976E-2</v>
      </c>
    </row>
    <row r="45" spans="1:29" x14ac:dyDescent="0.3">
      <c r="A45" s="13" t="s">
        <v>43</v>
      </c>
      <c r="B45">
        <v>2022</v>
      </c>
      <c r="C45" s="14">
        <v>3222.5010000000002</v>
      </c>
      <c r="D45" s="10">
        <v>5.6520696192181197E-2</v>
      </c>
      <c r="E45" s="12">
        <v>1.82764877342164E-2</v>
      </c>
      <c r="F45" s="10">
        <v>5.9363829522473405E-4</v>
      </c>
      <c r="G45" s="12">
        <v>2.9362597560093899E-2</v>
      </c>
      <c r="H45" s="10">
        <v>1.34367685223372E-4</v>
      </c>
      <c r="I45" s="12">
        <v>6.3922400644716602E-3</v>
      </c>
      <c r="J45" s="10">
        <v>4.7154058291991201E-2</v>
      </c>
      <c r="K45" s="11">
        <v>2.1868108031618898E-3</v>
      </c>
      <c r="L45" s="11">
        <v>6.2988343525727398E-3</v>
      </c>
      <c r="M45" s="11">
        <v>3.53917655882807E-3</v>
      </c>
      <c r="N45" s="12">
        <v>1.13107800432025E-2</v>
      </c>
      <c r="O45" s="10">
        <v>6.8300987338716103E-4</v>
      </c>
      <c r="P45" s="12">
        <v>0</v>
      </c>
      <c r="Q45" s="10">
        <v>0</v>
      </c>
      <c r="R45" s="11">
        <v>5.1477098067618902E-2</v>
      </c>
      <c r="S45" s="11">
        <v>0</v>
      </c>
      <c r="T45" s="11">
        <v>0</v>
      </c>
      <c r="U45" s="10">
        <v>7.2951720305783566E-3</v>
      </c>
      <c r="V45" s="12">
        <v>6.3567179912834573E-2</v>
      </c>
      <c r="W45" s="10">
        <v>4.9896027960891201E-3</v>
      </c>
      <c r="X45" s="11">
        <v>1.0153604296786901E-3</v>
      </c>
      <c r="Y45" s="12">
        <v>2.4195492879598799E-3</v>
      </c>
      <c r="Z45" s="10">
        <v>0.68013012253526095</v>
      </c>
      <c r="AA45" s="11">
        <v>6.6532174854251397E-3</v>
      </c>
      <c r="AB45" s="12">
        <v>0</v>
      </c>
      <c r="AC45" s="20">
        <f t="shared" si="0"/>
        <v>0.10765551352815725</v>
      </c>
    </row>
    <row r="46" spans="1:29" x14ac:dyDescent="0.3">
      <c r="A46" s="13" t="s">
        <v>43</v>
      </c>
      <c r="B46">
        <v>2023</v>
      </c>
      <c r="C46" s="14">
        <v>1274.915</v>
      </c>
      <c r="D46" s="10">
        <v>1.5560253036476899E-2</v>
      </c>
      <c r="E46" s="12">
        <v>7.2467576269790498E-3</v>
      </c>
      <c r="F46" s="10">
        <v>4.3751936403603397E-3</v>
      </c>
      <c r="G46" s="12">
        <v>3.3569296776647897E-2</v>
      </c>
      <c r="H46" s="10">
        <v>1.7256052364275299E-5</v>
      </c>
      <c r="I46" s="12">
        <v>5.5368397108826904E-3</v>
      </c>
      <c r="J46" s="10">
        <v>3.1162077471831501E-2</v>
      </c>
      <c r="K46" s="11">
        <v>2.6652757242639699E-3</v>
      </c>
      <c r="L46" s="11">
        <v>2.1690857821894002E-2</v>
      </c>
      <c r="M46" s="11">
        <v>1.56873203311593E-6</v>
      </c>
      <c r="N46" s="12">
        <v>6.63103030398105E-3</v>
      </c>
      <c r="O46" s="10">
        <v>0</v>
      </c>
      <c r="P46" s="12">
        <v>0</v>
      </c>
      <c r="Q46" s="10">
        <v>0</v>
      </c>
      <c r="R46" s="11">
        <v>2.56973994344721E-2</v>
      </c>
      <c r="S46" s="11">
        <v>0</v>
      </c>
      <c r="T46" s="11">
        <v>0</v>
      </c>
      <c r="U46" s="10">
        <v>1.2377158213637132E-2</v>
      </c>
      <c r="V46" s="12">
        <v>2.2001604292098468E-2</v>
      </c>
      <c r="W46" s="10">
        <v>1.3098912476517999E-4</v>
      </c>
      <c r="X46" s="11">
        <v>0</v>
      </c>
      <c r="Y46" s="12">
        <v>3.6669111274084901E-3</v>
      </c>
      <c r="Z46" s="10">
        <v>0.79722961922951696</v>
      </c>
      <c r="AA46" s="11">
        <v>1.04399116803865E-2</v>
      </c>
      <c r="AB46" s="12">
        <v>0</v>
      </c>
      <c r="AC46" s="20">
        <f t="shared" si="0"/>
        <v>0.10564939623425885</v>
      </c>
    </row>
    <row r="47" spans="1:29" ht="15" thickBot="1" x14ac:dyDescent="0.35">
      <c r="A47" s="4" t="s">
        <v>43</v>
      </c>
      <c r="B47" s="5">
        <v>2024</v>
      </c>
      <c r="C47" s="15">
        <v>2022.8119999999999</v>
      </c>
      <c r="D47" s="16">
        <v>2.54280265722319E-2</v>
      </c>
      <c r="E47" s="17">
        <v>1.5936145540402701E-2</v>
      </c>
      <c r="F47" s="16">
        <v>7.2488116075629799E-3</v>
      </c>
      <c r="G47" s="17">
        <v>3.9399144700519098E-3</v>
      </c>
      <c r="H47" s="16">
        <v>3.3434058978843899E-3</v>
      </c>
      <c r="I47" s="17">
        <v>1.11078769818831E-2</v>
      </c>
      <c r="J47" s="16">
        <v>4.1668342186211002E-2</v>
      </c>
      <c r="K47" s="18">
        <v>2.8906016635572299E-2</v>
      </c>
      <c r="L47" s="18">
        <v>3.83801503049239E-2</v>
      </c>
      <c r="M47" s="18">
        <v>3.6475759714607201E-3</v>
      </c>
      <c r="N47" s="17">
        <v>3.6520128120801501E-3</v>
      </c>
      <c r="O47" s="16">
        <v>0</v>
      </c>
      <c r="P47" s="17">
        <v>0</v>
      </c>
      <c r="Q47" s="16">
        <v>0</v>
      </c>
      <c r="R47" s="18">
        <v>6.6338161994811795E-2</v>
      </c>
      <c r="S47" s="18">
        <v>0</v>
      </c>
      <c r="T47" s="18">
        <v>0</v>
      </c>
      <c r="U47" s="16">
        <v>4.582821834705271E-3</v>
      </c>
      <c r="V47" s="17">
        <v>0.15417818113882523</v>
      </c>
      <c r="W47" s="16">
        <v>1.48239774917994E-3</v>
      </c>
      <c r="X47" s="18">
        <v>5.0477394966057004E-4</v>
      </c>
      <c r="Y47" s="17">
        <v>3.0163176518039699E-3</v>
      </c>
      <c r="Z47" s="16">
        <v>0.57940701649108095</v>
      </c>
      <c r="AA47" s="18">
        <v>7.2320502096673697E-3</v>
      </c>
      <c r="AB47" s="17">
        <v>0</v>
      </c>
      <c r="AC47" s="21">
        <f t="shared" si="0"/>
        <v>0.14189410686763046</v>
      </c>
    </row>
  </sheetData>
  <mergeCells count="11">
    <mergeCell ref="D8:I8"/>
    <mergeCell ref="J8:Y8"/>
    <mergeCell ref="Z8:AB9"/>
    <mergeCell ref="D9:E9"/>
    <mergeCell ref="F9:G9"/>
    <mergeCell ref="H9:I9"/>
    <mergeCell ref="J9:N9"/>
    <mergeCell ref="O9:P9"/>
    <mergeCell ref="Q9:V9"/>
    <mergeCell ref="W9:Y9"/>
    <mergeCell ref="AC8:AC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DEC7-9EF9-4505-B61C-C4F51BB81863}">
  <dimension ref="A1:AC46"/>
  <sheetViews>
    <sheetView zoomScale="70" zoomScaleNormal="70" workbookViewId="0">
      <selection activeCell="E46" sqref="E46"/>
    </sheetView>
  </sheetViews>
  <sheetFormatPr defaultRowHeight="14.4" x14ac:dyDescent="0.3"/>
  <cols>
    <col min="11" max="11" width="11.44140625" customWidth="1"/>
    <col min="17" max="17" width="10.5546875" customWidth="1"/>
    <col min="18" max="18" width="11.88671875" customWidth="1"/>
    <col min="19" max="19" width="11.109375" customWidth="1"/>
    <col min="20" max="20" width="11.33203125" customWidth="1"/>
    <col min="21" max="21" width="11.6640625" customWidth="1"/>
    <col min="26" max="26" width="12.77734375" customWidth="1"/>
    <col min="27" max="27" width="11.33203125" customWidth="1"/>
    <col min="29" max="29" width="11.6640625" customWidth="1"/>
  </cols>
  <sheetData>
    <row r="1" spans="1:29" x14ac:dyDescent="0.3">
      <c r="A1" t="s">
        <v>67</v>
      </c>
    </row>
    <row r="2" spans="1:29" x14ac:dyDescent="0.3">
      <c r="A2" t="s">
        <v>30</v>
      </c>
    </row>
    <row r="3" spans="1:29" x14ac:dyDescent="0.3">
      <c r="A3" t="s">
        <v>0</v>
      </c>
    </row>
    <row r="4" spans="1:29" x14ac:dyDescent="0.3">
      <c r="A4" t="s">
        <v>66</v>
      </c>
    </row>
    <row r="5" spans="1:29" x14ac:dyDescent="0.3">
      <c r="A5" t="s">
        <v>1</v>
      </c>
    </row>
    <row r="7" spans="1:29" ht="15" thickBot="1" x14ac:dyDescent="0.35">
      <c r="A7" t="s">
        <v>63</v>
      </c>
    </row>
    <row r="8" spans="1:29" ht="15" thickBot="1" x14ac:dyDescent="0.35">
      <c r="A8" s="1"/>
      <c r="B8" s="2"/>
      <c r="C8" s="3"/>
      <c r="D8" s="66" t="s">
        <v>2</v>
      </c>
      <c r="E8" s="67"/>
      <c r="F8" s="67"/>
      <c r="G8" s="67"/>
      <c r="H8" s="67"/>
      <c r="I8" s="68"/>
      <c r="J8" s="66" t="s">
        <v>3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/>
      <c r="Z8" s="69" t="s">
        <v>4</v>
      </c>
      <c r="AA8" s="70"/>
      <c r="AB8" s="71"/>
      <c r="AC8" s="64" t="s">
        <v>34</v>
      </c>
    </row>
    <row r="9" spans="1:29" ht="15" customHeight="1" thickBot="1" x14ac:dyDescent="0.35">
      <c r="A9" s="4"/>
      <c r="B9" s="5"/>
      <c r="C9" s="6"/>
      <c r="D9" s="61" t="s">
        <v>5</v>
      </c>
      <c r="E9" s="63"/>
      <c r="F9" s="61" t="s">
        <v>6</v>
      </c>
      <c r="G9" s="63"/>
      <c r="H9" s="61" t="s">
        <v>7</v>
      </c>
      <c r="I9" s="63"/>
      <c r="J9" s="61" t="s">
        <v>8</v>
      </c>
      <c r="K9" s="62"/>
      <c r="L9" s="62"/>
      <c r="M9" s="62"/>
      <c r="N9" s="63"/>
      <c r="O9" s="61" t="s">
        <v>9</v>
      </c>
      <c r="P9" s="63"/>
      <c r="Q9" s="61" t="s">
        <v>10</v>
      </c>
      <c r="R9" s="62"/>
      <c r="S9" s="62"/>
      <c r="T9" s="62"/>
      <c r="U9" s="62"/>
      <c r="V9" s="63"/>
      <c r="W9" s="61" t="s">
        <v>11</v>
      </c>
      <c r="X9" s="62"/>
      <c r="Y9" s="63"/>
      <c r="Z9" s="72"/>
      <c r="AA9" s="73"/>
      <c r="AB9" s="74"/>
      <c r="AC9" s="65"/>
    </row>
    <row r="10" spans="1:29" ht="43.8" thickBot="1" x14ac:dyDescent="0.35">
      <c r="A10" s="7" t="s">
        <v>12</v>
      </c>
      <c r="B10" s="8" t="s">
        <v>27</v>
      </c>
      <c r="C10" s="9" t="s">
        <v>13</v>
      </c>
      <c r="D10" s="7" t="s">
        <v>14</v>
      </c>
      <c r="E10" s="9" t="s">
        <v>15</v>
      </c>
      <c r="F10" s="7" t="s">
        <v>16</v>
      </c>
      <c r="G10" s="9" t="s">
        <v>17</v>
      </c>
      <c r="H10" s="7" t="s">
        <v>18</v>
      </c>
      <c r="I10" s="9" t="s">
        <v>19</v>
      </c>
      <c r="J10" s="7" t="s">
        <v>20</v>
      </c>
      <c r="K10" s="8" t="s">
        <v>21</v>
      </c>
      <c r="L10" s="8" t="s">
        <v>22</v>
      </c>
      <c r="M10" s="8" t="s">
        <v>7</v>
      </c>
      <c r="N10" s="9" t="s">
        <v>6</v>
      </c>
      <c r="O10" s="25" t="s">
        <v>36</v>
      </c>
      <c r="P10" s="25" t="s">
        <v>38</v>
      </c>
      <c r="Q10" s="7" t="s">
        <v>23</v>
      </c>
      <c r="R10" s="8" t="s">
        <v>53</v>
      </c>
      <c r="S10" s="8" t="s">
        <v>24</v>
      </c>
      <c r="T10" s="8" t="s">
        <v>25</v>
      </c>
      <c r="U10" s="7" t="s">
        <v>40</v>
      </c>
      <c r="V10" s="25" t="s">
        <v>55</v>
      </c>
      <c r="W10" s="7" t="s">
        <v>32</v>
      </c>
      <c r="X10" s="8" t="s">
        <v>31</v>
      </c>
      <c r="Y10" s="9" t="s">
        <v>39</v>
      </c>
      <c r="Z10" s="7" t="s">
        <v>4</v>
      </c>
      <c r="AA10" s="8" t="s">
        <v>28</v>
      </c>
      <c r="AB10" s="9" t="s">
        <v>29</v>
      </c>
      <c r="AC10" s="24" t="s">
        <v>33</v>
      </c>
    </row>
    <row r="11" spans="1:29" x14ac:dyDescent="0.3">
      <c r="A11" s="13" t="s">
        <v>44</v>
      </c>
      <c r="B11">
        <v>1989</v>
      </c>
      <c r="C11" s="14">
        <v>856.53300000000002</v>
      </c>
      <c r="D11" s="10">
        <v>4.4617078384603999E-2</v>
      </c>
      <c r="E11" s="12">
        <v>1.75684999877413E-2</v>
      </c>
      <c r="F11" s="10">
        <v>5.7314779465589799E-2</v>
      </c>
      <c r="G11" s="12">
        <v>1.8946146850150499E-2</v>
      </c>
      <c r="H11" s="10">
        <v>1.05985408618232E-2</v>
      </c>
      <c r="I11" s="12">
        <v>0</v>
      </c>
      <c r="J11" s="10">
        <v>1.1546548702735301E-2</v>
      </c>
      <c r="K11" s="11">
        <v>1.8261993408310001E-2</v>
      </c>
      <c r="L11" s="11">
        <v>8.4246608128349994E-3</v>
      </c>
      <c r="M11" s="11">
        <v>0</v>
      </c>
      <c r="N11" s="12">
        <v>3.5141669964846699E-4</v>
      </c>
      <c r="O11" s="10">
        <v>7.4603080091485098E-3</v>
      </c>
      <c r="P11" s="12">
        <v>1.7178555875839E-2</v>
      </c>
      <c r="Q11" s="10">
        <v>1.1233659415340699E-2</v>
      </c>
      <c r="R11" s="11">
        <v>0</v>
      </c>
      <c r="S11" s="11">
        <v>0</v>
      </c>
      <c r="T11" s="12">
        <v>0</v>
      </c>
      <c r="U11" s="11">
        <v>1.6671572738457697E-2</v>
      </c>
      <c r="V11" s="12">
        <v>2.0270646753956013E-3</v>
      </c>
      <c r="W11" s="10">
        <v>0</v>
      </c>
      <c r="X11" s="11">
        <v>3.0101583943642599E-2</v>
      </c>
      <c r="Y11" s="12">
        <v>5.4043451916038297E-3</v>
      </c>
      <c r="Z11" s="10">
        <v>0.72229324497713498</v>
      </c>
      <c r="AA11" s="11">
        <v>0</v>
      </c>
      <c r="AB11" s="12">
        <v>0</v>
      </c>
      <c r="AC11" s="20">
        <f t="shared" ref="AC11:AC46" si="0">SUM(F11:P11)</f>
        <v>0.1500829506860798</v>
      </c>
    </row>
    <row r="12" spans="1:29" x14ac:dyDescent="0.3">
      <c r="A12" s="13" t="s">
        <v>44</v>
      </c>
      <c r="B12">
        <v>1990</v>
      </c>
      <c r="C12" s="14">
        <v>416.73</v>
      </c>
      <c r="D12" s="10">
        <v>3.83413721114391E-2</v>
      </c>
      <c r="E12" s="12">
        <v>2.0792839488397798E-2</v>
      </c>
      <c r="F12" s="10">
        <v>0.10516881434022</v>
      </c>
      <c r="G12" s="12">
        <v>1.7531735176253199E-2</v>
      </c>
      <c r="H12" s="10">
        <v>8.2979387133155794E-2</v>
      </c>
      <c r="I12" s="12">
        <v>0</v>
      </c>
      <c r="J12" s="10">
        <v>1.5808797062846401E-2</v>
      </c>
      <c r="K12" s="11">
        <v>8.8786504451323405E-5</v>
      </c>
      <c r="L12" s="11">
        <v>2.5412137355121999E-2</v>
      </c>
      <c r="M12" s="11">
        <v>0</v>
      </c>
      <c r="N12" s="12">
        <v>7.0309312984426404E-4</v>
      </c>
      <c r="O12" s="10">
        <v>8.8810500803877795E-3</v>
      </c>
      <c r="P12" s="12">
        <v>2.00537518297219E-2</v>
      </c>
      <c r="Q12" s="10">
        <v>0</v>
      </c>
      <c r="R12" s="11">
        <v>1.42634319583423E-2</v>
      </c>
      <c r="S12" s="11">
        <v>0</v>
      </c>
      <c r="T12" s="12">
        <v>0</v>
      </c>
      <c r="U12" s="11">
        <v>1.2327732138203366E-2</v>
      </c>
      <c r="V12" s="12">
        <v>1.9760190497556E-2</v>
      </c>
      <c r="W12" s="10">
        <v>0</v>
      </c>
      <c r="X12" s="11">
        <v>0</v>
      </c>
      <c r="Y12" s="12">
        <v>9.0082307489261597E-3</v>
      </c>
      <c r="Z12" s="10">
        <v>0.60887865044513201</v>
      </c>
      <c r="AA12" s="11">
        <v>0</v>
      </c>
      <c r="AB12" s="12">
        <v>0</v>
      </c>
      <c r="AC12" s="20">
        <f t="shared" si="0"/>
        <v>0.27662755261200267</v>
      </c>
    </row>
    <row r="13" spans="1:29" x14ac:dyDescent="0.3">
      <c r="A13" s="13" t="s">
        <v>44</v>
      </c>
      <c r="B13">
        <v>1991</v>
      </c>
      <c r="C13" s="14">
        <v>869.48099999999999</v>
      </c>
      <c r="D13" s="10">
        <v>5.9878249208435798E-2</v>
      </c>
      <c r="E13" s="12">
        <v>5.1755012472957998E-5</v>
      </c>
      <c r="F13" s="10">
        <v>4.2036571241924801E-2</v>
      </c>
      <c r="G13" s="12">
        <v>4.33361971106902E-3</v>
      </c>
      <c r="H13" s="10">
        <v>3.0936846233557701E-2</v>
      </c>
      <c r="I13" s="12">
        <v>4.0943965423051199E-4</v>
      </c>
      <c r="J13" s="10">
        <v>3.5549943011980701E-3</v>
      </c>
      <c r="K13" s="11">
        <v>5.5170843296173198E-3</v>
      </c>
      <c r="L13" s="11">
        <v>3.0972499686594601E-2</v>
      </c>
      <c r="M13" s="11">
        <v>0</v>
      </c>
      <c r="N13" s="12">
        <v>5.4250754185542899E-3</v>
      </c>
      <c r="O13" s="10">
        <v>4.2094076811339197E-4</v>
      </c>
      <c r="P13" s="12">
        <v>3.5219861043542099E-2</v>
      </c>
      <c r="Q13" s="10">
        <v>6.3195720037765692E-3</v>
      </c>
      <c r="R13" s="11">
        <v>0.1079286178465992</v>
      </c>
      <c r="S13" s="11">
        <v>0</v>
      </c>
      <c r="T13" s="12">
        <v>1.4139120241912558E-3</v>
      </c>
      <c r="U13" s="11">
        <v>6.7156881121428563E-2</v>
      </c>
      <c r="V13" s="12">
        <v>5.5125261904123445E-2</v>
      </c>
      <c r="W13" s="10">
        <v>2.39223168763895E-4</v>
      </c>
      <c r="X13" s="11">
        <v>0</v>
      </c>
      <c r="Y13" s="12">
        <v>1.24798586743126E-2</v>
      </c>
      <c r="Z13" s="10">
        <v>0.53057973664749403</v>
      </c>
      <c r="AA13" s="11">
        <v>0</v>
      </c>
      <c r="AB13" s="12">
        <v>0</v>
      </c>
      <c r="AC13" s="20">
        <f t="shared" si="0"/>
        <v>0.15882693238840181</v>
      </c>
    </row>
    <row r="14" spans="1:29" x14ac:dyDescent="0.3">
      <c r="A14" s="13" t="s">
        <v>44</v>
      </c>
      <c r="B14">
        <v>1992</v>
      </c>
      <c r="C14" s="14">
        <v>745.04600000000005</v>
      </c>
      <c r="D14" s="10">
        <v>9.1248057166939997E-2</v>
      </c>
      <c r="E14" s="12">
        <v>2.5018589456221501E-3</v>
      </c>
      <c r="F14" s="10">
        <v>8.9766269465241105E-2</v>
      </c>
      <c r="G14" s="12">
        <v>2.24080123911812E-2</v>
      </c>
      <c r="H14" s="10">
        <v>4.1515557428668803E-2</v>
      </c>
      <c r="I14" s="12">
        <v>2.6843980103241899E-6</v>
      </c>
      <c r="J14" s="10">
        <v>8.7242935335536293E-5</v>
      </c>
      <c r="K14" s="11">
        <v>6.0506331152707302E-3</v>
      </c>
      <c r="L14" s="11">
        <v>2.5931284779731702E-2</v>
      </c>
      <c r="M14" s="11">
        <v>0</v>
      </c>
      <c r="N14" s="12">
        <v>5.9432571948577701E-3</v>
      </c>
      <c r="O14" s="10">
        <v>1.4079667564150401E-2</v>
      </c>
      <c r="P14" s="12">
        <v>7.0775495741202593E-2</v>
      </c>
      <c r="Q14" s="10">
        <v>1.0833209732631974E-2</v>
      </c>
      <c r="R14" s="11">
        <v>8.2540890658484828E-2</v>
      </c>
      <c r="S14" s="11">
        <v>0</v>
      </c>
      <c r="T14" s="12">
        <v>0</v>
      </c>
      <c r="U14" s="11">
        <v>1.0251604151511008E-2</v>
      </c>
      <c r="V14" s="12">
        <v>1.6491711026343794E-2</v>
      </c>
      <c r="W14" s="10">
        <v>3.9594870652281901E-4</v>
      </c>
      <c r="X14" s="11">
        <v>0</v>
      </c>
      <c r="Y14" s="12">
        <v>1.8353229196586499E-2</v>
      </c>
      <c r="Z14" s="10">
        <v>0.490823385401707</v>
      </c>
      <c r="AA14" s="11">
        <v>0</v>
      </c>
      <c r="AB14" s="12">
        <v>0</v>
      </c>
      <c r="AC14" s="20">
        <f t="shared" si="0"/>
        <v>0.27656010501365019</v>
      </c>
    </row>
    <row r="15" spans="1:29" x14ac:dyDescent="0.3">
      <c r="A15" s="13" t="s">
        <v>44</v>
      </c>
      <c r="B15">
        <v>1993</v>
      </c>
      <c r="C15" s="14">
        <v>496.57100000000003</v>
      </c>
      <c r="D15" s="10">
        <v>6.8697124882443797E-2</v>
      </c>
      <c r="E15" s="12">
        <v>2.3219237530987501E-3</v>
      </c>
      <c r="F15" s="10">
        <v>0.209826993521571</v>
      </c>
      <c r="G15" s="12">
        <v>4.3599001955410199E-3</v>
      </c>
      <c r="H15" s="10">
        <v>0.102466716743426</v>
      </c>
      <c r="I15" s="12">
        <v>1.9332582853207301E-2</v>
      </c>
      <c r="J15" s="10">
        <v>3.2492835868385403E-2</v>
      </c>
      <c r="K15" s="11">
        <v>4.7864253047399101E-2</v>
      </c>
      <c r="L15" s="11">
        <v>3.4637544278663099E-2</v>
      </c>
      <c r="M15" s="11">
        <v>0</v>
      </c>
      <c r="N15" s="12">
        <v>0</v>
      </c>
      <c r="O15" s="10">
        <v>2.00776928173413E-2</v>
      </c>
      <c r="P15" s="12">
        <v>5.2318802346492201E-2</v>
      </c>
      <c r="Q15" s="10">
        <v>0</v>
      </c>
      <c r="R15" s="11">
        <v>7.6357660838027197E-2</v>
      </c>
      <c r="S15" s="11">
        <v>0</v>
      </c>
      <c r="T15" s="12">
        <v>0</v>
      </c>
      <c r="U15" s="11">
        <v>5.389336598509939E-2</v>
      </c>
      <c r="V15" s="12">
        <v>1.6529594679135912E-2</v>
      </c>
      <c r="W15" s="10">
        <v>9.5414351623433497E-3</v>
      </c>
      <c r="X15" s="11">
        <v>0</v>
      </c>
      <c r="Y15" s="12">
        <v>3.6784266499654598E-2</v>
      </c>
      <c r="Z15" s="10">
        <v>0.21249730652817</v>
      </c>
      <c r="AA15" s="11">
        <v>0</v>
      </c>
      <c r="AB15" s="12">
        <v>0</v>
      </c>
      <c r="AC15" s="20">
        <f t="shared" si="0"/>
        <v>0.52337732167202644</v>
      </c>
    </row>
    <row r="16" spans="1:29" x14ac:dyDescent="0.3">
      <c r="A16" s="13" t="s">
        <v>44</v>
      </c>
      <c r="B16">
        <v>1994</v>
      </c>
      <c r="C16" s="14">
        <v>772.82899999999995</v>
      </c>
      <c r="D16" s="10">
        <v>4.7503393376801303E-2</v>
      </c>
      <c r="E16" s="12">
        <v>1.8751884310759599E-2</v>
      </c>
      <c r="F16" s="10">
        <v>5.3804916740960801E-2</v>
      </c>
      <c r="G16" s="12">
        <v>2.27385359503849E-2</v>
      </c>
      <c r="H16" s="10">
        <v>4.5967477928493899E-2</v>
      </c>
      <c r="I16" s="12">
        <v>0</v>
      </c>
      <c r="J16" s="10">
        <v>2.2443515965368799E-2</v>
      </c>
      <c r="K16" s="11">
        <v>2.1757723894936701E-2</v>
      </c>
      <c r="L16" s="11">
        <v>1.96692929483754E-2</v>
      </c>
      <c r="M16" s="11">
        <v>0</v>
      </c>
      <c r="N16" s="12">
        <v>1.8891630619451399E-4</v>
      </c>
      <c r="O16" s="10">
        <v>2.6008340784313203E-4</v>
      </c>
      <c r="P16" s="12">
        <v>5.0452299279659503E-2</v>
      </c>
      <c r="Q16" s="10">
        <v>7.7323664820199414E-3</v>
      </c>
      <c r="R16" s="11">
        <v>4.6182734188816722E-2</v>
      </c>
      <c r="S16" s="11">
        <v>0</v>
      </c>
      <c r="T16" s="12">
        <v>1.4800773051451409E-3</v>
      </c>
      <c r="U16" s="11">
        <v>1.5433718196392731E-2</v>
      </c>
      <c r="V16" s="12">
        <v>2.8143839064010273E-2</v>
      </c>
      <c r="W16" s="10">
        <v>3.8818419081064498E-6</v>
      </c>
      <c r="X16" s="11">
        <v>0</v>
      </c>
      <c r="Y16" s="12">
        <v>2.5878946054042999E-6</v>
      </c>
      <c r="Z16" s="10">
        <v>0.59748275491732294</v>
      </c>
      <c r="AA16" s="11">
        <v>0</v>
      </c>
      <c r="AB16" s="12">
        <v>0</v>
      </c>
      <c r="AC16" s="20">
        <f t="shared" si="0"/>
        <v>0.23728276242221766</v>
      </c>
    </row>
    <row r="17" spans="1:29" x14ac:dyDescent="0.3">
      <c r="A17" s="13" t="s">
        <v>44</v>
      </c>
      <c r="B17">
        <v>1995</v>
      </c>
      <c r="C17" s="14">
        <v>754.77599999999995</v>
      </c>
      <c r="D17" s="10">
        <v>5.0138054204161203E-2</v>
      </c>
      <c r="E17" s="12">
        <v>6.01502962468335E-3</v>
      </c>
      <c r="F17" s="10">
        <v>5.6726763967057801E-2</v>
      </c>
      <c r="G17" s="12">
        <v>4.9417310566313703E-2</v>
      </c>
      <c r="H17" s="10">
        <v>7.1214506025628801E-2</v>
      </c>
      <c r="I17" s="12">
        <v>3.0472617041347398E-4</v>
      </c>
      <c r="J17" s="10">
        <v>1.83882370398635E-2</v>
      </c>
      <c r="K17" s="11">
        <v>1.2034033938545999E-2</v>
      </c>
      <c r="L17" s="11">
        <v>2.6785430379344301E-2</v>
      </c>
      <c r="M17" s="11">
        <v>0</v>
      </c>
      <c r="N17" s="12">
        <v>4.4781498086849601E-4</v>
      </c>
      <c r="O17" s="10">
        <v>4.0014520864468398E-2</v>
      </c>
      <c r="P17" s="12">
        <v>4.36950830445059E-3</v>
      </c>
      <c r="Q17" s="10">
        <v>6.1326343035814903E-3</v>
      </c>
      <c r="R17" s="11">
        <v>9.6190439032083491E-2</v>
      </c>
      <c r="S17" s="11">
        <v>0</v>
      </c>
      <c r="T17" s="12">
        <v>0</v>
      </c>
      <c r="U17" s="11">
        <v>4.0655955884972526E-2</v>
      </c>
      <c r="V17" s="12">
        <v>6.749931137312748E-2</v>
      </c>
      <c r="W17" s="10">
        <v>7.4194198013715303E-5</v>
      </c>
      <c r="X17" s="11">
        <v>0</v>
      </c>
      <c r="Y17" s="12">
        <v>1.2798499157365901E-3</v>
      </c>
      <c r="Z17" s="10">
        <v>0.45231167922668403</v>
      </c>
      <c r="AA17" s="11">
        <v>0</v>
      </c>
      <c r="AB17" s="12">
        <v>0</v>
      </c>
      <c r="AC17" s="20">
        <f t="shared" si="0"/>
        <v>0.27970285223695507</v>
      </c>
    </row>
    <row r="18" spans="1:29" x14ac:dyDescent="0.3">
      <c r="A18" s="13" t="s">
        <v>44</v>
      </c>
      <c r="B18">
        <v>1996</v>
      </c>
      <c r="C18" s="14">
        <v>736.44899999999996</v>
      </c>
      <c r="D18" s="10">
        <v>5.0091723934719203E-2</v>
      </c>
      <c r="E18" s="12">
        <v>1.31848912823563E-3</v>
      </c>
      <c r="F18" s="10">
        <v>8.1485615432976399E-3</v>
      </c>
      <c r="G18" s="12">
        <v>3.3946681983409602E-5</v>
      </c>
      <c r="H18" s="10">
        <v>3.66216805237023E-3</v>
      </c>
      <c r="I18" s="12">
        <v>4.9059744802423498E-3</v>
      </c>
      <c r="J18" s="10">
        <v>2.52033745717626E-2</v>
      </c>
      <c r="K18" s="11">
        <v>7.9774702661012508E-3</v>
      </c>
      <c r="L18" s="11">
        <v>1.5673862005379902E-2</v>
      </c>
      <c r="M18" s="11">
        <v>1.0604943451617201E-3</v>
      </c>
      <c r="N18" s="12">
        <v>8.6740561804008205E-3</v>
      </c>
      <c r="O18" s="10">
        <v>9.5879008593941998E-3</v>
      </c>
      <c r="P18" s="12">
        <v>5.2413676982384402E-4</v>
      </c>
      <c r="Q18" s="10">
        <v>2.2325094975061757E-2</v>
      </c>
      <c r="R18" s="11">
        <v>8.3058984574235231E-2</v>
      </c>
      <c r="S18" s="11">
        <v>0</v>
      </c>
      <c r="T18" s="12">
        <v>0</v>
      </c>
      <c r="U18" s="11">
        <v>2.7320247226895567E-2</v>
      </c>
      <c r="V18" s="12">
        <v>2.1550754023700231E-2</v>
      </c>
      <c r="W18" s="10">
        <v>1.90101419107094E-5</v>
      </c>
      <c r="X18" s="11">
        <v>0</v>
      </c>
      <c r="Y18" s="12">
        <v>4.9847307824438603E-3</v>
      </c>
      <c r="Z18" s="10">
        <v>0.70387901945688003</v>
      </c>
      <c r="AA18" s="11">
        <v>0</v>
      </c>
      <c r="AB18" s="12">
        <v>0</v>
      </c>
      <c r="AC18" s="20">
        <f t="shared" si="0"/>
        <v>8.5451945755917955E-2</v>
      </c>
    </row>
    <row r="19" spans="1:29" x14ac:dyDescent="0.3">
      <c r="A19" s="13" t="s">
        <v>44</v>
      </c>
      <c r="B19">
        <v>1997</v>
      </c>
      <c r="C19" s="14">
        <v>895.37800000000004</v>
      </c>
      <c r="D19" s="10">
        <v>1.7047548633091301E-2</v>
      </c>
      <c r="E19" s="12">
        <v>5.4423941620187202E-3</v>
      </c>
      <c r="F19" s="10">
        <v>1.7344629865822001E-2</v>
      </c>
      <c r="G19" s="12">
        <v>3.1139920793229199E-2</v>
      </c>
      <c r="H19" s="10">
        <v>0</v>
      </c>
      <c r="I19" s="12">
        <v>1.50774309844557E-4</v>
      </c>
      <c r="J19" s="10">
        <v>1.1168467395893099E-6</v>
      </c>
      <c r="K19" s="11">
        <v>9.6216346615619307E-3</v>
      </c>
      <c r="L19" s="11">
        <v>1.46094722005678E-2</v>
      </c>
      <c r="M19" s="11">
        <v>0</v>
      </c>
      <c r="N19" s="12">
        <v>4.5343977627326098E-4</v>
      </c>
      <c r="O19" s="10">
        <v>3.00331256742962E-2</v>
      </c>
      <c r="P19" s="12">
        <v>4.5913569464516701E-3</v>
      </c>
      <c r="Q19" s="10">
        <v>0</v>
      </c>
      <c r="R19" s="11">
        <v>4.01874962306423E-2</v>
      </c>
      <c r="S19" s="11">
        <v>0</v>
      </c>
      <c r="T19" s="12">
        <v>0</v>
      </c>
      <c r="U19" s="11">
        <v>2.7141454435782125E-2</v>
      </c>
      <c r="V19" s="12">
        <v>2.5208781209704757E-3</v>
      </c>
      <c r="W19" s="10">
        <v>2.5676306543158298E-3</v>
      </c>
      <c r="X19" s="11">
        <v>0</v>
      </c>
      <c r="Y19" s="12">
        <v>6.9021128506619605E-4</v>
      </c>
      <c r="Z19" s="10">
        <v>0.79645691540332697</v>
      </c>
      <c r="AA19" s="11">
        <v>0</v>
      </c>
      <c r="AB19" s="12">
        <v>0</v>
      </c>
      <c r="AC19" s="20">
        <f t="shared" si="0"/>
        <v>0.10794547107478622</v>
      </c>
    </row>
    <row r="20" spans="1:29" x14ac:dyDescent="0.3">
      <c r="A20" s="13" t="s">
        <v>44</v>
      </c>
      <c r="B20">
        <v>1998</v>
      </c>
      <c r="C20" s="14">
        <v>724.81200000000001</v>
      </c>
      <c r="D20" s="10">
        <v>2.5002345435781999E-2</v>
      </c>
      <c r="E20" s="12">
        <v>1.8535841018084701E-2</v>
      </c>
      <c r="F20" s="10">
        <v>1.5907573274173199E-2</v>
      </c>
      <c r="G20" s="12">
        <v>4.9654255172375704E-3</v>
      </c>
      <c r="H20" s="10">
        <v>0</v>
      </c>
      <c r="I20" s="12">
        <v>1.37966810704017E-6</v>
      </c>
      <c r="J20" s="10">
        <v>2.9524897490659598E-3</v>
      </c>
      <c r="K20" s="11">
        <v>1.5430208109137301E-2</v>
      </c>
      <c r="L20" s="11">
        <v>2.3466774832646298E-2</v>
      </c>
      <c r="M20" s="11">
        <v>0</v>
      </c>
      <c r="N20" s="12">
        <v>5.9781019078050598E-3</v>
      </c>
      <c r="O20" s="10">
        <v>6.0650209985485901E-3</v>
      </c>
      <c r="P20" s="12">
        <v>0</v>
      </c>
      <c r="Q20" s="10">
        <v>1.244779769757407E-2</v>
      </c>
      <c r="R20" s="11">
        <v>1.6475564498416025E-2</v>
      </c>
      <c r="S20" s="11">
        <v>0</v>
      </c>
      <c r="T20" s="12">
        <v>0</v>
      </c>
      <c r="U20" s="11">
        <v>1.0832518652473724E-2</v>
      </c>
      <c r="V20" s="12">
        <v>9.5548369652588751E-3</v>
      </c>
      <c r="W20" s="10">
        <v>1.7935685391522199E-4</v>
      </c>
      <c r="X20" s="11">
        <v>2.7593362140803401E-6</v>
      </c>
      <c r="Y20" s="12">
        <v>1.25549797740655E-4</v>
      </c>
      <c r="Z20" s="10">
        <v>0.83207645568781996</v>
      </c>
      <c r="AA20" s="11">
        <v>0</v>
      </c>
      <c r="AB20" s="12">
        <v>0</v>
      </c>
      <c r="AC20" s="20">
        <f t="shared" si="0"/>
        <v>7.4766974056721017E-2</v>
      </c>
    </row>
    <row r="21" spans="1:29" x14ac:dyDescent="0.3">
      <c r="A21" s="13" t="s">
        <v>44</v>
      </c>
      <c r="B21">
        <v>1999</v>
      </c>
      <c r="C21" s="14">
        <v>754.34400000000005</v>
      </c>
      <c r="D21" s="10">
        <v>9.6123254112182199E-2</v>
      </c>
      <c r="E21" s="12">
        <v>4.2780216983233102E-2</v>
      </c>
      <c r="F21" s="10">
        <v>1.69683857762506E-4</v>
      </c>
      <c r="G21" s="12">
        <v>8.6471159046800902E-2</v>
      </c>
      <c r="H21" s="10">
        <v>0</v>
      </c>
      <c r="I21" s="12">
        <v>4.9751837358022301E-3</v>
      </c>
      <c r="J21" s="10">
        <v>1.22318199654269E-2</v>
      </c>
      <c r="K21" s="11">
        <v>2.2741613905592099E-2</v>
      </c>
      <c r="L21" s="11">
        <v>3.1247017275937799E-2</v>
      </c>
      <c r="M21" s="11">
        <v>0</v>
      </c>
      <c r="N21" s="12">
        <v>7.0577879588092397E-3</v>
      </c>
      <c r="O21" s="10">
        <v>0</v>
      </c>
      <c r="P21" s="12">
        <v>0</v>
      </c>
      <c r="Q21" s="10">
        <v>1.7232059529511304E-2</v>
      </c>
      <c r="R21" s="11">
        <v>1.9043167687779489E-2</v>
      </c>
      <c r="S21" s="11">
        <v>0</v>
      </c>
      <c r="T21" s="12">
        <v>0</v>
      </c>
      <c r="U21" s="11">
        <v>2.7458039955653773E-3</v>
      </c>
      <c r="V21" s="12">
        <v>2.4194159734510022E-2</v>
      </c>
      <c r="W21" s="10">
        <v>2.90583606418292E-3</v>
      </c>
      <c r="X21" s="11">
        <v>0</v>
      </c>
      <c r="Y21" s="12">
        <v>4.6238851240282897E-3</v>
      </c>
      <c r="Z21" s="10">
        <v>0.62545735102287503</v>
      </c>
      <c r="AA21" s="11">
        <v>0</v>
      </c>
      <c r="AB21" s="12">
        <v>0</v>
      </c>
      <c r="AC21" s="20">
        <f t="shared" si="0"/>
        <v>0.16489426574613167</v>
      </c>
    </row>
    <row r="22" spans="1:29" x14ac:dyDescent="0.3">
      <c r="A22" s="13" t="s">
        <v>44</v>
      </c>
      <c r="B22">
        <v>2000</v>
      </c>
      <c r="C22" s="14">
        <v>1044.5050000000001</v>
      </c>
      <c r="D22" s="10">
        <v>1.8516905136883002E-2</v>
      </c>
      <c r="E22" s="12">
        <v>4.4451678067601403E-3</v>
      </c>
      <c r="F22" s="10">
        <v>1.2142593860249601E-2</v>
      </c>
      <c r="G22" s="12">
        <v>3.6806908535622102E-2</v>
      </c>
      <c r="H22" s="10">
        <v>1.11344608211545E-3</v>
      </c>
      <c r="I22" s="12">
        <v>9.5739130018525492E-7</v>
      </c>
      <c r="J22" s="10">
        <v>4.8491869354383198E-3</v>
      </c>
      <c r="K22" s="11">
        <v>2.5266513803189099E-2</v>
      </c>
      <c r="L22" s="11">
        <v>2.5008018152138999E-2</v>
      </c>
      <c r="M22" s="11">
        <v>3.4370347676650702E-4</v>
      </c>
      <c r="N22" s="12">
        <v>1.67064781882327E-3</v>
      </c>
      <c r="O22" s="10">
        <v>0</v>
      </c>
      <c r="P22" s="12">
        <v>0</v>
      </c>
      <c r="Q22" s="10">
        <v>5.0560210163846549E-3</v>
      </c>
      <c r="R22" s="11">
        <v>5.3421439598930746E-2</v>
      </c>
      <c r="S22" s="11">
        <v>0</v>
      </c>
      <c r="T22" s="12">
        <v>0</v>
      </c>
      <c r="U22" s="11">
        <v>1.611643859632619E-2</v>
      </c>
      <c r="V22" s="12">
        <v>2.3576047318054311E-2</v>
      </c>
      <c r="W22" s="10">
        <v>5.6677564970967099E-4</v>
      </c>
      <c r="X22" s="11">
        <v>2.1751930340209E-3</v>
      </c>
      <c r="Y22" s="12">
        <v>0</v>
      </c>
      <c r="Z22" s="10">
        <v>0.76892403578728696</v>
      </c>
      <c r="AA22" s="11">
        <v>0</v>
      </c>
      <c r="AB22" s="12">
        <v>0</v>
      </c>
      <c r="AC22" s="20">
        <f t="shared" si="0"/>
        <v>0.10720197605564354</v>
      </c>
    </row>
    <row r="23" spans="1:29" x14ac:dyDescent="0.3">
      <c r="A23" s="13" t="s">
        <v>44</v>
      </c>
      <c r="B23">
        <v>2001</v>
      </c>
      <c r="C23" s="14">
        <v>1349.9549999999999</v>
      </c>
      <c r="D23" s="10">
        <v>2.4667488916297199E-2</v>
      </c>
      <c r="E23" s="12">
        <v>6.5779970443459197E-4</v>
      </c>
      <c r="F23" s="10">
        <v>1.4226400139263899E-2</v>
      </c>
      <c r="G23" s="12">
        <v>1.0959624580078599E-2</v>
      </c>
      <c r="H23" s="10">
        <v>5.0372049438685003E-5</v>
      </c>
      <c r="I23" s="12">
        <v>4.49052005437218E-3</v>
      </c>
      <c r="J23" s="10">
        <v>1.00225563074325E-2</v>
      </c>
      <c r="K23" s="11">
        <v>1.05996125796786E-2</v>
      </c>
      <c r="L23" s="11">
        <v>4.5488923704864202E-2</v>
      </c>
      <c r="M23" s="11">
        <v>1.4815308658436799E-6</v>
      </c>
      <c r="N23" s="12">
        <v>3.8104973869499399E-3</v>
      </c>
      <c r="O23" s="10">
        <v>0</v>
      </c>
      <c r="P23" s="12">
        <v>2.6371249412017402E-4</v>
      </c>
      <c r="Q23" s="10">
        <v>3.3259163133404785E-3</v>
      </c>
      <c r="R23" s="11">
        <v>0.16398114207008752</v>
      </c>
      <c r="S23" s="11">
        <v>0</v>
      </c>
      <c r="T23" s="12">
        <v>0</v>
      </c>
      <c r="U23" s="11">
        <v>8.8490129158151354E-3</v>
      </c>
      <c r="V23" s="12">
        <v>4.3736500618396642E-3</v>
      </c>
      <c r="W23" s="10">
        <v>3.6816042016215401E-4</v>
      </c>
      <c r="X23" s="11">
        <v>0</v>
      </c>
      <c r="Y23" s="12">
        <v>7.9891551940620194E-3</v>
      </c>
      <c r="Z23" s="10">
        <v>0.68587397357689694</v>
      </c>
      <c r="AA23" s="11">
        <v>0</v>
      </c>
      <c r="AB23" s="12">
        <v>0</v>
      </c>
      <c r="AC23" s="20">
        <f t="shared" si="0"/>
        <v>9.9913700827064619E-2</v>
      </c>
    </row>
    <row r="24" spans="1:29" x14ac:dyDescent="0.3">
      <c r="A24" s="13" t="s">
        <v>44</v>
      </c>
      <c r="B24">
        <v>2002</v>
      </c>
      <c r="C24" s="14">
        <v>2268.4090000000001</v>
      </c>
      <c r="D24" s="10">
        <v>1.9069753294048801E-2</v>
      </c>
      <c r="E24" s="12">
        <v>1.4741609647995601E-3</v>
      </c>
      <c r="F24" s="10">
        <v>7.3895404223841499E-2</v>
      </c>
      <c r="G24" s="12">
        <v>8.2639418200156998E-3</v>
      </c>
      <c r="H24" s="10">
        <v>9.9889393843879092E-3</v>
      </c>
      <c r="I24" s="12">
        <v>0</v>
      </c>
      <c r="J24" s="10">
        <v>2.7367198772355402E-3</v>
      </c>
      <c r="K24" s="11">
        <v>1.6504519246749599E-2</v>
      </c>
      <c r="L24" s="11">
        <v>8.3340349998611406E-3</v>
      </c>
      <c r="M24" s="11">
        <v>0</v>
      </c>
      <c r="N24" s="12">
        <v>7.3536121572432504E-3</v>
      </c>
      <c r="O24" s="10">
        <v>5.8631402009073303E-5</v>
      </c>
      <c r="P24" s="12">
        <v>2.0520990703175698E-3</v>
      </c>
      <c r="Q24" s="10">
        <v>0</v>
      </c>
      <c r="R24" s="11">
        <v>5.7250257779791897E-2</v>
      </c>
      <c r="S24" s="11">
        <v>0</v>
      </c>
      <c r="T24" s="12">
        <v>0</v>
      </c>
      <c r="U24" s="11">
        <v>6.6344201662221405E-3</v>
      </c>
      <c r="V24" s="12">
        <v>2.0686490657178761E-2</v>
      </c>
      <c r="W24" s="10">
        <v>3.4169323080626098E-3</v>
      </c>
      <c r="X24" s="11">
        <v>8.4244067097247503E-4</v>
      </c>
      <c r="Y24" s="12">
        <v>8.5103700434974502E-3</v>
      </c>
      <c r="Z24" s="10">
        <v>0.75292727193376496</v>
      </c>
      <c r="AA24" s="11">
        <v>0</v>
      </c>
      <c r="AB24" s="12">
        <v>0</v>
      </c>
      <c r="AC24" s="20">
        <f t="shared" si="0"/>
        <v>0.12918790218166129</v>
      </c>
    </row>
    <row r="25" spans="1:29" x14ac:dyDescent="0.3">
      <c r="A25" s="13" t="s">
        <v>44</v>
      </c>
      <c r="B25">
        <v>2003</v>
      </c>
      <c r="C25" s="14">
        <v>1458.451</v>
      </c>
      <c r="D25" s="10">
        <v>3.0085343971103601E-2</v>
      </c>
      <c r="E25" s="12">
        <v>6.89567218919251E-3</v>
      </c>
      <c r="F25" s="10">
        <v>6.05354585104333E-2</v>
      </c>
      <c r="G25" s="12">
        <v>1.6276172459685E-2</v>
      </c>
      <c r="H25" s="10">
        <v>4.3539344139775701E-4</v>
      </c>
      <c r="I25" s="12">
        <v>0</v>
      </c>
      <c r="J25" s="10">
        <v>3.5192131926269701E-2</v>
      </c>
      <c r="K25" s="11">
        <v>4.0349658644685399E-2</v>
      </c>
      <c r="L25" s="11">
        <v>3.9850498919744301E-3</v>
      </c>
      <c r="M25" s="11">
        <v>3.8650595734789901E-3</v>
      </c>
      <c r="N25" s="12">
        <v>3.5654266067217902E-4</v>
      </c>
      <c r="O25" s="10">
        <v>1.10322527119526E-3</v>
      </c>
      <c r="P25" s="12">
        <v>2.67406995504134E-5</v>
      </c>
      <c r="Q25" s="10">
        <v>1.4864591548124854E-2</v>
      </c>
      <c r="R25" s="11">
        <v>6.4153317253307071E-2</v>
      </c>
      <c r="S25" s="11">
        <v>6.4721076612397664E-3</v>
      </c>
      <c r="T25" s="12">
        <v>0</v>
      </c>
      <c r="U25" s="11">
        <v>1.2258319049696258E-2</v>
      </c>
      <c r="V25" s="12">
        <v>1.7137252004799246E-2</v>
      </c>
      <c r="W25" s="10">
        <v>0</v>
      </c>
      <c r="X25" s="11">
        <v>0</v>
      </c>
      <c r="Y25" s="12">
        <v>5.9240934388608195E-4</v>
      </c>
      <c r="Z25" s="10">
        <v>0.68541555389930797</v>
      </c>
      <c r="AA25" s="11">
        <v>0</v>
      </c>
      <c r="AB25" s="12">
        <v>0</v>
      </c>
      <c r="AC25" s="20">
        <f t="shared" si="0"/>
        <v>0.16212543307934243</v>
      </c>
    </row>
    <row r="26" spans="1:29" x14ac:dyDescent="0.3">
      <c r="A26" s="13" t="s">
        <v>44</v>
      </c>
      <c r="B26">
        <v>2004</v>
      </c>
      <c r="C26" s="14">
        <v>863.91</v>
      </c>
      <c r="D26" s="10">
        <v>4.9934599668946998E-2</v>
      </c>
      <c r="E26" s="12">
        <v>8.1258464423377395E-4</v>
      </c>
      <c r="F26" s="10">
        <v>6.3875866699077397E-2</v>
      </c>
      <c r="G26" s="12">
        <v>5.3304163628155703E-2</v>
      </c>
      <c r="H26" s="10">
        <v>9.0472387169959808E-3</v>
      </c>
      <c r="I26" s="12">
        <v>0</v>
      </c>
      <c r="J26" s="10">
        <v>2.5312821937470299E-2</v>
      </c>
      <c r="K26" s="11">
        <v>4.2840110659675197E-2</v>
      </c>
      <c r="L26" s="11">
        <v>3.0027433413202801E-2</v>
      </c>
      <c r="M26" s="11">
        <v>0</v>
      </c>
      <c r="N26" s="12">
        <v>1.4325566320565799E-2</v>
      </c>
      <c r="O26" s="10">
        <v>1.15752798323899E-6</v>
      </c>
      <c r="P26" s="12">
        <v>1.15752798323899E-6</v>
      </c>
      <c r="Q26" s="10">
        <v>5.7538505506921104E-3</v>
      </c>
      <c r="R26" s="11">
        <v>4.2484970622809794E-2</v>
      </c>
      <c r="S26" s="11">
        <v>0</v>
      </c>
      <c r="T26" s="12">
        <v>0</v>
      </c>
      <c r="U26" s="11">
        <v>5.5650873990568853E-2</v>
      </c>
      <c r="V26" s="12">
        <v>4.4344495897498143E-2</v>
      </c>
      <c r="W26" s="10">
        <v>0</v>
      </c>
      <c r="X26" s="11">
        <v>1.3774583000544E-3</v>
      </c>
      <c r="Y26" s="12">
        <v>5.0213563912907596E-3</v>
      </c>
      <c r="Z26" s="10">
        <v>0.555884293502795</v>
      </c>
      <c r="AA26" s="11">
        <v>0</v>
      </c>
      <c r="AB26" s="12">
        <v>0</v>
      </c>
      <c r="AC26" s="20">
        <f t="shared" si="0"/>
        <v>0.23873551643110966</v>
      </c>
    </row>
    <row r="27" spans="1:29" x14ac:dyDescent="0.3">
      <c r="A27" s="13" t="s">
        <v>44</v>
      </c>
      <c r="B27">
        <v>2005</v>
      </c>
      <c r="C27" s="14">
        <v>1037.1379999999999</v>
      </c>
      <c r="D27" s="10">
        <v>4.1165206558818598E-2</v>
      </c>
      <c r="E27" s="12">
        <v>7.8610560986098303E-3</v>
      </c>
      <c r="F27" s="10">
        <v>9.1698501067360397E-2</v>
      </c>
      <c r="G27" s="12">
        <v>3.1103864673746401E-2</v>
      </c>
      <c r="H27" s="10">
        <v>9.9061069982972396E-3</v>
      </c>
      <c r="I27" s="12">
        <v>0</v>
      </c>
      <c r="J27" s="10">
        <v>1.6513713700587601E-2</v>
      </c>
      <c r="K27" s="11">
        <v>9.54135322396827E-2</v>
      </c>
      <c r="L27" s="11">
        <v>0.10083036201546999</v>
      </c>
      <c r="M27" s="11">
        <v>0</v>
      </c>
      <c r="N27" s="12">
        <v>6.7618773972219701E-3</v>
      </c>
      <c r="O27" s="10">
        <v>0</v>
      </c>
      <c r="P27" s="12">
        <v>0</v>
      </c>
      <c r="Q27" s="10">
        <v>0</v>
      </c>
      <c r="R27" s="11">
        <v>6.4701129454325296E-2</v>
      </c>
      <c r="S27" s="11">
        <v>0</v>
      </c>
      <c r="T27" s="12">
        <v>0</v>
      </c>
      <c r="U27" s="11">
        <v>2.0874882310588905E-3</v>
      </c>
      <c r="V27" s="12">
        <v>3.1856885613116108E-2</v>
      </c>
      <c r="W27" s="10">
        <v>0</v>
      </c>
      <c r="X27" s="11">
        <v>0</v>
      </c>
      <c r="Y27" s="12">
        <v>1.9283836866453598E-6</v>
      </c>
      <c r="Z27" s="10">
        <v>0.50009834756801896</v>
      </c>
      <c r="AA27" s="11">
        <v>0</v>
      </c>
      <c r="AB27" s="12">
        <v>0</v>
      </c>
      <c r="AC27" s="20">
        <f t="shared" si="0"/>
        <v>0.35222795809236623</v>
      </c>
    </row>
    <row r="28" spans="1:29" x14ac:dyDescent="0.3">
      <c r="A28" s="13" t="s">
        <v>44</v>
      </c>
      <c r="B28">
        <v>2006</v>
      </c>
      <c r="C28" s="14"/>
      <c r="D28" s="10"/>
      <c r="E28" s="12"/>
      <c r="F28" s="10"/>
      <c r="G28" s="12"/>
      <c r="H28" s="10"/>
      <c r="I28" s="12"/>
      <c r="J28" s="10"/>
      <c r="K28" s="11"/>
      <c r="L28" s="11"/>
      <c r="M28" s="11"/>
      <c r="N28" s="12"/>
      <c r="O28" s="10"/>
      <c r="P28" s="12"/>
      <c r="Q28" s="10"/>
      <c r="R28" s="11"/>
      <c r="S28" s="11"/>
      <c r="T28" s="12"/>
      <c r="U28" s="11"/>
      <c r="V28" s="12"/>
      <c r="W28" s="10"/>
      <c r="X28" s="11"/>
      <c r="Y28" s="12"/>
      <c r="Z28" s="10"/>
      <c r="AA28" s="11"/>
      <c r="AB28" s="12"/>
      <c r="AC28" s="20"/>
    </row>
    <row r="29" spans="1:29" x14ac:dyDescent="0.3">
      <c r="A29" s="13" t="s">
        <v>44</v>
      </c>
      <c r="B29">
        <v>2007</v>
      </c>
      <c r="C29" s="31"/>
      <c r="D29" s="27"/>
      <c r="E29" s="32"/>
      <c r="F29" s="27"/>
      <c r="G29" s="32"/>
      <c r="H29" s="27"/>
      <c r="I29" s="32"/>
      <c r="J29" s="27"/>
      <c r="K29" s="28"/>
      <c r="L29" s="28"/>
      <c r="M29" s="28"/>
      <c r="N29" s="32"/>
      <c r="O29" s="27"/>
      <c r="P29" s="32"/>
      <c r="Q29" s="27"/>
      <c r="R29" s="28"/>
      <c r="S29" s="28"/>
      <c r="T29" s="32"/>
      <c r="U29" s="28"/>
      <c r="V29" s="32"/>
      <c r="W29" s="27"/>
      <c r="X29" s="28"/>
      <c r="Y29" s="32"/>
      <c r="Z29" s="27"/>
      <c r="AA29" s="28"/>
      <c r="AB29" s="32"/>
      <c r="AC29" s="20"/>
    </row>
    <row r="30" spans="1:29" x14ac:dyDescent="0.3">
      <c r="A30" s="13" t="s">
        <v>44</v>
      </c>
      <c r="B30">
        <v>2008</v>
      </c>
      <c r="C30" s="31"/>
      <c r="D30" s="27"/>
      <c r="E30" s="32"/>
      <c r="F30" s="27"/>
      <c r="G30" s="32"/>
      <c r="H30" s="27"/>
      <c r="I30" s="32"/>
      <c r="J30" s="27"/>
      <c r="K30" s="28"/>
      <c r="L30" s="28"/>
      <c r="M30" s="28"/>
      <c r="N30" s="32"/>
      <c r="O30" s="27"/>
      <c r="P30" s="32"/>
      <c r="Q30" s="27"/>
      <c r="R30" s="28"/>
      <c r="S30" s="28"/>
      <c r="T30" s="32"/>
      <c r="U30" s="28"/>
      <c r="V30" s="32"/>
      <c r="W30" s="27"/>
      <c r="X30" s="28"/>
      <c r="Y30" s="32"/>
      <c r="Z30" s="27"/>
      <c r="AA30" s="28"/>
      <c r="AB30" s="32"/>
      <c r="AC30" s="20"/>
    </row>
    <row r="31" spans="1:29" x14ac:dyDescent="0.3">
      <c r="A31" s="13" t="s">
        <v>44</v>
      </c>
      <c r="B31">
        <v>2009</v>
      </c>
      <c r="C31" s="31"/>
      <c r="D31" s="27"/>
      <c r="E31" s="32"/>
      <c r="F31" s="27"/>
      <c r="G31" s="32"/>
      <c r="H31" s="27"/>
      <c r="I31" s="32"/>
      <c r="J31" s="27"/>
      <c r="K31" s="28"/>
      <c r="L31" s="28"/>
      <c r="M31" s="28"/>
      <c r="N31" s="32"/>
      <c r="O31" s="27"/>
      <c r="P31" s="32"/>
      <c r="Q31" s="27"/>
      <c r="R31" s="28"/>
      <c r="S31" s="28"/>
      <c r="T31" s="32"/>
      <c r="U31" s="28"/>
      <c r="V31" s="32"/>
      <c r="W31" s="27"/>
      <c r="X31" s="28"/>
      <c r="Y31" s="32"/>
      <c r="Z31" s="27"/>
      <c r="AA31" s="28"/>
      <c r="AB31" s="32"/>
      <c r="AC31" s="20"/>
    </row>
    <row r="32" spans="1:29" x14ac:dyDescent="0.3">
      <c r="A32" s="13" t="s">
        <v>44</v>
      </c>
      <c r="B32">
        <v>2010</v>
      </c>
      <c r="C32" s="14"/>
      <c r="D32" s="10"/>
      <c r="E32" s="12"/>
      <c r="F32" s="10"/>
      <c r="G32" s="12"/>
      <c r="H32" s="10"/>
      <c r="I32" s="12"/>
      <c r="J32" s="10"/>
      <c r="K32" s="11"/>
      <c r="L32" s="11"/>
      <c r="M32" s="11"/>
      <c r="N32" s="12"/>
      <c r="O32" s="10"/>
      <c r="P32" s="12"/>
      <c r="Q32" s="10"/>
      <c r="R32" s="11"/>
      <c r="S32" s="11"/>
      <c r="T32" s="12"/>
      <c r="U32" s="11"/>
      <c r="V32" s="12"/>
      <c r="W32" s="10"/>
      <c r="X32" s="11"/>
      <c r="Y32" s="12"/>
      <c r="Z32" s="10"/>
      <c r="AA32" s="11"/>
      <c r="AB32" s="12"/>
      <c r="AC32" s="20"/>
    </row>
    <row r="33" spans="1:29" x14ac:dyDescent="0.3">
      <c r="A33" s="13" t="s">
        <v>44</v>
      </c>
      <c r="B33">
        <v>2011</v>
      </c>
      <c r="C33" s="14">
        <v>73.858999999999995</v>
      </c>
      <c r="D33" s="10">
        <v>7.4560987828159106E-2</v>
      </c>
      <c r="E33" s="12">
        <v>2.0322506397324601E-2</v>
      </c>
      <c r="F33" s="10">
        <v>4.8538431335382298E-2</v>
      </c>
      <c r="G33" s="12">
        <v>3.23318756008069E-2</v>
      </c>
      <c r="H33" s="10">
        <v>1.2185380251560401E-4</v>
      </c>
      <c r="I33" s="12">
        <v>0</v>
      </c>
      <c r="J33" s="10">
        <v>0</v>
      </c>
      <c r="K33" s="11">
        <v>3.8316251235462201E-3</v>
      </c>
      <c r="L33" s="11">
        <v>0.20212837975060599</v>
      </c>
      <c r="M33" s="11">
        <v>0</v>
      </c>
      <c r="N33" s="12">
        <v>2.93803057176512E-3</v>
      </c>
      <c r="O33" s="10">
        <v>0</v>
      </c>
      <c r="P33" s="12">
        <v>9.0713386317171896E-4</v>
      </c>
      <c r="Q33" s="10">
        <v>0</v>
      </c>
      <c r="R33" s="11">
        <v>2.1419190619965101E-2</v>
      </c>
      <c r="S33" s="11">
        <v>0</v>
      </c>
      <c r="T33" s="12">
        <v>0</v>
      </c>
      <c r="U33" s="11">
        <v>1.8864360124385922E-2</v>
      </c>
      <c r="V33" s="12">
        <v>0.21111438315673067</v>
      </c>
      <c r="W33" s="10">
        <v>5.5511176701552997E-3</v>
      </c>
      <c r="X33" s="11">
        <v>0</v>
      </c>
      <c r="Y33" s="12">
        <v>7.4466212648424701E-4</v>
      </c>
      <c r="Z33" s="10">
        <v>0.35662546202900097</v>
      </c>
      <c r="AA33" s="11">
        <v>0</v>
      </c>
      <c r="AB33" s="12">
        <v>0</v>
      </c>
      <c r="AC33" s="20">
        <f t="shared" si="0"/>
        <v>0.29079733004779384</v>
      </c>
    </row>
    <row r="34" spans="1:29" x14ac:dyDescent="0.3">
      <c r="A34" s="13" t="s">
        <v>44</v>
      </c>
      <c r="B34">
        <v>2012</v>
      </c>
      <c r="C34" s="14">
        <v>341.45400000000001</v>
      </c>
      <c r="D34" s="10">
        <v>7.17461210001933E-2</v>
      </c>
      <c r="E34" s="12">
        <v>3.0337907888031802E-2</v>
      </c>
      <c r="F34" s="10">
        <v>8.6035014965412604E-2</v>
      </c>
      <c r="G34" s="12">
        <v>0.12585004129399599</v>
      </c>
      <c r="H34" s="10">
        <v>1.5767863313945699E-2</v>
      </c>
      <c r="I34" s="12">
        <v>3.4616668716723198E-3</v>
      </c>
      <c r="J34" s="10">
        <v>4.8097254681450499E-2</v>
      </c>
      <c r="K34" s="11">
        <v>1.8608655924370499E-2</v>
      </c>
      <c r="L34" s="11">
        <v>0.145346078827602</v>
      </c>
      <c r="M34" s="11">
        <v>3.5143826108348402E-4</v>
      </c>
      <c r="N34" s="12">
        <v>2.5918571754907E-3</v>
      </c>
      <c r="O34" s="10">
        <v>0</v>
      </c>
      <c r="P34" s="12">
        <v>0</v>
      </c>
      <c r="Q34" s="10">
        <v>0</v>
      </c>
      <c r="R34" s="11">
        <v>2.63022251899231E-2</v>
      </c>
      <c r="S34" s="11">
        <v>0</v>
      </c>
      <c r="T34" s="12">
        <v>0</v>
      </c>
      <c r="U34" s="11">
        <v>5.8753776528074394E-3</v>
      </c>
      <c r="V34" s="12">
        <v>8.2666563575000671E-2</v>
      </c>
      <c r="W34" s="10">
        <v>1.8251360358935601E-2</v>
      </c>
      <c r="X34" s="11">
        <v>0</v>
      </c>
      <c r="Y34" s="12">
        <v>4.4954810896928998E-3</v>
      </c>
      <c r="Z34" s="10">
        <v>0.303964809315457</v>
      </c>
      <c r="AA34" s="11">
        <v>1.0250282614935E-2</v>
      </c>
      <c r="AB34" s="12">
        <v>0</v>
      </c>
      <c r="AC34" s="20">
        <f t="shared" si="0"/>
        <v>0.44610987131502383</v>
      </c>
    </row>
    <row r="35" spans="1:29" x14ac:dyDescent="0.3">
      <c r="A35" s="13" t="s">
        <v>44</v>
      </c>
      <c r="B35">
        <v>2013</v>
      </c>
      <c r="C35" s="14">
        <v>1779.816</v>
      </c>
      <c r="D35" s="10">
        <v>2.9287858969691299E-2</v>
      </c>
      <c r="E35" s="12">
        <v>9.3301779509792002E-3</v>
      </c>
      <c r="F35" s="10">
        <v>6.76154164250687E-2</v>
      </c>
      <c r="G35" s="12">
        <v>5.5129856119958499E-2</v>
      </c>
      <c r="H35" s="10">
        <v>3.20370195570778E-3</v>
      </c>
      <c r="I35" s="12">
        <v>3.5492432925650699E-3</v>
      </c>
      <c r="J35" s="10">
        <v>6.1740089986830102E-2</v>
      </c>
      <c r="K35" s="11">
        <v>4.6225564889853799E-2</v>
      </c>
      <c r="L35" s="11">
        <v>5.04125145520661E-2</v>
      </c>
      <c r="M35" s="11">
        <v>1.32878904336179E-3</v>
      </c>
      <c r="N35" s="12">
        <v>2.04965007618765E-3</v>
      </c>
      <c r="O35" s="10">
        <v>0</v>
      </c>
      <c r="P35" s="12">
        <v>3.0003101444194197E-4</v>
      </c>
      <c r="Q35" s="10">
        <v>0</v>
      </c>
      <c r="R35" s="11">
        <v>3.4945185345002003E-2</v>
      </c>
      <c r="S35" s="11">
        <v>0</v>
      </c>
      <c r="T35" s="12">
        <v>0</v>
      </c>
      <c r="U35" s="11">
        <v>4.9132536615938529E-3</v>
      </c>
      <c r="V35" s="12">
        <v>3.5134144496418045E-2</v>
      </c>
      <c r="W35" s="10">
        <v>2.78849049564674E-3</v>
      </c>
      <c r="X35" s="11">
        <v>5.6185583228828104E-7</v>
      </c>
      <c r="Y35" s="12">
        <v>2.4114852321812999E-3</v>
      </c>
      <c r="Z35" s="10">
        <v>0.57757093991738495</v>
      </c>
      <c r="AA35" s="11">
        <v>1.20630447192294E-2</v>
      </c>
      <c r="AB35" s="12">
        <v>0</v>
      </c>
      <c r="AC35" s="20">
        <f t="shared" si="0"/>
        <v>0.29155485735604142</v>
      </c>
    </row>
    <row r="36" spans="1:29" x14ac:dyDescent="0.3">
      <c r="A36" s="13" t="s">
        <v>44</v>
      </c>
      <c r="B36">
        <v>2014</v>
      </c>
      <c r="C36" s="14">
        <v>1259.6980000000001</v>
      </c>
      <c r="D36" s="10">
        <v>8.4427378625670596E-2</v>
      </c>
      <c r="E36" s="12">
        <v>1.80916378370054E-2</v>
      </c>
      <c r="F36" s="10">
        <v>6.1227373545087803E-2</v>
      </c>
      <c r="G36" s="12">
        <v>5.9426942013085703E-2</v>
      </c>
      <c r="H36" s="10">
        <v>2.9111739480415101E-2</v>
      </c>
      <c r="I36" s="12">
        <v>2.0491419371944701E-2</v>
      </c>
      <c r="J36" s="10">
        <v>3.28499370484037E-2</v>
      </c>
      <c r="K36" s="11">
        <v>9.9118995187735502E-3</v>
      </c>
      <c r="L36" s="11">
        <v>4.7145426919785502E-2</v>
      </c>
      <c r="M36" s="11">
        <v>0</v>
      </c>
      <c r="N36" s="12">
        <v>8.3583525575177502E-3</v>
      </c>
      <c r="O36" s="10">
        <v>0</v>
      </c>
      <c r="P36" s="12">
        <v>7.7320119584217803E-4</v>
      </c>
      <c r="Q36" s="10">
        <v>0</v>
      </c>
      <c r="R36" s="11">
        <v>4.7234337118896803E-2</v>
      </c>
      <c r="S36" s="11">
        <v>0</v>
      </c>
      <c r="T36" s="12">
        <v>0</v>
      </c>
      <c r="U36" s="11">
        <v>9.682976377458791E-3</v>
      </c>
      <c r="V36" s="12">
        <v>4.2481907586793002E-2</v>
      </c>
      <c r="W36" s="10">
        <v>8.3670848092161805E-3</v>
      </c>
      <c r="X36" s="11">
        <v>3.17536425397198E-6</v>
      </c>
      <c r="Y36" s="12">
        <v>2.9419749813050398E-3</v>
      </c>
      <c r="Z36" s="10">
        <v>0.51263080516123705</v>
      </c>
      <c r="AA36" s="11">
        <v>4.8424304873072796E-3</v>
      </c>
      <c r="AB36" s="12">
        <v>0</v>
      </c>
      <c r="AC36" s="20">
        <f t="shared" si="0"/>
        <v>0.269296291650856</v>
      </c>
    </row>
    <row r="37" spans="1:29" x14ac:dyDescent="0.3">
      <c r="A37" s="13" t="s">
        <v>44</v>
      </c>
      <c r="B37">
        <v>2015</v>
      </c>
      <c r="C37" s="14">
        <v>2212.643</v>
      </c>
      <c r="D37" s="10">
        <v>4.0131191520728797E-2</v>
      </c>
      <c r="E37" s="12">
        <v>7.0793164554788096E-3</v>
      </c>
      <c r="F37" s="10">
        <v>2.0871871332157999E-2</v>
      </c>
      <c r="G37" s="12">
        <v>2.4186911309235198E-2</v>
      </c>
      <c r="H37" s="10">
        <v>1.4752944781422E-2</v>
      </c>
      <c r="I37" s="12">
        <v>1.27440350747952E-2</v>
      </c>
      <c r="J37" s="10">
        <v>6.2153270997625902E-2</v>
      </c>
      <c r="K37" s="11">
        <v>1.6935402593188299E-2</v>
      </c>
      <c r="L37" s="11">
        <v>0.103071304317958</v>
      </c>
      <c r="M37" s="11">
        <v>0</v>
      </c>
      <c r="N37" s="12">
        <v>3.4167283199323202E-3</v>
      </c>
      <c r="O37" s="10">
        <v>0</v>
      </c>
      <c r="P37" s="12">
        <v>2.8924684189903198E-5</v>
      </c>
      <c r="Q37" s="10">
        <v>1.4252397809056966E-2</v>
      </c>
      <c r="R37" s="11">
        <v>1.716568454765403E-2</v>
      </c>
      <c r="S37" s="11">
        <v>0</v>
      </c>
      <c r="T37" s="12">
        <v>0</v>
      </c>
      <c r="U37" s="11">
        <v>6.4438869914698865E-3</v>
      </c>
      <c r="V37" s="12">
        <v>1.6307636864841296E-2</v>
      </c>
      <c r="W37" s="10">
        <v>1.4319074518573499E-2</v>
      </c>
      <c r="X37" s="11">
        <v>1.80372522815475E-3</v>
      </c>
      <c r="Y37" s="12">
        <v>1.0603608444742301E-2</v>
      </c>
      <c r="Z37" s="10">
        <v>0.56909768091824997</v>
      </c>
      <c r="AA37" s="11">
        <v>4.4634403290544397E-2</v>
      </c>
      <c r="AB37" s="12">
        <v>0</v>
      </c>
      <c r="AC37" s="20">
        <f t="shared" si="0"/>
        <v>0.25816139341050481</v>
      </c>
    </row>
    <row r="38" spans="1:29" x14ac:dyDescent="0.3">
      <c r="A38" s="13" t="s">
        <v>44</v>
      </c>
      <c r="B38">
        <v>2016</v>
      </c>
      <c r="C38" s="14">
        <v>426.91500000000002</v>
      </c>
      <c r="D38" s="10">
        <v>4.2797746624035203E-2</v>
      </c>
      <c r="E38" s="12">
        <v>1.23162690465315E-2</v>
      </c>
      <c r="F38" s="10">
        <v>6.0513216916716399E-2</v>
      </c>
      <c r="G38" s="12">
        <v>5.2349999414403298E-2</v>
      </c>
      <c r="H38" s="10">
        <v>9.5545951770258705E-3</v>
      </c>
      <c r="I38" s="12">
        <v>4.4481922630968699E-3</v>
      </c>
      <c r="J38" s="10">
        <v>9.1008748814166707E-2</v>
      </c>
      <c r="K38" s="11">
        <v>1.5157584062401201E-2</v>
      </c>
      <c r="L38" s="11">
        <v>3.5749505170818499E-2</v>
      </c>
      <c r="M38" s="11">
        <v>0</v>
      </c>
      <c r="N38" s="12">
        <v>1.3628005574880199E-2</v>
      </c>
      <c r="O38" s="10">
        <v>0</v>
      </c>
      <c r="P38" s="12">
        <v>0</v>
      </c>
      <c r="Q38" s="10">
        <v>0</v>
      </c>
      <c r="R38" s="11">
        <v>8.6644882470749401E-3</v>
      </c>
      <c r="S38" s="11">
        <v>0</v>
      </c>
      <c r="T38" s="12">
        <v>0</v>
      </c>
      <c r="U38" s="11">
        <v>5.9266212759274631E-3</v>
      </c>
      <c r="V38" s="12">
        <v>0.11186497658313085</v>
      </c>
      <c r="W38" s="10">
        <v>7.6080718644226603E-3</v>
      </c>
      <c r="X38" s="11">
        <v>7.02715997329679E-6</v>
      </c>
      <c r="Y38" s="12">
        <v>9.36954663106239E-6</v>
      </c>
      <c r="Z38" s="10">
        <v>0.482601923099446</v>
      </c>
      <c r="AA38" s="11">
        <v>3.9117857184685504E-3</v>
      </c>
      <c r="AB38" s="12">
        <v>4.1881873440848899E-2</v>
      </c>
      <c r="AC38" s="20">
        <f t="shared" si="0"/>
        <v>0.28240984739350905</v>
      </c>
    </row>
    <row r="39" spans="1:29" x14ac:dyDescent="0.3">
      <c r="A39" s="13" t="s">
        <v>44</v>
      </c>
      <c r="B39">
        <v>2017</v>
      </c>
      <c r="C39" s="14">
        <v>495.61399999999998</v>
      </c>
      <c r="D39" s="10">
        <v>5.8255012973806197E-2</v>
      </c>
      <c r="E39" s="12">
        <v>2.8945913553693001E-2</v>
      </c>
      <c r="F39" s="10">
        <v>5.7591189917960299E-2</v>
      </c>
      <c r="G39" s="12">
        <v>1.8968390723425901E-2</v>
      </c>
      <c r="H39" s="10">
        <v>1.3447965553838301E-2</v>
      </c>
      <c r="I39" s="12">
        <v>2.0176992578902101E-5</v>
      </c>
      <c r="J39" s="10">
        <v>4.8168534383613099E-2</v>
      </c>
      <c r="K39" s="11">
        <v>5.5543225171201797E-2</v>
      </c>
      <c r="L39" s="11">
        <v>7.0456040386268307E-2</v>
      </c>
      <c r="M39" s="11">
        <v>0</v>
      </c>
      <c r="N39" s="12">
        <v>3.37016307045402E-2</v>
      </c>
      <c r="O39" s="10">
        <v>0</v>
      </c>
      <c r="P39" s="12">
        <v>1.49309745083876E-4</v>
      </c>
      <c r="Q39" s="10">
        <v>0</v>
      </c>
      <c r="R39" s="11">
        <v>3.5890834399351097E-2</v>
      </c>
      <c r="S39" s="11">
        <v>0</v>
      </c>
      <c r="T39" s="12">
        <v>0</v>
      </c>
      <c r="U39" s="11">
        <v>0</v>
      </c>
      <c r="V39" s="12">
        <v>3.749894070788963E-2</v>
      </c>
      <c r="W39" s="10">
        <v>3.7932746048336E-3</v>
      </c>
      <c r="X39" s="11">
        <v>5.0160003551150698E-3</v>
      </c>
      <c r="Y39" s="12">
        <v>2.0176992578902099E-6</v>
      </c>
      <c r="Z39" s="10">
        <v>0.52589313457650499</v>
      </c>
      <c r="AA39" s="11">
        <v>6.6584075510376997E-3</v>
      </c>
      <c r="AB39" s="12">
        <v>0</v>
      </c>
      <c r="AC39" s="20">
        <f t="shared" si="0"/>
        <v>0.29804646357851067</v>
      </c>
    </row>
    <row r="40" spans="1:29" x14ac:dyDescent="0.3">
      <c r="A40" s="13" t="s">
        <v>44</v>
      </c>
      <c r="B40">
        <v>2018</v>
      </c>
      <c r="C40" s="14">
        <v>1399.989</v>
      </c>
      <c r="D40" s="10">
        <v>1.16808060634762E-2</v>
      </c>
      <c r="E40" s="12">
        <v>5.4021853028845199E-3</v>
      </c>
      <c r="F40" s="10">
        <v>1.3358676389600199E-2</v>
      </c>
      <c r="G40" s="12">
        <v>1.08093706450551E-2</v>
      </c>
      <c r="H40" s="10">
        <v>1.2222953180346399E-2</v>
      </c>
      <c r="I40" s="12">
        <v>4.12531812749957E-2</v>
      </c>
      <c r="J40" s="10">
        <v>6.8173392790943393E-2</v>
      </c>
      <c r="K40" s="11">
        <v>4.9331816178555699E-2</v>
      </c>
      <c r="L40" s="11">
        <v>6.0888335551207901E-2</v>
      </c>
      <c r="M40" s="11">
        <v>0</v>
      </c>
      <c r="N40" s="12">
        <v>3.5714566328735398E-6</v>
      </c>
      <c r="O40" s="10">
        <v>0</v>
      </c>
      <c r="P40" s="12">
        <v>0</v>
      </c>
      <c r="Q40" s="10">
        <v>0</v>
      </c>
      <c r="R40" s="11">
        <v>1.6046554651500799E-2</v>
      </c>
      <c r="S40" s="11">
        <v>0</v>
      </c>
      <c r="T40" s="12">
        <v>0</v>
      </c>
      <c r="U40" s="11">
        <v>4.7385548033870113E-3</v>
      </c>
      <c r="V40" s="12">
        <v>6.9173454505257581E-2</v>
      </c>
      <c r="W40" s="10">
        <v>3.06788124763837E-3</v>
      </c>
      <c r="X40" s="11">
        <v>9.4929317301778796E-4</v>
      </c>
      <c r="Y40" s="12">
        <v>6.2357632809972104E-4</v>
      </c>
      <c r="Z40" s="10">
        <v>0.62443347769161095</v>
      </c>
      <c r="AA40" s="11">
        <v>7.8429187657903E-3</v>
      </c>
      <c r="AB40" s="12">
        <v>0</v>
      </c>
      <c r="AC40" s="20">
        <f t="shared" si="0"/>
        <v>0.25604129746733728</v>
      </c>
    </row>
    <row r="41" spans="1:29" x14ac:dyDescent="0.3">
      <c r="A41" s="13" t="s">
        <v>44</v>
      </c>
      <c r="B41">
        <v>2019</v>
      </c>
      <c r="C41" s="14">
        <v>1093.01</v>
      </c>
      <c r="D41" s="10">
        <v>8.0987365165917993E-3</v>
      </c>
      <c r="E41" s="12">
        <v>4.2662006751996804E-3</v>
      </c>
      <c r="F41" s="10">
        <v>9.1490471267417498E-7</v>
      </c>
      <c r="G41" s="12">
        <v>1.8217582638768201E-2</v>
      </c>
      <c r="H41" s="10">
        <v>9.1490471267417498E-7</v>
      </c>
      <c r="I41" s="12">
        <v>4.80782426510279E-3</v>
      </c>
      <c r="J41" s="10">
        <v>1.82980942534835E-6</v>
      </c>
      <c r="K41" s="11">
        <v>3.4766379081618701E-4</v>
      </c>
      <c r="L41" s="11">
        <v>2.9918299009158201E-2</v>
      </c>
      <c r="M41" s="11">
        <v>0</v>
      </c>
      <c r="N41" s="12">
        <v>1.16339283263648E-2</v>
      </c>
      <c r="O41" s="10">
        <v>0</v>
      </c>
      <c r="P41" s="12">
        <v>8.3256328853349896E-5</v>
      </c>
      <c r="Q41" s="10">
        <v>0</v>
      </c>
      <c r="R41" s="11">
        <v>3.5203703534276903E-2</v>
      </c>
      <c r="S41" s="11">
        <v>0</v>
      </c>
      <c r="T41" s="12">
        <v>0</v>
      </c>
      <c r="U41" s="11">
        <v>4.6372701308632228E-3</v>
      </c>
      <c r="V41" s="12">
        <v>2.3761372150543157E-2</v>
      </c>
      <c r="W41" s="10">
        <v>1.4482941601632201E-3</v>
      </c>
      <c r="X41" s="11">
        <v>0</v>
      </c>
      <c r="Y41" s="12">
        <v>4.9359109248771696E-3</v>
      </c>
      <c r="Z41" s="10">
        <v>0.80283803441871504</v>
      </c>
      <c r="AA41" s="11">
        <v>4.9798263510855298E-2</v>
      </c>
      <c r="AB41" s="12">
        <v>0</v>
      </c>
      <c r="AC41" s="20">
        <f t="shared" si="0"/>
        <v>6.5012213977914221E-2</v>
      </c>
    </row>
    <row r="42" spans="1:29" x14ac:dyDescent="0.3">
      <c r="A42" s="13" t="s">
        <v>44</v>
      </c>
      <c r="B42">
        <v>2020</v>
      </c>
      <c r="C42" s="14">
        <v>1839.261</v>
      </c>
      <c r="D42" s="10">
        <v>2.0449517496429301E-2</v>
      </c>
      <c r="E42" s="12">
        <v>1.01399420745615E-2</v>
      </c>
      <c r="F42" s="10">
        <v>0</v>
      </c>
      <c r="G42" s="12">
        <v>7.1822324292202097E-4</v>
      </c>
      <c r="H42" s="10">
        <v>0</v>
      </c>
      <c r="I42" s="12">
        <v>1.5223505527491699E-4</v>
      </c>
      <c r="J42" s="10">
        <v>0</v>
      </c>
      <c r="K42" s="11">
        <v>4.4436325241496398E-3</v>
      </c>
      <c r="L42" s="11">
        <v>1.9894403241301799E-2</v>
      </c>
      <c r="M42" s="11">
        <v>0</v>
      </c>
      <c r="N42" s="12">
        <v>2.0706142303892699E-2</v>
      </c>
      <c r="O42" s="10">
        <v>0</v>
      </c>
      <c r="P42" s="12">
        <v>1.6310898779455401E-6</v>
      </c>
      <c r="Q42" s="10">
        <v>0</v>
      </c>
      <c r="R42" s="11">
        <v>9.5322523557015607E-2</v>
      </c>
      <c r="S42" s="11">
        <v>0</v>
      </c>
      <c r="T42" s="12">
        <v>0</v>
      </c>
      <c r="U42" s="11">
        <v>1.2609740658663876E-2</v>
      </c>
      <c r="V42" s="12">
        <v>0.11087518073095931</v>
      </c>
      <c r="W42" s="10">
        <v>0</v>
      </c>
      <c r="X42" s="11">
        <v>0</v>
      </c>
      <c r="Y42" s="12">
        <v>1.6310898779455401E-6</v>
      </c>
      <c r="Z42" s="10">
        <v>0.68680845187279005</v>
      </c>
      <c r="AA42" s="11">
        <v>1.7876745062283199E-2</v>
      </c>
      <c r="AB42" s="12">
        <v>0</v>
      </c>
      <c r="AC42" s="20">
        <f t="shared" si="0"/>
        <v>4.5916267457419023E-2</v>
      </c>
    </row>
    <row r="43" spans="1:29" x14ac:dyDescent="0.3">
      <c r="A43" s="13" t="s">
        <v>44</v>
      </c>
      <c r="B43">
        <v>2021</v>
      </c>
      <c r="C43" s="14">
        <v>773.82100000000003</v>
      </c>
      <c r="D43" s="10">
        <v>1.7907242114132301E-2</v>
      </c>
      <c r="E43" s="12">
        <v>2.3360699696699901E-2</v>
      </c>
      <c r="F43" s="10">
        <v>0</v>
      </c>
      <c r="G43" s="12">
        <v>3.6158232976360202E-3</v>
      </c>
      <c r="H43" s="10">
        <v>2.61042282388304E-4</v>
      </c>
      <c r="I43" s="12">
        <v>9.1132186901104993E-3</v>
      </c>
      <c r="J43" s="10">
        <v>7.1075868967112601E-5</v>
      </c>
      <c r="K43" s="11">
        <v>1.7962810520779401E-4</v>
      </c>
      <c r="L43" s="11">
        <v>1.7962810520779401E-4</v>
      </c>
      <c r="M43" s="11">
        <v>0</v>
      </c>
      <c r="N43" s="12">
        <v>1.8729137617097501E-2</v>
      </c>
      <c r="O43" s="10">
        <v>0</v>
      </c>
      <c r="P43" s="12">
        <v>0</v>
      </c>
      <c r="Q43" s="10">
        <v>0</v>
      </c>
      <c r="R43" s="11">
        <v>8.01037966144625E-2</v>
      </c>
      <c r="S43" s="11">
        <v>0</v>
      </c>
      <c r="T43" s="12">
        <v>0</v>
      </c>
      <c r="U43" s="11">
        <v>1.3962599147393675E-2</v>
      </c>
      <c r="V43" s="12">
        <v>5.5000378078605631E-2</v>
      </c>
      <c r="W43" s="10">
        <v>0</v>
      </c>
      <c r="X43" s="11">
        <v>0</v>
      </c>
      <c r="Y43" s="12">
        <v>0</v>
      </c>
      <c r="Z43" s="10">
        <v>0.76485130282067804</v>
      </c>
      <c r="AA43" s="11">
        <v>1.2664427561412801E-2</v>
      </c>
      <c r="AB43" s="12">
        <v>0</v>
      </c>
      <c r="AC43" s="20">
        <f t="shared" si="0"/>
        <v>3.2149553966615022E-2</v>
      </c>
    </row>
    <row r="44" spans="1:29" x14ac:dyDescent="0.3">
      <c r="A44" s="13" t="s">
        <v>44</v>
      </c>
      <c r="B44">
        <v>2022</v>
      </c>
      <c r="C44" s="14">
        <v>767.81899999999996</v>
      </c>
      <c r="D44" s="10">
        <v>4.6790975477293502E-2</v>
      </c>
      <c r="E44" s="12">
        <v>3.2084384470819301E-2</v>
      </c>
      <c r="F44" s="10">
        <v>0</v>
      </c>
      <c r="G44" s="12">
        <v>3.5197097232550899E-2</v>
      </c>
      <c r="H44" s="10">
        <v>4.5844137746005201E-4</v>
      </c>
      <c r="I44" s="12">
        <v>1.7439005807358199E-3</v>
      </c>
      <c r="J44" s="10">
        <v>1.3154141796439001E-4</v>
      </c>
      <c r="K44" s="11">
        <v>6.6942860231382698E-4</v>
      </c>
      <c r="L44" s="11">
        <v>0</v>
      </c>
      <c r="M44" s="11">
        <v>0</v>
      </c>
      <c r="N44" s="12">
        <v>0</v>
      </c>
      <c r="O44" s="10">
        <v>0</v>
      </c>
      <c r="P44" s="12">
        <v>0</v>
      </c>
      <c r="Q44" s="10">
        <v>0</v>
      </c>
      <c r="R44" s="11">
        <v>4.9901083458471301E-2</v>
      </c>
      <c r="S44" s="11">
        <v>0</v>
      </c>
      <c r="T44" s="12">
        <v>0</v>
      </c>
      <c r="U44" s="11">
        <v>4.8775792722186946E-3</v>
      </c>
      <c r="V44" s="12">
        <v>7.5602478719389767E-3</v>
      </c>
      <c r="W44" s="10">
        <v>0</v>
      </c>
      <c r="X44" s="11">
        <v>0</v>
      </c>
      <c r="Y44" s="12">
        <v>0</v>
      </c>
      <c r="Z44" s="10">
        <v>0.82058532023823305</v>
      </c>
      <c r="AA44" s="11">
        <v>0</v>
      </c>
      <c r="AB44" s="12">
        <v>0</v>
      </c>
      <c r="AC44" s="20">
        <f t="shared" si="0"/>
        <v>3.8200409211024994E-2</v>
      </c>
    </row>
    <row r="45" spans="1:29" x14ac:dyDescent="0.3">
      <c r="A45" s="13" t="s">
        <v>44</v>
      </c>
      <c r="B45">
        <v>2023</v>
      </c>
      <c r="C45" s="14">
        <v>975.81700000000001</v>
      </c>
      <c r="D45" s="10">
        <v>2.32215671585963E-3</v>
      </c>
      <c r="E45" s="12">
        <v>2.2422236956314602E-3</v>
      </c>
      <c r="F45" s="10">
        <v>0</v>
      </c>
      <c r="G45" s="12">
        <v>3.8505170539148197E-2</v>
      </c>
      <c r="H45" s="10">
        <v>6.7635632500766003E-3</v>
      </c>
      <c r="I45" s="12">
        <v>2.4581453284786E-2</v>
      </c>
      <c r="J45" s="10">
        <v>8.1982584849413404E-6</v>
      </c>
      <c r="K45" s="11">
        <v>4.2303013782297302E-3</v>
      </c>
      <c r="L45" s="11">
        <v>5.6865170416174303E-3</v>
      </c>
      <c r="M45" s="11">
        <v>0</v>
      </c>
      <c r="N45" s="12">
        <v>0</v>
      </c>
      <c r="O45" s="10">
        <v>0</v>
      </c>
      <c r="P45" s="12">
        <v>0</v>
      </c>
      <c r="Q45" s="10">
        <v>0</v>
      </c>
      <c r="R45" s="11">
        <v>5.3625833532311901E-2</v>
      </c>
      <c r="S45" s="11">
        <v>0</v>
      </c>
      <c r="T45" s="12">
        <v>0</v>
      </c>
      <c r="U45" s="11">
        <v>6.8137775832968709E-3</v>
      </c>
      <c r="V45" s="12">
        <v>0</v>
      </c>
      <c r="W45" s="10">
        <v>0</v>
      </c>
      <c r="X45" s="11">
        <v>0</v>
      </c>
      <c r="Y45" s="12">
        <v>0</v>
      </c>
      <c r="Z45" s="10">
        <v>0.85040432786065401</v>
      </c>
      <c r="AA45" s="11">
        <v>4.8164768599030404E-3</v>
      </c>
      <c r="AB45" s="12">
        <v>0</v>
      </c>
      <c r="AC45" s="20">
        <f t="shared" si="0"/>
        <v>7.9775203752342899E-2</v>
      </c>
    </row>
    <row r="46" spans="1:29" ht="15" thickBot="1" x14ac:dyDescent="0.35">
      <c r="A46" s="4" t="s">
        <v>44</v>
      </c>
      <c r="B46" s="5">
        <v>2024</v>
      </c>
      <c r="C46" s="15">
        <v>1080.2059999999999</v>
      </c>
      <c r="D46" s="16">
        <v>2.5126688798247698E-2</v>
      </c>
      <c r="E46" s="17">
        <v>4.6287467390479197E-6</v>
      </c>
      <c r="F46" s="16">
        <v>0</v>
      </c>
      <c r="G46" s="17">
        <v>1.6919920829915801E-2</v>
      </c>
      <c r="H46" s="16">
        <v>8.1401140152896796E-3</v>
      </c>
      <c r="I46" s="17">
        <v>3.1943906995517503E-2</v>
      </c>
      <c r="J46" s="16">
        <v>2.2145775898300898E-2</v>
      </c>
      <c r="K46" s="18">
        <v>4.0666317350579399E-2</v>
      </c>
      <c r="L46" s="18">
        <v>4.5452441478754997E-2</v>
      </c>
      <c r="M46" s="18">
        <v>0</v>
      </c>
      <c r="N46" s="17">
        <v>0</v>
      </c>
      <c r="O46" s="16">
        <v>0</v>
      </c>
      <c r="P46" s="17">
        <v>0</v>
      </c>
      <c r="Q46" s="16">
        <v>0</v>
      </c>
      <c r="R46" s="18">
        <v>5.97099071843704E-2</v>
      </c>
      <c r="S46" s="18">
        <v>0</v>
      </c>
      <c r="T46" s="17">
        <v>0</v>
      </c>
      <c r="U46" s="18">
        <v>7.6232012340731589E-3</v>
      </c>
      <c r="V46" s="17">
        <v>2.0256666124560268E-2</v>
      </c>
      <c r="W46" s="16">
        <v>0</v>
      </c>
      <c r="X46" s="18">
        <v>0</v>
      </c>
      <c r="Y46" s="17">
        <v>0</v>
      </c>
      <c r="Z46" s="16">
        <v>0.70435639128092198</v>
      </c>
      <c r="AA46" s="18">
        <v>1.7654040062728801E-2</v>
      </c>
      <c r="AB46" s="17">
        <v>0</v>
      </c>
      <c r="AC46" s="21">
        <f t="shared" si="0"/>
        <v>0.16526847656835827</v>
      </c>
    </row>
  </sheetData>
  <mergeCells count="11">
    <mergeCell ref="D8:I8"/>
    <mergeCell ref="J8:Y8"/>
    <mergeCell ref="Z8:AB9"/>
    <mergeCell ref="D9:E9"/>
    <mergeCell ref="F9:G9"/>
    <mergeCell ref="H9:I9"/>
    <mergeCell ref="J9:N9"/>
    <mergeCell ref="O9:P9"/>
    <mergeCell ref="Q9:V9"/>
    <mergeCell ref="W9:Y9"/>
    <mergeCell ref="AC8:AC9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C1C-B93E-496C-9911-E98C5968FA32}">
  <dimension ref="A1:AB26"/>
  <sheetViews>
    <sheetView tabSelected="1" topLeftCell="A10" zoomScale="80" zoomScaleNormal="80" workbookViewId="0">
      <selection activeCell="F29" sqref="F29"/>
    </sheetView>
  </sheetViews>
  <sheetFormatPr defaultRowHeight="14.4" x14ac:dyDescent="0.3"/>
  <cols>
    <col min="26" max="26" width="10.109375" customWidth="1"/>
    <col min="27" max="27" width="10.6640625" customWidth="1"/>
  </cols>
  <sheetData>
    <row r="1" spans="1:28" x14ac:dyDescent="0.3">
      <c r="A1" t="s">
        <v>67</v>
      </c>
    </row>
    <row r="2" spans="1:28" x14ac:dyDescent="0.3">
      <c r="A2" t="s">
        <v>30</v>
      </c>
    </row>
    <row r="3" spans="1:28" x14ac:dyDescent="0.3">
      <c r="A3" t="s">
        <v>0</v>
      </c>
    </row>
    <row r="4" spans="1:28" x14ac:dyDescent="0.3">
      <c r="A4" t="s">
        <v>66</v>
      </c>
    </row>
    <row r="5" spans="1:28" x14ac:dyDescent="0.3">
      <c r="A5" t="s">
        <v>1</v>
      </c>
      <c r="D5" s="34"/>
    </row>
    <row r="6" spans="1:28" ht="15.6" x14ac:dyDescent="0.3">
      <c r="A6" s="33"/>
    </row>
    <row r="7" spans="1:28" ht="15" thickBot="1" x14ac:dyDescent="0.35">
      <c r="A7" t="s">
        <v>65</v>
      </c>
    </row>
    <row r="8" spans="1:28" x14ac:dyDescent="0.3">
      <c r="B8" s="1"/>
      <c r="C8" s="2"/>
      <c r="D8" s="1" t="s">
        <v>2</v>
      </c>
      <c r="E8" s="2"/>
      <c r="F8" s="2"/>
      <c r="G8" s="2"/>
      <c r="H8" s="2"/>
      <c r="I8" s="3"/>
      <c r="J8" s="2" t="s">
        <v>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"/>
      <c r="AA8" s="2"/>
      <c r="AB8" s="35" t="s">
        <v>45</v>
      </c>
    </row>
    <row r="9" spans="1:28" x14ac:dyDescent="0.3">
      <c r="B9" s="13"/>
      <c r="D9" s="13" t="s">
        <v>5</v>
      </c>
      <c r="F9" t="s">
        <v>6</v>
      </c>
      <c r="H9" t="s">
        <v>7</v>
      </c>
      <c r="I9" s="36"/>
      <c r="J9" t="s">
        <v>46</v>
      </c>
      <c r="O9" t="s">
        <v>47</v>
      </c>
      <c r="Q9" t="s">
        <v>48</v>
      </c>
      <c r="W9" t="s">
        <v>11</v>
      </c>
      <c r="Z9" s="13" t="s">
        <v>4</v>
      </c>
      <c r="AB9" s="37" t="s">
        <v>49</v>
      </c>
    </row>
    <row r="10" spans="1:28" ht="45.6" thickBot="1" x14ac:dyDescent="0.35">
      <c r="A10" t="s">
        <v>12</v>
      </c>
      <c r="B10" s="38" t="s">
        <v>27</v>
      </c>
      <c r="C10" s="25" t="s">
        <v>50</v>
      </c>
      <c r="D10" s="39" t="s">
        <v>32</v>
      </c>
      <c r="E10" s="25" t="s">
        <v>51</v>
      </c>
      <c r="F10" s="25" t="s">
        <v>32</v>
      </c>
      <c r="G10" s="25" t="s">
        <v>39</v>
      </c>
      <c r="H10" s="25" t="s">
        <v>32</v>
      </c>
      <c r="I10" s="40" t="s">
        <v>39</v>
      </c>
      <c r="J10" s="25" t="s">
        <v>52</v>
      </c>
      <c r="K10" s="25" t="s">
        <v>21</v>
      </c>
      <c r="L10" s="25" t="s">
        <v>22</v>
      </c>
      <c r="M10" s="25" t="s">
        <v>7</v>
      </c>
      <c r="N10" s="25" t="s">
        <v>6</v>
      </c>
      <c r="O10" s="25" t="s">
        <v>35</v>
      </c>
      <c r="P10" s="25" t="s">
        <v>37</v>
      </c>
      <c r="Q10" s="25" t="s">
        <v>23</v>
      </c>
      <c r="R10" s="25" t="s">
        <v>53</v>
      </c>
      <c r="S10" s="25" t="s">
        <v>24</v>
      </c>
      <c r="T10" s="25" t="s">
        <v>25</v>
      </c>
      <c r="U10" s="25" t="s">
        <v>54</v>
      </c>
      <c r="V10" s="25" t="s">
        <v>55</v>
      </c>
      <c r="W10" s="25" t="s">
        <v>56</v>
      </c>
      <c r="X10" s="25" t="s">
        <v>31</v>
      </c>
      <c r="Y10" s="25" t="s">
        <v>57</v>
      </c>
      <c r="Z10" s="39" t="s">
        <v>58</v>
      </c>
      <c r="AA10" s="25" t="s">
        <v>59</v>
      </c>
      <c r="AB10" s="41" t="s">
        <v>33</v>
      </c>
    </row>
    <row r="11" spans="1:28" x14ac:dyDescent="0.3">
      <c r="A11" t="s">
        <v>68</v>
      </c>
      <c r="B11" s="13">
        <v>1991</v>
      </c>
      <c r="C11" s="42">
        <v>154</v>
      </c>
      <c r="D11" s="43">
        <v>0</v>
      </c>
      <c r="E11" s="44">
        <v>0</v>
      </c>
      <c r="F11" s="44">
        <v>0</v>
      </c>
      <c r="G11" s="45">
        <v>0</v>
      </c>
      <c r="H11" s="44">
        <v>6.4935064935064939E-3</v>
      </c>
      <c r="I11" s="46">
        <v>0</v>
      </c>
      <c r="J11" s="43">
        <v>2.5974025974025976E-2</v>
      </c>
      <c r="K11" s="44">
        <v>3.896103896103896E-2</v>
      </c>
      <c r="L11" s="44">
        <v>3.896103896103896E-2</v>
      </c>
      <c r="M11" s="44">
        <v>0</v>
      </c>
      <c r="N11" s="44">
        <v>0</v>
      </c>
      <c r="O11" s="44">
        <v>0</v>
      </c>
      <c r="P11" s="44">
        <v>6.4935064935064939E-3</v>
      </c>
      <c r="Q11" s="44">
        <v>3.2467532467532464E-2</v>
      </c>
      <c r="R11" s="44">
        <v>0</v>
      </c>
      <c r="S11" s="44">
        <v>0</v>
      </c>
      <c r="T11" s="44">
        <v>0</v>
      </c>
      <c r="U11" s="44">
        <v>1.378338642489586E-2</v>
      </c>
      <c r="V11" s="44">
        <v>2.51776525361431E-2</v>
      </c>
      <c r="W11" s="44">
        <v>1.2987012987012988E-2</v>
      </c>
      <c r="X11" s="44">
        <v>0</v>
      </c>
      <c r="Y11" s="46">
        <v>0.13636363636363635</v>
      </c>
      <c r="Z11" s="43">
        <v>0.63636363636363635</v>
      </c>
      <c r="AA11" s="28">
        <v>2.5974025974025976E-2</v>
      </c>
      <c r="AB11" s="47">
        <f t="shared" ref="AB11:AB26" si="0">+SUM(F11:P11)</f>
        <v>0.11688311688311688</v>
      </c>
    </row>
    <row r="12" spans="1:28" x14ac:dyDescent="0.3">
      <c r="A12" t="s">
        <v>68</v>
      </c>
      <c r="B12" s="13">
        <v>1992</v>
      </c>
      <c r="C12" s="42">
        <v>159</v>
      </c>
      <c r="D12" s="43">
        <v>0</v>
      </c>
      <c r="E12" s="44">
        <v>0</v>
      </c>
      <c r="F12" s="44">
        <v>0</v>
      </c>
      <c r="G12" s="45">
        <v>0</v>
      </c>
      <c r="H12" s="44">
        <v>4.40251572327044E-2</v>
      </c>
      <c r="I12" s="46">
        <v>0</v>
      </c>
      <c r="J12" s="43">
        <v>3.1446540880503145E-2</v>
      </c>
      <c r="K12" s="44">
        <v>2.5157232704402517E-2</v>
      </c>
      <c r="L12" s="44">
        <v>3.1446540880503145E-2</v>
      </c>
      <c r="M12" s="44">
        <v>0</v>
      </c>
      <c r="N12" s="44">
        <v>0</v>
      </c>
      <c r="O12" s="44">
        <v>0</v>
      </c>
      <c r="P12" s="44">
        <v>2.5157232704402517E-2</v>
      </c>
      <c r="Q12" s="44">
        <v>0</v>
      </c>
      <c r="R12" s="44">
        <v>0</v>
      </c>
      <c r="S12" s="44">
        <v>0</v>
      </c>
      <c r="T12" s="44">
        <v>0</v>
      </c>
      <c r="U12" s="44">
        <v>6.2316081010905307E-2</v>
      </c>
      <c r="V12" s="44">
        <v>0.39051410766833999</v>
      </c>
      <c r="W12" s="44">
        <v>1.2578616352201259E-2</v>
      </c>
      <c r="X12" s="44">
        <v>0</v>
      </c>
      <c r="Y12" s="46">
        <v>6.2893081761006289E-2</v>
      </c>
      <c r="Z12" s="43">
        <v>0.31446540880503143</v>
      </c>
      <c r="AA12" s="28">
        <v>0</v>
      </c>
      <c r="AB12" s="47">
        <f t="shared" si="0"/>
        <v>0.15723270440251572</v>
      </c>
    </row>
    <row r="13" spans="1:28" x14ac:dyDescent="0.3">
      <c r="A13" t="s">
        <v>68</v>
      </c>
      <c r="B13" s="13">
        <v>1993</v>
      </c>
      <c r="C13" s="42">
        <v>349</v>
      </c>
      <c r="D13" s="43">
        <v>0</v>
      </c>
      <c r="E13" s="44">
        <v>0</v>
      </c>
      <c r="F13" s="44">
        <v>0</v>
      </c>
      <c r="G13" s="45">
        <v>1.1461318051575931E-2</v>
      </c>
      <c r="H13" s="44">
        <v>1.7191977077363897E-2</v>
      </c>
      <c r="I13" s="46">
        <v>0</v>
      </c>
      <c r="J13" s="43">
        <v>2.2922636103151862E-2</v>
      </c>
      <c r="K13" s="44">
        <v>1.1461318051575931E-2</v>
      </c>
      <c r="L13" s="44">
        <v>2.5787965616045846E-2</v>
      </c>
      <c r="M13" s="44">
        <v>0</v>
      </c>
      <c r="N13" s="44">
        <v>0</v>
      </c>
      <c r="O13" s="44">
        <v>0</v>
      </c>
      <c r="P13" s="44">
        <v>0</v>
      </c>
      <c r="Q13" s="44">
        <v>5.730659025787966E-2</v>
      </c>
      <c r="R13" s="44">
        <v>0</v>
      </c>
      <c r="S13" s="44">
        <v>0</v>
      </c>
      <c r="T13" s="44">
        <v>0</v>
      </c>
      <c r="U13" s="44">
        <v>5.614497018508479E-2</v>
      </c>
      <c r="V13" s="44">
        <v>0.44242236505846827</v>
      </c>
      <c r="W13" s="44">
        <v>1.4326647564469915E-2</v>
      </c>
      <c r="X13" s="44">
        <v>0</v>
      </c>
      <c r="Y13" s="46">
        <v>0</v>
      </c>
      <c r="Z13" s="43">
        <v>0.34097421203438394</v>
      </c>
      <c r="AA13" s="28">
        <v>0</v>
      </c>
      <c r="AB13" s="47">
        <f t="shared" si="0"/>
        <v>8.882521489971347E-2</v>
      </c>
    </row>
    <row r="14" spans="1:28" x14ac:dyDescent="0.3">
      <c r="A14" t="s">
        <v>68</v>
      </c>
      <c r="B14" s="13">
        <v>1994</v>
      </c>
      <c r="C14" s="42">
        <v>298</v>
      </c>
      <c r="D14" s="43">
        <v>6.7114093959731542E-3</v>
      </c>
      <c r="E14" s="44">
        <v>0</v>
      </c>
      <c r="F14" s="44">
        <v>0</v>
      </c>
      <c r="G14" s="45">
        <v>0</v>
      </c>
      <c r="H14" s="44">
        <v>2.0134228187919462E-2</v>
      </c>
      <c r="I14" s="46">
        <v>0</v>
      </c>
      <c r="J14" s="43">
        <v>1.3422818791946308E-2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7.829977628635347E-3</v>
      </c>
      <c r="R14" s="44">
        <v>0</v>
      </c>
      <c r="S14" s="44">
        <v>1.5659955257270694E-2</v>
      </c>
      <c r="T14" s="44">
        <v>0</v>
      </c>
      <c r="U14" s="44">
        <v>3.2050404054239146E-2</v>
      </c>
      <c r="V14" s="44">
        <v>0.22969456238871386</v>
      </c>
      <c r="W14" s="44">
        <v>0</v>
      </c>
      <c r="X14" s="44">
        <v>0</v>
      </c>
      <c r="Y14" s="46">
        <v>3.3557046979865771E-3</v>
      </c>
      <c r="Z14" s="43">
        <v>0.67114093959731547</v>
      </c>
      <c r="AA14" s="28">
        <v>0</v>
      </c>
      <c r="AB14" s="47">
        <f t="shared" si="0"/>
        <v>3.3557046979865772E-2</v>
      </c>
    </row>
    <row r="15" spans="1:28" x14ac:dyDescent="0.3">
      <c r="A15" t="s">
        <v>68</v>
      </c>
      <c r="B15" s="13">
        <v>1995</v>
      </c>
      <c r="C15" s="42">
        <v>535</v>
      </c>
      <c r="D15" s="43">
        <v>0</v>
      </c>
      <c r="E15" s="44">
        <v>0</v>
      </c>
      <c r="F15" s="44">
        <v>7.4766355140186919E-3</v>
      </c>
      <c r="G15" s="45">
        <v>0</v>
      </c>
      <c r="H15" s="44">
        <v>1.4953271028037384E-2</v>
      </c>
      <c r="I15" s="46">
        <v>0</v>
      </c>
      <c r="J15" s="43">
        <v>4.1121495327102804E-2</v>
      </c>
      <c r="K15" s="44">
        <v>0</v>
      </c>
      <c r="L15" s="44">
        <v>1.4953271028037384E-2</v>
      </c>
      <c r="M15" s="44">
        <v>0</v>
      </c>
      <c r="N15" s="44">
        <v>0</v>
      </c>
      <c r="O15" s="44">
        <v>2.0560747663551402E-2</v>
      </c>
      <c r="P15" s="44">
        <v>0</v>
      </c>
      <c r="Q15" s="44">
        <v>2.9906542056074768E-2</v>
      </c>
      <c r="R15" s="44">
        <v>0</v>
      </c>
      <c r="S15" s="44">
        <v>0</v>
      </c>
      <c r="T15" s="44">
        <v>0</v>
      </c>
      <c r="U15" s="44">
        <v>3.2862421212779831E-2</v>
      </c>
      <c r="V15" s="44">
        <v>0.16900673766572485</v>
      </c>
      <c r="W15" s="44">
        <v>3.7383177570093459E-3</v>
      </c>
      <c r="X15" s="44">
        <v>0</v>
      </c>
      <c r="Y15" s="46">
        <v>1.4953271028037384E-2</v>
      </c>
      <c r="Z15" s="43">
        <v>0.6504672897196262</v>
      </c>
      <c r="AA15" s="28">
        <v>0</v>
      </c>
      <c r="AB15" s="47">
        <f t="shared" si="0"/>
        <v>9.9065420560747658E-2</v>
      </c>
    </row>
    <row r="16" spans="1:28" x14ac:dyDescent="0.3">
      <c r="A16" t="s">
        <v>68</v>
      </c>
      <c r="B16" s="13">
        <v>1996</v>
      </c>
      <c r="C16" s="42">
        <v>360</v>
      </c>
      <c r="D16" s="43">
        <v>0</v>
      </c>
      <c r="E16" s="44">
        <v>0</v>
      </c>
      <c r="F16" s="44">
        <v>5.5555555555555558E-3</v>
      </c>
      <c r="G16" s="45">
        <v>0</v>
      </c>
      <c r="H16" s="44">
        <v>2.7777777777777779E-3</v>
      </c>
      <c r="I16" s="46">
        <v>0</v>
      </c>
      <c r="J16" s="43">
        <v>5.8333333333333334E-2</v>
      </c>
      <c r="K16" s="44">
        <v>1.1111111111111112E-2</v>
      </c>
      <c r="L16" s="44">
        <v>0</v>
      </c>
      <c r="M16" s="44">
        <v>0</v>
      </c>
      <c r="N16" s="44">
        <v>0</v>
      </c>
      <c r="O16" s="44">
        <v>5.5555555555555558E-3</v>
      </c>
      <c r="P16" s="44">
        <v>0</v>
      </c>
      <c r="Q16" s="44">
        <v>4.4444444444444446E-2</v>
      </c>
      <c r="R16" s="44">
        <v>0</v>
      </c>
      <c r="S16" s="44">
        <v>0</v>
      </c>
      <c r="T16" s="44">
        <v>0</v>
      </c>
      <c r="U16" s="44">
        <v>4.8245614035087717E-2</v>
      </c>
      <c r="V16" s="44">
        <v>0.31842105263157894</v>
      </c>
      <c r="W16" s="44">
        <v>0</v>
      </c>
      <c r="X16" s="44">
        <v>0</v>
      </c>
      <c r="Y16" s="46">
        <v>1.6666666666666666E-2</v>
      </c>
      <c r="Z16" s="43">
        <v>0.48888888888888887</v>
      </c>
      <c r="AA16" s="28">
        <v>0</v>
      </c>
      <c r="AB16" s="47">
        <f t="shared" si="0"/>
        <v>8.3333333333333329E-2</v>
      </c>
    </row>
    <row r="17" spans="1:28" x14ac:dyDescent="0.3">
      <c r="A17" t="s">
        <v>68</v>
      </c>
      <c r="B17" s="13">
        <v>1997</v>
      </c>
      <c r="C17" s="42">
        <v>325</v>
      </c>
      <c r="D17" s="43">
        <v>0</v>
      </c>
      <c r="E17" s="44">
        <v>0</v>
      </c>
      <c r="F17" s="44">
        <v>0</v>
      </c>
      <c r="G17" s="45">
        <v>0</v>
      </c>
      <c r="H17" s="44">
        <v>6.1538461538461538E-3</v>
      </c>
      <c r="I17" s="46">
        <v>3.0769230769230769E-3</v>
      </c>
      <c r="J17" s="43">
        <v>6.7692307692307691E-2</v>
      </c>
      <c r="K17" s="44">
        <v>0</v>
      </c>
      <c r="L17" s="44">
        <v>0</v>
      </c>
      <c r="M17" s="44">
        <v>0</v>
      </c>
      <c r="N17" s="44">
        <v>0</v>
      </c>
      <c r="O17" s="44">
        <v>2.1538461538461538E-2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4.4162895927601808E-2</v>
      </c>
      <c r="V17" s="44">
        <v>0.33122171945701356</v>
      </c>
      <c r="W17" s="44">
        <v>1.2307692307692308E-2</v>
      </c>
      <c r="X17" s="44">
        <v>1.2307692307692308E-2</v>
      </c>
      <c r="Y17" s="46">
        <v>0</v>
      </c>
      <c r="Z17" s="43">
        <v>0.50153846153846149</v>
      </c>
      <c r="AA17" s="28">
        <v>0</v>
      </c>
      <c r="AB17" s="47">
        <f t="shared" si="0"/>
        <v>9.8461538461538461E-2</v>
      </c>
    </row>
    <row r="18" spans="1:28" x14ac:dyDescent="0.3">
      <c r="A18" t="s">
        <v>68</v>
      </c>
      <c r="B18" s="13">
        <v>1998</v>
      </c>
      <c r="C18" s="42">
        <v>230</v>
      </c>
      <c r="D18" s="43">
        <v>0</v>
      </c>
      <c r="E18" s="44">
        <v>0</v>
      </c>
      <c r="F18" s="44">
        <v>0</v>
      </c>
      <c r="G18" s="45">
        <v>0</v>
      </c>
      <c r="H18" s="44">
        <v>0</v>
      </c>
      <c r="I18" s="46">
        <v>0</v>
      </c>
      <c r="J18" s="43">
        <v>5.6521739130434782E-2</v>
      </c>
      <c r="K18" s="44">
        <v>0</v>
      </c>
      <c r="L18" s="44">
        <v>2.1739130434782608E-2</v>
      </c>
      <c r="M18" s="44">
        <v>0</v>
      </c>
      <c r="N18" s="44">
        <v>0</v>
      </c>
      <c r="O18" s="44">
        <v>0</v>
      </c>
      <c r="P18" s="44">
        <v>0</v>
      </c>
      <c r="Q18" s="44">
        <v>7.3913043478260873E-2</v>
      </c>
      <c r="R18" s="44">
        <v>0</v>
      </c>
      <c r="S18" s="44">
        <v>0</v>
      </c>
      <c r="T18" s="44">
        <v>0</v>
      </c>
      <c r="U18" s="44">
        <v>2.8654570352618966E-2</v>
      </c>
      <c r="V18" s="44">
        <v>0.37569325573433759</v>
      </c>
      <c r="W18" s="44">
        <v>0</v>
      </c>
      <c r="X18" s="44">
        <v>0</v>
      </c>
      <c r="Y18" s="46">
        <v>0</v>
      </c>
      <c r="Z18" s="43">
        <v>0.44347826086956521</v>
      </c>
      <c r="AA18" s="28">
        <v>0</v>
      </c>
      <c r="AB18" s="47">
        <f t="shared" si="0"/>
        <v>7.8260869565217384E-2</v>
      </c>
    </row>
    <row r="19" spans="1:28" x14ac:dyDescent="0.3">
      <c r="A19" t="s">
        <v>68</v>
      </c>
      <c r="B19" s="30">
        <v>1999</v>
      </c>
      <c r="C19" s="48"/>
      <c r="D19" s="49"/>
      <c r="E19" s="50"/>
      <c r="F19" s="50"/>
      <c r="G19" s="51"/>
      <c r="H19" s="50"/>
      <c r="I19" s="52"/>
      <c r="J19" s="49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2"/>
      <c r="Z19" s="49"/>
      <c r="AA19" s="29"/>
      <c r="AB19" s="53"/>
    </row>
    <row r="20" spans="1:28" x14ac:dyDescent="0.3">
      <c r="A20" t="s">
        <v>68</v>
      </c>
      <c r="B20" s="30">
        <v>2000</v>
      </c>
      <c r="C20" s="48"/>
      <c r="D20" s="49"/>
      <c r="E20" s="50"/>
      <c r="F20" s="50"/>
      <c r="G20" s="51"/>
      <c r="H20" s="50"/>
      <c r="I20" s="52"/>
      <c r="J20" s="49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2"/>
      <c r="Z20" s="49"/>
      <c r="AA20" s="29"/>
      <c r="AB20" s="53"/>
    </row>
    <row r="21" spans="1:28" x14ac:dyDescent="0.3">
      <c r="A21" t="s">
        <v>68</v>
      </c>
      <c r="B21" s="13">
        <v>2001</v>
      </c>
      <c r="C21" s="42">
        <v>312</v>
      </c>
      <c r="D21" s="43">
        <v>0</v>
      </c>
      <c r="E21" s="44">
        <v>0</v>
      </c>
      <c r="F21" s="44">
        <v>9.6153846153846159E-3</v>
      </c>
      <c r="G21" s="45">
        <v>0</v>
      </c>
      <c r="H21" s="44">
        <v>1.9230769230769232E-2</v>
      </c>
      <c r="I21" s="46">
        <v>0</v>
      </c>
      <c r="J21" s="43">
        <v>8.6538461538461536E-2</v>
      </c>
      <c r="K21" s="44">
        <v>9.6153846153846159E-3</v>
      </c>
      <c r="L21" s="44">
        <v>6.0897435897435896E-2</v>
      </c>
      <c r="M21" s="44">
        <v>0</v>
      </c>
      <c r="N21" s="44">
        <v>0</v>
      </c>
      <c r="O21" s="44">
        <v>0</v>
      </c>
      <c r="P21" s="44">
        <v>0</v>
      </c>
      <c r="Q21" s="44">
        <v>2.8846153846153848E-2</v>
      </c>
      <c r="R21" s="44">
        <v>0</v>
      </c>
      <c r="S21" s="44">
        <v>0</v>
      </c>
      <c r="T21" s="44">
        <v>0</v>
      </c>
      <c r="U21" s="44">
        <v>5.6077694235588976E-2</v>
      </c>
      <c r="V21" s="44">
        <v>0.51764025448235973</v>
      </c>
      <c r="W21" s="44">
        <v>3.205128205128205E-3</v>
      </c>
      <c r="X21" s="44">
        <v>0</v>
      </c>
      <c r="Y21" s="46">
        <v>0</v>
      </c>
      <c r="Z21" s="43">
        <v>0.20833333333333334</v>
      </c>
      <c r="AA21" s="28">
        <v>0</v>
      </c>
      <c r="AB21" s="47">
        <f t="shared" si="0"/>
        <v>0.1858974358974359</v>
      </c>
    </row>
    <row r="22" spans="1:28" x14ac:dyDescent="0.3">
      <c r="A22" t="s">
        <v>68</v>
      </c>
      <c r="B22" s="13">
        <v>2002</v>
      </c>
      <c r="C22" s="42">
        <v>135</v>
      </c>
      <c r="D22" s="43">
        <v>0</v>
      </c>
      <c r="E22" s="44">
        <v>0</v>
      </c>
      <c r="F22" s="44">
        <v>0.12592592592592591</v>
      </c>
      <c r="G22" s="45">
        <v>0</v>
      </c>
      <c r="H22" s="44">
        <v>0.1111111111111111</v>
      </c>
      <c r="I22" s="46">
        <v>0</v>
      </c>
      <c r="J22" s="43">
        <v>0.11851851851851852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2.5490196078431376E-2</v>
      </c>
      <c r="V22" s="44">
        <v>0.16710239651416123</v>
      </c>
      <c r="W22" s="44">
        <v>3.7037037037037035E-2</v>
      </c>
      <c r="X22" s="44">
        <v>0</v>
      </c>
      <c r="Y22" s="46">
        <v>0</v>
      </c>
      <c r="Z22" s="43">
        <v>0.4148148148148148</v>
      </c>
      <c r="AA22" s="28">
        <v>0</v>
      </c>
      <c r="AB22" s="47">
        <f t="shared" si="0"/>
        <v>0.35555555555555551</v>
      </c>
    </row>
    <row r="23" spans="1:28" x14ac:dyDescent="0.3">
      <c r="A23" t="s">
        <v>68</v>
      </c>
      <c r="B23" s="13">
        <v>2003</v>
      </c>
      <c r="C23" s="42">
        <v>152</v>
      </c>
      <c r="D23" s="43">
        <v>0</v>
      </c>
      <c r="E23" s="44">
        <v>0</v>
      </c>
      <c r="F23" s="44">
        <v>5.2631578947368418E-2</v>
      </c>
      <c r="G23" s="45">
        <v>0</v>
      </c>
      <c r="H23" s="44">
        <v>0</v>
      </c>
      <c r="I23" s="46">
        <v>7.2368421052631582E-2</v>
      </c>
      <c r="J23" s="43">
        <v>0.125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9.3911248710010331E-2</v>
      </c>
      <c r="V23" s="44">
        <v>0.50477296181630538</v>
      </c>
      <c r="W23" s="44">
        <v>0</v>
      </c>
      <c r="X23" s="44">
        <v>0</v>
      </c>
      <c r="Y23" s="46">
        <v>0</v>
      </c>
      <c r="Z23" s="43">
        <v>0.15131578947368421</v>
      </c>
      <c r="AA23" s="28">
        <v>0</v>
      </c>
      <c r="AB23" s="47">
        <f t="shared" si="0"/>
        <v>0.25</v>
      </c>
    </row>
    <row r="24" spans="1:28" x14ac:dyDescent="0.3">
      <c r="A24" t="s">
        <v>68</v>
      </c>
      <c r="B24" s="30">
        <v>2004</v>
      </c>
      <c r="C24" s="48"/>
      <c r="D24" s="49"/>
      <c r="E24" s="50"/>
      <c r="F24" s="50"/>
      <c r="G24" s="51"/>
      <c r="H24" s="50"/>
      <c r="I24" s="52"/>
      <c r="J24" s="49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2"/>
      <c r="Z24" s="49"/>
      <c r="AA24" s="29"/>
      <c r="AB24" s="53"/>
    </row>
    <row r="25" spans="1:28" x14ac:dyDescent="0.3">
      <c r="A25" t="s">
        <v>68</v>
      </c>
      <c r="B25" s="13">
        <v>2005</v>
      </c>
      <c r="C25" s="42">
        <v>224</v>
      </c>
      <c r="D25" s="43">
        <v>0</v>
      </c>
      <c r="E25" s="44">
        <v>0</v>
      </c>
      <c r="F25" s="44">
        <v>4.0178571428571432E-2</v>
      </c>
      <c r="G25" s="45">
        <v>0</v>
      </c>
      <c r="H25" s="44">
        <v>4.464285714285714E-3</v>
      </c>
      <c r="I25" s="46">
        <v>0</v>
      </c>
      <c r="J25" s="43">
        <v>2.2321428571428572E-2</v>
      </c>
      <c r="K25" s="44">
        <v>0</v>
      </c>
      <c r="L25" s="44">
        <v>1.7857142857142856E-2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7.1428571428571425E-2</v>
      </c>
      <c r="T25" s="44">
        <v>0</v>
      </c>
      <c r="U25" s="44">
        <v>1.0730668414154652E-2</v>
      </c>
      <c r="V25" s="44">
        <v>0.57409076015727389</v>
      </c>
      <c r="W25" s="44">
        <v>0</v>
      </c>
      <c r="X25" s="44">
        <v>0</v>
      </c>
      <c r="Y25" s="46">
        <v>8.9285714285714281E-3</v>
      </c>
      <c r="Z25" s="43">
        <v>0.25</v>
      </c>
      <c r="AA25" s="28">
        <v>0</v>
      </c>
      <c r="AB25" s="47">
        <f t="shared" si="0"/>
        <v>8.4821428571428575E-2</v>
      </c>
    </row>
    <row r="26" spans="1:28" ht="15" thickBot="1" x14ac:dyDescent="0.35">
      <c r="A26" t="s">
        <v>68</v>
      </c>
      <c r="B26" s="4">
        <v>2006</v>
      </c>
      <c r="C26" s="54">
        <v>90</v>
      </c>
      <c r="D26" s="55">
        <v>0</v>
      </c>
      <c r="E26" s="56">
        <v>0</v>
      </c>
      <c r="F26" s="56">
        <v>0</v>
      </c>
      <c r="G26" s="57">
        <v>0</v>
      </c>
      <c r="H26" s="56">
        <v>8.8888888888888892E-2</v>
      </c>
      <c r="I26" s="58">
        <v>0</v>
      </c>
      <c r="J26" s="55">
        <v>4.4444444444444446E-2</v>
      </c>
      <c r="K26" s="56">
        <v>0</v>
      </c>
      <c r="L26" s="56">
        <v>2.2222222222222223E-2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8.6419753086419762E-3</v>
      </c>
      <c r="V26" s="56">
        <v>0.30246913580246915</v>
      </c>
      <c r="W26" s="56">
        <v>1.1111111111111112E-2</v>
      </c>
      <c r="X26" s="56">
        <v>0</v>
      </c>
      <c r="Y26" s="58">
        <v>0</v>
      </c>
      <c r="Z26" s="55">
        <v>0.52222222222222225</v>
      </c>
      <c r="AA26" s="59">
        <v>0</v>
      </c>
      <c r="AB26" s="60">
        <f t="shared" si="0"/>
        <v>0.15555555555555556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Chilliwack (CHI)</vt:lpstr>
      <vt:lpstr>Harrison (HAR)</vt:lpstr>
      <vt:lpstr>Nicola (NIC)</vt:lpstr>
      <vt:lpstr>Lower Shuswap (SHU)</vt:lpstr>
      <vt:lpstr>Middle Shuswap (MSH)</vt:lpstr>
      <vt:lpstr>Dome (DOM)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Pontbriand, Tommy (DFO/MPO)</dc:creator>
  <cp:lastModifiedBy>Freshwater, Cameron (DFO/MPO)</cp:lastModifiedBy>
  <dcterms:created xsi:type="dcterms:W3CDTF">2025-05-14T17:25:23Z</dcterms:created>
  <dcterms:modified xsi:type="dcterms:W3CDTF">2025-07-09T20:47:03Z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2025-07-09T20:39:38Z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0ee699d4-cc5d-4d42-979e-797f127c3dff</vt:lpwstr>
  </property>
  <property fmtid="{D5CDD505-2E9C-101B-9397-08002B2CF9AE}" pid="8" name="MSIP_Label_4e6cdb53-fd15-486d-84de-c510e3a62203_ContentBits">
    <vt:lpwstr>1</vt:lpwstr>
  </property>
</Properties>
</file>