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ILEYCO\Documents\GitHub\FIA-CN-FSRR-FSAR\data\"/>
    </mc:Choice>
  </mc:AlternateContent>
  <xr:revisionPtr revIDLastSave="0" documentId="8_{5E28D1B5-D6A9-495D-9B71-DD8883403434}" xr6:coauthVersionLast="47" xr6:coauthVersionMax="47" xr10:uidLastSave="{00000000-0000-0000-0000-000000000000}"/>
  <bookViews>
    <workbookView xWindow="28680" yWindow="-2115" windowWidth="29040" windowHeight="15720" xr2:uid="{21A06C8A-58B8-4B2D-AE74-87E4B1425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<sst xmlns="http://schemas.openxmlformats.org/spreadsheetml/2006/main" count="73" uniqueCount="42">
  <si>
    <t>Klukshu River-Alsek Trib</t>
  </si>
  <si>
    <t>Chickamin</t>
  </si>
  <si>
    <t>Chena</t>
  </si>
  <si>
    <t>Salcha</t>
  </si>
  <si>
    <t>Upper Columbia-Spring-run</t>
  </si>
  <si>
    <t>Stikine</t>
  </si>
  <si>
    <t>Skeena Aggregate</t>
  </si>
  <si>
    <t>Copper (near Chutina)</t>
  </si>
  <si>
    <t>E.F. Andreafsky</t>
  </si>
  <si>
    <t>Kogrukluk</t>
  </si>
  <si>
    <t>Yukon (in canada)</t>
  </si>
  <si>
    <t>Nelson</t>
  </si>
  <si>
    <t>King Salmon</t>
  </si>
  <si>
    <t>Unuk</t>
  </si>
  <si>
    <t>Nicola</t>
  </si>
  <si>
    <t xml:space="preserve">Andrew </t>
  </si>
  <si>
    <t xml:space="preserve">Blossom </t>
  </si>
  <si>
    <t xml:space="preserve">Keta </t>
  </si>
  <si>
    <t xml:space="preserve">Taku </t>
  </si>
  <si>
    <t>Stream-type</t>
  </si>
  <si>
    <t>Cowichan</t>
  </si>
  <si>
    <t>Nehalem</t>
  </si>
  <si>
    <t>Siletz</t>
  </si>
  <si>
    <t>Siuslaw</t>
  </si>
  <si>
    <t>Lewis R. Falls</t>
  </si>
  <si>
    <t>Harrison</t>
  </si>
  <si>
    <t>Queets</t>
  </si>
  <si>
    <t>Chehalis</t>
  </si>
  <si>
    <t>Humptulips</t>
  </si>
  <si>
    <t>Quilayute</t>
  </si>
  <si>
    <t>Skagit</t>
  </si>
  <si>
    <t>Situk River</t>
  </si>
  <si>
    <t>Deschutes</t>
  </si>
  <si>
    <t>Lower Shuswap</t>
  </si>
  <si>
    <t>ocean-type</t>
  </si>
  <si>
    <t>alpha</t>
  </si>
  <si>
    <t>srep</t>
  </si>
  <si>
    <t>smsy</t>
  </si>
  <si>
    <t>w_area</t>
  </si>
  <si>
    <t>l_hist</t>
  </si>
  <si>
    <t>stock</t>
  </si>
  <si>
    <t>smax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</si>
</sst>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1" fontId="1" fillId="0" borderId="0" xfId="0" applyNumberFormat="1" applyFont="1" applyFill="1"/>
    <xf numFmtId="16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4E08-F1F7-4574-AABD-8FD9F9604D82}">
  <dimension ref="A1:G34"/>
  <sheetViews>
    <sheetView tabSelected="1" zoomScaleNormal="100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1" max="1" width="25.85546875" style="1" bestFit="1" customWidth="1"/>
    <col min="2" max="2" width="12" style="1" bestFit="1" customWidth="1"/>
    <col min="3" max="3" width="24.5703125" style="1" bestFit="1" customWidth="1"/>
    <col min="4" max="5" width="9.140625" style="1"/>
    <col min="6" max="6" width="13.7109375" style="1" bestFit="1" customWidth="1"/>
    <col min="7" max="7" width="9.5703125" style="2" bestFit="1" customWidth="1"/>
    <col min="8" max="16384" width="9.140625" style="1"/>
  </cols>
  <sheetData>
    <row r="1" spans="1:7" x14ac:dyDescent="0.25">
      <c r="A1" s="1" t="s">
        <v>40</v>
      </c>
      <c r="B1" s="1" t="s">
        <v>39</v>
      </c>
      <c r="C1" s="1" t="s">
        <v>38</v>
      </c>
      <c r="D1" s="1" t="s">
        <v>37</v>
      </c>
      <c r="E1" s="1" t="s">
        <v>36</v>
      </c>
      <c r="F1" s="1" t="s">
        <v>35</v>
      </c>
      <c r="G1" s="2" t="s">
        <v>41</v>
      </c>
    </row>
    <row r="2" spans="1:7" x14ac:dyDescent="0.25">
      <c r="A2" s="1" t="s">
        <v>12</v>
      </c>
      <c r="B2" s="1" t="s">
        <v>19</v>
      </c>
      <c r="C2" s="2">
        <v>92.980000000000047</v>
      </c>
      <c r="D2" s="2">
        <v>188</v>
      </c>
      <c r="E2" s="2">
        <v>496.00000000000017</v>
      </c>
      <c r="F2" s="1">
        <v>1.6173</v>
      </c>
      <c r="G2" s="2">
        <f>E2/F2</f>
        <v>306.68397947195956</v>
      </c>
    </row>
    <row r="3" spans="1:7" x14ac:dyDescent="0.25">
      <c r="A3" s="1" t="s">
        <v>13</v>
      </c>
      <c r="B3" s="1" t="s">
        <v>19</v>
      </c>
      <c r="C3" s="2">
        <v>1390.4282179999996</v>
      </c>
      <c r="D3" s="2">
        <v>3964.0000000000018</v>
      </c>
      <c r="E3" s="2">
        <v>9793.0000000000055</v>
      </c>
      <c r="F3" s="1">
        <v>0.33410999999999996</v>
      </c>
      <c r="G3" s="2">
        <f t="shared" ref="G3:G20" si="0">E3/F3</f>
        <v>29310.706054892122</v>
      </c>
    </row>
    <row r="4" spans="1:7" x14ac:dyDescent="0.25">
      <c r="A4" s="1" t="s">
        <v>14</v>
      </c>
      <c r="B4" s="1" t="s">
        <v>19</v>
      </c>
      <c r="C4" s="2">
        <v>4521.0000000000027</v>
      </c>
      <c r="D4" s="2">
        <v>1905.9999999999995</v>
      </c>
      <c r="E4" s="2">
        <v>4168.9999999999964</v>
      </c>
      <c r="F4" s="1">
        <v>0.68240630000000002</v>
      </c>
      <c r="G4" s="2">
        <f t="shared" si="0"/>
        <v>6109.2636454264803</v>
      </c>
    </row>
    <row r="5" spans="1:7" x14ac:dyDescent="0.25">
      <c r="A5" s="1" t="s">
        <v>15</v>
      </c>
      <c r="B5" s="1" t="s">
        <v>19</v>
      </c>
      <c r="C5" s="2">
        <v>126.38999999999996</v>
      </c>
      <c r="D5" s="2">
        <v>707.00000000000023</v>
      </c>
      <c r="E5" s="2">
        <v>1931.9999999999995</v>
      </c>
      <c r="F5" s="1">
        <v>1.8134999999999999</v>
      </c>
      <c r="G5" s="2">
        <f t="shared" si="0"/>
        <v>1065.3432588916457</v>
      </c>
    </row>
    <row r="6" spans="1:7" x14ac:dyDescent="0.25">
      <c r="A6" s="1" t="s">
        <v>16</v>
      </c>
      <c r="B6" s="1" t="s">
        <v>19</v>
      </c>
      <c r="C6" s="2">
        <v>176.38</v>
      </c>
      <c r="D6" s="2">
        <v>1182.0000000000005</v>
      </c>
      <c r="E6" s="2">
        <v>2949.0000000000005</v>
      </c>
      <c r="F6" s="1">
        <v>1.3194999999999999</v>
      </c>
      <c r="G6" s="2">
        <f t="shared" si="0"/>
        <v>2234.9374763167871</v>
      </c>
    </row>
    <row r="7" spans="1:7" x14ac:dyDescent="0.25">
      <c r="A7" s="1" t="s">
        <v>17</v>
      </c>
      <c r="B7" s="1" t="s">
        <v>19</v>
      </c>
      <c r="C7" s="2">
        <v>192.17000000000004</v>
      </c>
      <c r="D7" s="2">
        <v>974</v>
      </c>
      <c r="E7" s="2">
        <v>2400.0000000000005</v>
      </c>
      <c r="F7" s="1">
        <v>1.2044999999999999</v>
      </c>
      <c r="G7" s="2">
        <f t="shared" si="0"/>
        <v>1992.5280199252807</v>
      </c>
    </row>
    <row r="8" spans="1:7" x14ac:dyDescent="0.25">
      <c r="A8" s="1" t="s">
        <v>0</v>
      </c>
      <c r="B8" s="1" t="s">
        <v>19</v>
      </c>
      <c r="C8" s="2">
        <v>252.62999999999991</v>
      </c>
      <c r="D8" s="2">
        <v>999.00000000000034</v>
      </c>
      <c r="E8" s="2">
        <v>2589.9999999999995</v>
      </c>
      <c r="F8" s="1">
        <v>2.0611999999999999</v>
      </c>
      <c r="G8" s="2">
        <f t="shared" si="0"/>
        <v>1256.5495827673199</v>
      </c>
    </row>
    <row r="9" spans="1:7" x14ac:dyDescent="0.25">
      <c r="A9" s="1" t="s">
        <v>1</v>
      </c>
      <c r="B9" s="1" t="s">
        <v>19</v>
      </c>
      <c r="C9" s="2">
        <v>1047.0196249999995</v>
      </c>
      <c r="D9" s="2">
        <v>2245.9999999999995</v>
      </c>
      <c r="E9" s="2">
        <v>6118</v>
      </c>
      <c r="F9" s="1">
        <v>1.7183999999999999</v>
      </c>
      <c r="G9" s="2">
        <f t="shared" si="0"/>
        <v>3560.2886405959034</v>
      </c>
    </row>
    <row r="10" spans="1:7" x14ac:dyDescent="0.25">
      <c r="A10" s="1" t="s">
        <v>2</v>
      </c>
      <c r="B10" s="1" t="s">
        <v>19</v>
      </c>
      <c r="C10" s="2">
        <v>4514.5199999999977</v>
      </c>
      <c r="D10" s="2">
        <v>3672.2503268351106</v>
      </c>
      <c r="E10" s="2">
        <v>10945.979854998406</v>
      </c>
      <c r="F10" s="1">
        <v>2.1291792885766605</v>
      </c>
      <c r="G10" s="2">
        <f t="shared" si="0"/>
        <v>5140.9385361416453</v>
      </c>
    </row>
    <row r="11" spans="1:7" x14ac:dyDescent="0.25">
      <c r="A11" s="1" t="s">
        <v>3</v>
      </c>
      <c r="B11" s="1" t="s">
        <v>19</v>
      </c>
      <c r="C11" s="2">
        <v>5620.1740000000036</v>
      </c>
      <c r="D11" s="2">
        <v>4671.7140275359934</v>
      </c>
      <c r="E11" s="2">
        <v>13817.15871740217</v>
      </c>
      <c r="F11" s="1">
        <v>2.1758750065822388</v>
      </c>
      <c r="G11" s="2">
        <f t="shared" si="0"/>
        <v>6350.1619696002244</v>
      </c>
    </row>
    <row r="12" spans="1:7" x14ac:dyDescent="0.25">
      <c r="A12" s="1" t="s">
        <v>18</v>
      </c>
      <c r="B12" s="1" t="s">
        <v>19</v>
      </c>
      <c r="C12" s="2">
        <v>17093.920000000006</v>
      </c>
      <c r="D12" s="2">
        <v>29020.000000000007</v>
      </c>
      <c r="E12" s="2">
        <v>70335.379707887143</v>
      </c>
      <c r="F12" s="1">
        <v>1.2828497675795052</v>
      </c>
      <c r="G12" s="2">
        <f t="shared" si="0"/>
        <v>54827.448611224914</v>
      </c>
    </row>
    <row r="13" spans="1:7" x14ac:dyDescent="0.25">
      <c r="A13" s="1" t="s">
        <v>4</v>
      </c>
      <c r="B13" s="1" t="s">
        <v>19</v>
      </c>
      <c r="C13" s="2">
        <v>114434.4099999999</v>
      </c>
      <c r="D13" s="2">
        <v>49150.000000000007</v>
      </c>
      <c r="E13" s="2">
        <v>138254.81743754298</v>
      </c>
      <c r="F13" s="1">
        <v>1.9992000000000001</v>
      </c>
      <c r="G13" s="2">
        <f t="shared" si="0"/>
        <v>69155.07074707032</v>
      </c>
    </row>
    <row r="14" spans="1:7" x14ac:dyDescent="0.25">
      <c r="A14" s="1" t="s">
        <v>5</v>
      </c>
      <c r="B14" s="1" t="s">
        <v>19</v>
      </c>
      <c r="C14" s="2">
        <v>15336.999999999987</v>
      </c>
      <c r="D14" s="2">
        <v>17800.000000000007</v>
      </c>
      <c r="E14" s="2">
        <v>42120.682018387255</v>
      </c>
      <c r="F14" s="1">
        <v>0.99813799999999986</v>
      </c>
      <c r="G14" s="2">
        <f t="shared" si="0"/>
        <v>42199.257034986404</v>
      </c>
    </row>
    <row r="15" spans="1:7" x14ac:dyDescent="0.25">
      <c r="A15" s="1" t="s">
        <v>6</v>
      </c>
      <c r="B15" s="1" t="s">
        <v>19</v>
      </c>
      <c r="C15" s="2">
        <v>52922.780000000006</v>
      </c>
      <c r="D15" s="2">
        <v>39816.999999999985</v>
      </c>
      <c r="E15" s="2">
        <v>116414.26072316794</v>
      </c>
      <c r="F15" s="1">
        <v>1.4644040042664788</v>
      </c>
      <c r="G15" s="2">
        <f t="shared" si="0"/>
        <v>79495.999999999971</v>
      </c>
    </row>
    <row r="16" spans="1:7" x14ac:dyDescent="0.25">
      <c r="A16" s="1" t="s">
        <v>7</v>
      </c>
      <c r="B16" s="1" t="s">
        <v>19</v>
      </c>
      <c r="C16" s="2">
        <v>53794.053099999961</v>
      </c>
      <c r="D16" s="2">
        <v>26951.000000000022</v>
      </c>
      <c r="E16" s="2">
        <v>66807.999999999956</v>
      </c>
      <c r="F16" s="1">
        <v>1.3262528856467821</v>
      </c>
      <c r="G16" s="2">
        <f t="shared" si="0"/>
        <v>50373.500199714385</v>
      </c>
    </row>
    <row r="17" spans="1:7" x14ac:dyDescent="0.25">
      <c r="A17" s="1" t="s">
        <v>8</v>
      </c>
      <c r="B17" s="1" t="s">
        <v>19</v>
      </c>
      <c r="C17" s="2">
        <v>1950.0000000000005</v>
      </c>
      <c r="D17" s="2">
        <v>1701</v>
      </c>
      <c r="E17" s="2">
        <v>4494.0000000000009</v>
      </c>
      <c r="F17" s="1">
        <v>1.7350127353421665</v>
      </c>
      <c r="G17" s="2">
        <f t="shared" si="0"/>
        <v>2590.1827165053792</v>
      </c>
    </row>
    <row r="18" spans="1:7" x14ac:dyDescent="0.25">
      <c r="A18" s="1" t="s">
        <v>9</v>
      </c>
      <c r="B18" s="1" t="s">
        <v>19</v>
      </c>
      <c r="C18" s="2">
        <v>2072.9999999999995</v>
      </c>
      <c r="D18" s="2">
        <v>5252.0000000000045</v>
      </c>
      <c r="E18" s="2">
        <v>15070.000000000007</v>
      </c>
      <c r="F18" s="1">
        <v>2.1640124431301055</v>
      </c>
      <c r="G18" s="2">
        <f t="shared" si="0"/>
        <v>6963.9155947745921</v>
      </c>
    </row>
    <row r="19" spans="1:7" x14ac:dyDescent="0.25">
      <c r="A19" s="1" t="s">
        <v>10</v>
      </c>
      <c r="B19" s="1" t="s">
        <v>19</v>
      </c>
      <c r="C19" s="2">
        <v>252070.20000000024</v>
      </c>
      <c r="D19" s="2">
        <v>48442.999999999985</v>
      </c>
      <c r="E19" s="2">
        <v>146576.00000000006</v>
      </c>
      <c r="F19" s="1">
        <v>2.1106943999999999</v>
      </c>
      <c r="G19" s="2">
        <f t="shared" si="0"/>
        <v>69444.444444444482</v>
      </c>
    </row>
    <row r="20" spans="1:7" x14ac:dyDescent="0.25">
      <c r="A20" s="1" t="s">
        <v>11</v>
      </c>
      <c r="B20" s="1" t="s">
        <v>19</v>
      </c>
      <c r="C20" s="2">
        <v>2045.9999999999993</v>
      </c>
      <c r="D20" s="2">
        <v>3079.9999999999995</v>
      </c>
      <c r="E20" s="2">
        <v>7582.9999999999973</v>
      </c>
      <c r="F20" s="1">
        <v>1.4382999999999999</v>
      </c>
      <c r="G20" s="2">
        <f t="shared" si="0"/>
        <v>5272.1963429048164</v>
      </c>
    </row>
    <row r="21" spans="1:7" x14ac:dyDescent="0.25">
      <c r="A21" s="1" t="s">
        <v>20</v>
      </c>
      <c r="B21" s="1" t="s">
        <v>34</v>
      </c>
      <c r="F21" s="3">
        <v>1.6631957060072216</v>
      </c>
    </row>
    <row r="22" spans="1:7" x14ac:dyDescent="0.25">
      <c r="A22" s="1" t="s">
        <v>21</v>
      </c>
      <c r="B22" s="1" t="s">
        <v>34</v>
      </c>
      <c r="F22" s="3">
        <v>1.8785000000000001</v>
      </c>
    </row>
    <row r="23" spans="1:7" x14ac:dyDescent="0.25">
      <c r="A23" s="1" t="s">
        <v>22</v>
      </c>
      <c r="B23" s="1" t="s">
        <v>34</v>
      </c>
      <c r="F23" s="3">
        <v>2.492</v>
      </c>
    </row>
    <row r="24" spans="1:7" x14ac:dyDescent="0.25">
      <c r="A24" s="1" t="s">
        <v>23</v>
      </c>
      <c r="B24" s="1" t="s">
        <v>34</v>
      </c>
      <c r="F24" s="3">
        <v>1.5770999999999999</v>
      </c>
    </row>
    <row r="25" spans="1:7" x14ac:dyDescent="0.25">
      <c r="A25" s="1" t="s">
        <v>24</v>
      </c>
      <c r="B25" s="1" t="s">
        <v>34</v>
      </c>
      <c r="F25" s="3">
        <v>2.1892999999999998</v>
      </c>
    </row>
    <row r="26" spans="1:7" x14ac:dyDescent="0.25">
      <c r="A26" s="1" t="s">
        <v>25</v>
      </c>
      <c r="B26" s="1" t="s">
        <v>34</v>
      </c>
      <c r="F26" s="3">
        <v>1.2270810000000001</v>
      </c>
    </row>
    <row r="27" spans="1:7" x14ac:dyDescent="0.25">
      <c r="A27" s="1" t="s">
        <v>26</v>
      </c>
      <c r="B27" s="1" t="s">
        <v>34</v>
      </c>
      <c r="F27" s="3">
        <v>1.8008835017563771</v>
      </c>
    </row>
    <row r="28" spans="1:7" x14ac:dyDescent="0.25">
      <c r="A28" s="1" t="s">
        <v>27</v>
      </c>
      <c r="B28" s="1" t="s">
        <v>34</v>
      </c>
      <c r="F28" s="3">
        <v>1.74</v>
      </c>
    </row>
    <row r="29" spans="1:7" x14ac:dyDescent="0.25">
      <c r="A29" s="1" t="s">
        <v>28</v>
      </c>
      <c r="B29" s="1" t="s">
        <v>34</v>
      </c>
      <c r="F29" s="3">
        <v>2.4827985233636665</v>
      </c>
    </row>
    <row r="30" spans="1:7" x14ac:dyDescent="0.25">
      <c r="A30" s="1" t="s">
        <v>29</v>
      </c>
      <c r="B30" s="1" t="s">
        <v>34</v>
      </c>
      <c r="F30" s="3">
        <v>2.2679999999999998</v>
      </c>
    </row>
    <row r="31" spans="1:7" x14ac:dyDescent="0.25">
      <c r="A31" s="1" t="s">
        <v>30</v>
      </c>
      <c r="B31" s="1" t="s">
        <v>34</v>
      </c>
      <c r="F31" s="3">
        <v>1.7758989662023734</v>
      </c>
    </row>
    <row r="32" spans="1:7" x14ac:dyDescent="0.25">
      <c r="A32" s="1" t="s">
        <v>31</v>
      </c>
      <c r="B32" s="1" t="s">
        <v>34</v>
      </c>
      <c r="F32" s="3">
        <v>2.1547999999999998</v>
      </c>
    </row>
    <row r="33" spans="1:6" x14ac:dyDescent="0.25">
      <c r="A33" s="1" t="s">
        <v>32</v>
      </c>
      <c r="B33" s="1" t="s">
        <v>34</v>
      </c>
      <c r="F33" s="3">
        <v>1.5789787049493917</v>
      </c>
    </row>
    <row r="34" spans="1:6" x14ac:dyDescent="0.25">
      <c r="A34" s="1" t="s">
        <v>33</v>
      </c>
      <c r="B34" s="1" t="s">
        <v>34</v>
      </c>
      <c r="F34" s="1">
        <v>0.95750619999999997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Parken, Chuck (DFO/MPO)</dc:creator>
  <cp:lastModifiedBy>Bailey, Colin (DFO/MPO)</cp:lastModifiedBy>
  <dcterms:created xsi:type="dcterms:W3CDTF">2025-06-06T21:22:06Z</dcterms:created>
  <dcterms:modified xsi:type="dcterms:W3CDTF">2026-03-24T14:48:43Z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2026-03-20T22:53:42Z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d6f37304-91b4-44c7-83ca-ec6322ac8ee8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