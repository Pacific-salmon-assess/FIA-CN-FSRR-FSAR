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BAILEYCO\Documents\GitHub\FIA-CN-FSRR-FSAR\data\"/>
    </mc:Choice>
  </mc:AlternateContent>
  <xr:revisionPtr revIDLastSave="0" documentId="8_{70820D5B-1819-4B02-8CA9-CF0FFFBD79CF}" xr6:coauthVersionLast="47" xr6:coauthVersionMax="47" xr10:uidLastSave="{00000000-0000-0000-0000-000000000000}"/>
  <bookViews>
    <workbookView xWindow="-120" yWindow="-120" windowWidth="29040" windowHeight="15720" xr2:uid="{00000000-000D-0000-FFFF-FFFF00000000}"/>
  </bookViews>
  <sheets>
    <sheet name="Esc at age 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2" i="1" l="1"/>
  <c r="S22" i="1"/>
  <c r="T22" i="1"/>
  <c r="R21" i="1"/>
  <c r="S21" i="1"/>
  <c r="T21" i="1"/>
  <c r="Q22" i="1"/>
  <c r="Q21" i="1"/>
  <c r="R15" i="1"/>
  <c r="S15" i="1"/>
  <c r="T15" i="1"/>
  <c r="R14" i="1"/>
  <c r="S14" i="1"/>
  <c r="T14" i="1"/>
  <c r="Q15" i="1"/>
  <c r="Q14" i="1"/>
  <c r="F15" i="1"/>
  <c r="O13" i="1"/>
  <c r="N13" i="1"/>
  <c r="M13" i="1"/>
  <c r="L13" i="1"/>
  <c r="O12" i="1"/>
  <c r="N12" i="1"/>
  <c r="M12" i="1"/>
  <c r="L12" i="1"/>
  <c r="F11" i="1"/>
  <c r="O11" i="1" s="1"/>
  <c r="L11" i="1" l="1"/>
  <c r="O15" i="1"/>
  <c r="O14" i="1"/>
  <c r="M11" i="1"/>
  <c r="N11" i="1"/>
  <c r="F22" i="1"/>
  <c r="O20" i="1"/>
  <c r="N20" i="1"/>
  <c r="M20" i="1"/>
  <c r="L20" i="1"/>
  <c r="O19" i="1"/>
  <c r="N19" i="1"/>
  <c r="M19" i="1"/>
  <c r="L19" i="1"/>
  <c r="F18" i="1"/>
  <c r="M18" i="1" s="1"/>
  <c r="L14" i="1" l="1"/>
  <c r="L15" i="1"/>
  <c r="N14" i="1"/>
  <c r="N15" i="1"/>
  <c r="M14" i="1"/>
  <c r="M15" i="1"/>
  <c r="O18" i="1"/>
  <c r="O22" i="1" s="1"/>
  <c r="N18" i="1"/>
  <c r="N22" i="1" s="1"/>
  <c r="M21" i="1"/>
  <c r="M22" i="1"/>
  <c r="L18" i="1"/>
  <c r="O21" i="1" l="1"/>
  <c r="N21" i="1"/>
  <c r="L21" i="1"/>
  <c r="L22" i="1"/>
  <c r="F43" i="1" l="1"/>
  <c r="O41" i="1"/>
  <c r="N41" i="1"/>
  <c r="M41" i="1"/>
  <c r="L41" i="1"/>
  <c r="O40" i="1"/>
  <c r="N40" i="1"/>
  <c r="M40" i="1"/>
  <c r="L40" i="1"/>
  <c r="F39" i="1"/>
  <c r="M39" i="1" s="1"/>
  <c r="M42" i="1" l="1"/>
  <c r="R42" i="1" s="1"/>
  <c r="M43" i="1"/>
  <c r="R43" i="1" s="1"/>
  <c r="L39" i="1"/>
  <c r="N39" i="1"/>
  <c r="O39" i="1"/>
  <c r="O43" i="1" l="1"/>
  <c r="T43" i="1" s="1"/>
  <c r="O42" i="1"/>
  <c r="T42" i="1" s="1"/>
  <c r="N42" i="1"/>
  <c r="S42" i="1" s="1"/>
  <c r="N43" i="1"/>
  <c r="S43" i="1" s="1"/>
  <c r="L42" i="1"/>
  <c r="Q42" i="1" s="1"/>
  <c r="L43" i="1"/>
  <c r="Q43" i="1" s="1"/>
  <c r="F36" i="1" l="1"/>
  <c r="O34" i="1"/>
  <c r="N34" i="1"/>
  <c r="M34" i="1"/>
  <c r="L34" i="1"/>
  <c r="O33" i="1"/>
  <c r="N33" i="1"/>
  <c r="M33" i="1"/>
  <c r="L33" i="1"/>
  <c r="F32" i="1"/>
  <c r="O32" i="1" s="1"/>
  <c r="F25" i="1"/>
  <c r="O27" i="1"/>
  <c r="M27" i="1"/>
  <c r="N27" i="1"/>
  <c r="L27" i="1"/>
  <c r="O36" i="1" l="1"/>
  <c r="T36" i="1" s="1"/>
  <c r="O35" i="1"/>
  <c r="T35" i="1" s="1"/>
  <c r="M32" i="1"/>
  <c r="L32" i="1"/>
  <c r="N32" i="1"/>
  <c r="L25" i="1"/>
  <c r="L26" i="1"/>
  <c r="M26" i="1"/>
  <c r="N26" i="1"/>
  <c r="O26" i="1"/>
  <c r="F29" i="1"/>
  <c r="U9" i="1"/>
  <c r="T9" i="1"/>
  <c r="S9" i="1"/>
  <c r="R9" i="1"/>
  <c r="Q9" i="1"/>
  <c r="L29" i="1" l="1"/>
  <c r="Q29" i="1" s="1"/>
  <c r="N36" i="1"/>
  <c r="S36" i="1" s="1"/>
  <c r="N35" i="1"/>
  <c r="S35" i="1" s="1"/>
  <c r="L35" i="1"/>
  <c r="Q35" i="1" s="1"/>
  <c r="L36" i="1"/>
  <c r="Q36" i="1" s="1"/>
  <c r="M36" i="1"/>
  <c r="R36" i="1" s="1"/>
  <c r="M35" i="1"/>
  <c r="R35" i="1" s="1"/>
  <c r="M25" i="1"/>
  <c r="M29" i="1" s="1"/>
  <c r="R29" i="1" s="1"/>
  <c r="L28" i="1"/>
  <c r="Q28" i="1" s="1"/>
  <c r="O25" i="1"/>
  <c r="O29" i="1" s="1"/>
  <c r="T29" i="1" s="1"/>
  <c r="N25" i="1"/>
  <c r="M28" i="1" l="1"/>
  <c r="R28" i="1" s="1"/>
  <c r="O28" i="1"/>
  <c r="T28" i="1" s="1"/>
  <c r="N29" i="1"/>
  <c r="S29" i="1" s="1"/>
  <c r="N28" i="1"/>
  <c r="S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tc={ADC427AA-A2DB-4DAB-9DB4-A3E17346FAD6}</author>
    <author>tc={2BBD5D72-D509-44D6-80AD-E1734798B477}</author>
  </authors>
  <commentList>
    <comment ref="L10" authorId="0" shapeId="0" xr:uid="{ADC427AA-A2DB-4DAB-9DB4-A3E17346FAD6}">
      <text>
        <t>[Threaded comment]
Your version of Excel allows you to read this threaded comment; however, any edits to it will get removed if the file is opened in a newer version of Excel. Learn more: https://go.microsoft.com/fwlink/?linkid=870924
Comment:
    Manually changed this row to 0's. Original formula for this cell was:
=+(G11/(SUM($G11:$J11)))*$F11</t>
      </text>
    </comment>
    <comment ref="L38" authorId="1" shapeId="0" xr:uid="{2BBD5D72-D509-44D6-80AD-E1734798B477}">
      <text>
        <t xml:space="preserve">[Threaded comment]
Your version of Excel allows you to read this threaded comment; however, any edits to it will get removed if the file is opened in a newer version of Excel. Learn more: https://go.microsoft.com/fwlink/?linkid=870924
Comment:
    Manually changed this row to 0's. Original formula for this cell was:
=+(Gxx/(SUM($Gxx:$Jxx)))*$Fxx
Where xx is the row number
</t>
      </text>
    </comment>
  </commentList>
</comments>
</file>

<file path=xl/sharedStrings.xml><?xml version="1.0" encoding="utf-8"?>
<sst xmlns="http://schemas.openxmlformats.org/spreadsheetml/2006/main" count="145" uniqueCount="33">
  <si>
    <t>Stuff in blue is calculated, but will change when real data is added</t>
  </si>
  <si>
    <t>WHAT YEAR DID PETERSEN TAG START</t>
  </si>
  <si>
    <t>Green are CWT ages</t>
  </si>
  <si>
    <t>Hatchery Unclipped - Use Unclipped Petersen Tag results since Brood is collected at the same time with the same methods as tags applied. Use Pooled Average of Unclipped Tagged and No Tagged if few (n&lt;20) or No Tagged Samples.</t>
  </si>
  <si>
    <t>I have not added calculations for precision or to correct scale aging error</t>
  </si>
  <si>
    <t xml:space="preserve">When copying and pasting last year for new year, double check that correct formulas are being copied over, as opposed to manually entered 0s (also Check Hatchery Unclipped method). </t>
  </si>
  <si>
    <t>The sum of age counts (columns k:n) for each row should equal the value in column F for that row. Confirm this is the case. Can start with the grand total row (River&amp;Hatchery); if the values don't match, examine the other rows above to find the discrepancy.</t>
  </si>
  <si>
    <t>Age Samples from Scales or CWTs (only for AFC strata)</t>
  </si>
  <si>
    <t>Uncorrected Escapement by Age and Stratum</t>
  </si>
  <si>
    <t>Location</t>
  </si>
  <si>
    <t>Stratum</t>
  </si>
  <si>
    <t>AFC Status</t>
  </si>
  <si>
    <t>Petersen Tagged</t>
  </si>
  <si>
    <t>Year</t>
  </si>
  <si>
    <t>Stratum Estimate</t>
  </si>
  <si>
    <t>Age-2</t>
  </si>
  <si>
    <t>Age-3</t>
  </si>
  <si>
    <t>Age-4</t>
  </si>
  <si>
    <t>Age-5</t>
  </si>
  <si>
    <t>Age-6</t>
  </si>
  <si>
    <t>Raw_ESC_Age-2</t>
  </si>
  <si>
    <t>Raw_ESC_Age-3</t>
  </si>
  <si>
    <t>Raw_ESC_Age-4</t>
  </si>
  <si>
    <t>Raw_ESC_Age-5</t>
  </si>
  <si>
    <t>Raw_ESC_Age-6</t>
  </si>
  <si>
    <t>River</t>
  </si>
  <si>
    <t>Clipped</t>
  </si>
  <si>
    <t>NA</t>
  </si>
  <si>
    <t>Unclipped</t>
  </si>
  <si>
    <t>Hatchery</t>
  </si>
  <si>
    <t>both</t>
  </si>
  <si>
    <t>River and Hatchery</t>
  </si>
  <si>
    <t>Adults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</si>
</sst>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1"/>
      <color theme="1"/>
      <name val="Calibri"/>
      <family val="2"/>
      <scheme val="minor"/>
    </font>
    <font>
      <sz val="11"/>
      <name val="Calibri"/>
      <family val="2"/>
    </font>
    <font>
      <b/>
      <sz val="11"/>
      <color rgb="FFFF0000"/>
      <name val="Calibri"/>
      <family val="2"/>
      <scheme val="minor"/>
    </font>
  </fonts>
  <fills count="10">
    <fill>
      <patternFill patternType="none"/>
    </fill>
    <fill>
      <patternFill patternType="gray125"/>
    </fill>
    <fill>
      <patternFill patternType="solid">
        <fgColor indexed="31"/>
        <bgColor indexed="64"/>
      </patternFill>
    </fill>
    <fill>
      <patternFill patternType="solid">
        <fgColor indexed="42"/>
        <bgColor indexed="64"/>
      </patternFill>
    </fill>
    <fill>
      <patternFill patternType="solid">
        <fgColor indexed="41"/>
        <bgColor indexed="64"/>
      </patternFill>
    </fill>
    <fill>
      <patternFill patternType="solid">
        <fgColor rgb="FFCCFFCC"/>
        <bgColor indexed="64"/>
      </patternFill>
    </fill>
    <fill>
      <patternFill patternType="solid">
        <fgColor rgb="FFFFFF99"/>
        <bgColor indexed="64"/>
      </patternFill>
    </fill>
    <fill>
      <patternFill patternType="solid">
        <fgColor rgb="FFCCCCFF"/>
        <bgColor indexed="64"/>
      </patternFill>
    </fill>
    <fill>
      <patternFill patternType="solid">
        <fgColor rgb="FFB8CCE4"/>
        <bgColor indexed="64"/>
      </patternFill>
    </fill>
    <fill>
      <patternFill patternType="solid">
        <fgColor rgb="FFCCFFFF"/>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2" fillId="0" borderId="0" xfId="0" applyFont="1"/>
    <xf numFmtId="0" fontId="0" fillId="2" borderId="0" xfId="0" applyFill="1"/>
    <xf numFmtId="0" fontId="0" fillId="3" borderId="0" xfId="0" applyFill="1"/>
    <xf numFmtId="0" fontId="3" fillId="0" borderId="0" xfId="0" applyFont="1"/>
    <xf numFmtId="0" fontId="0" fillId="0" borderId="1" xfId="0" applyBorder="1"/>
    <xf numFmtId="0" fontId="0" fillId="0" borderId="1" xfId="0" applyBorder="1" applyAlignment="1">
      <alignment horizontal="center"/>
    </xf>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164" fontId="0" fillId="9" borderId="0" xfId="1" applyNumberFormat="1" applyFont="1" applyFill="1"/>
    <xf numFmtId="0" fontId="0" fillId="0" borderId="0" xfId="0" applyFill="1"/>
    <xf numFmtId="164" fontId="0" fillId="0" borderId="0" xfId="1" applyNumberFormat="1" applyFont="1" applyFill="1"/>
  </cellXfs>
  <cellStyles count="2">
    <cellStyle name="Normal" xfId="0" builtinId="0"/>
    <cellStyle name="Percent" xfId="1" builtinId="5"/>
  </cellStyles>
  <dxfs count="0"/>
  <tableStyles count="0" defaultTableStyle="TableStyleMedium2" defaultPivotStyle="PivotStyleLight16"/>
  <colors>
    <mruColors>
      <color rgb="FFCCFFFF"/>
      <color rgb="FFB8CCE4"/>
      <color rgb="FFCCCCFF"/>
      <color rgb="FFFF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unne, Morgan (DFO/MPO)" id="{5FB2CD23-1F2F-4421-A0B4-FB624D948712}" userId="S::Morgan.Dunne@dfo-mpo.gc.ca::32bcf824-bd84-48cb-937e-769855270e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0" dT="2025-07-23T19:34:19.32" personId="{5FB2CD23-1F2F-4421-A0B4-FB624D948712}" id="{ADC427AA-A2DB-4DAB-9DB4-A3E17346FAD6}">
    <text>Manually changed this row to 0's. Original formula for this cell was:
=+(G11/(SUM($G11:$J11)))*$F11</text>
  </threadedComment>
  <threadedComment ref="L38" dT="2025-07-23T21:06:06.68" personId="{5FB2CD23-1F2F-4421-A0B4-FB624D948712}" id="{2BBD5D72-D509-44D6-80AD-E1734798B477}">
    <text xml:space="preserve">Manually changed this row to 0's. Original formula for this cell was:
=+(Gxx/(SUM($Gxx:$Jxx)))*$Fxx
Where xx is the row number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3"/>
  <sheetViews>
    <sheetView tabSelected="1" topLeftCell="A7" workbookViewId="0">
      <selection activeCell="H11" sqref="H11:J11"/>
    </sheetView>
  </sheetViews>
  <sheetFormatPr defaultRowHeight="15" x14ac:dyDescent="0.25"/>
  <cols>
    <col min="1" max="1" width="17.28515625" customWidth="1"/>
    <col min="2" max="3" width="12.5703125" customWidth="1"/>
    <col min="4" max="4" width="15.85546875" customWidth="1"/>
    <col min="5" max="5" width="10.42578125" customWidth="1"/>
    <col min="6" max="6" width="15.5703125" customWidth="1"/>
    <col min="7" max="11" width="11.28515625" customWidth="1"/>
    <col min="12" max="21" width="12.5703125" customWidth="1"/>
  </cols>
  <sheetData>
    <row r="1" spans="1:21" x14ac:dyDescent="0.25">
      <c r="A1" s="1"/>
    </row>
    <row r="2" spans="1:21" x14ac:dyDescent="0.25">
      <c r="A2" s="2" t="s">
        <v>0</v>
      </c>
      <c r="I2" t="s">
        <v>1</v>
      </c>
    </row>
    <row r="3" spans="1:21" x14ac:dyDescent="0.25">
      <c r="A3" s="3" t="s">
        <v>2</v>
      </c>
    </row>
    <row r="4" spans="1:21" x14ac:dyDescent="0.25">
      <c r="A4" t="s">
        <v>3</v>
      </c>
    </row>
    <row r="5" spans="1:21" x14ac:dyDescent="0.25">
      <c r="A5" t="s">
        <v>4</v>
      </c>
    </row>
    <row r="6" spans="1:21" x14ac:dyDescent="0.25">
      <c r="A6" s="4" t="s">
        <v>5</v>
      </c>
    </row>
    <row r="7" spans="1:21" x14ac:dyDescent="0.25">
      <c r="A7" s="4" t="s">
        <v>6</v>
      </c>
    </row>
    <row r="8" spans="1:21" x14ac:dyDescent="0.25">
      <c r="G8" t="s">
        <v>7</v>
      </c>
      <c r="L8" t="s">
        <v>8</v>
      </c>
    </row>
    <row r="9" spans="1:21" x14ac:dyDescent="0.25">
      <c r="A9" s="5" t="s">
        <v>9</v>
      </c>
      <c r="B9" s="5" t="s">
        <v>10</v>
      </c>
      <c r="C9" s="5" t="s">
        <v>11</v>
      </c>
      <c r="D9" s="5" t="s">
        <v>12</v>
      </c>
      <c r="E9" s="5" t="s">
        <v>13</v>
      </c>
      <c r="F9" s="5" t="s">
        <v>14</v>
      </c>
      <c r="G9" s="6" t="s">
        <v>15</v>
      </c>
      <c r="H9" s="6" t="s">
        <v>16</v>
      </c>
      <c r="I9" s="6" t="s">
        <v>17</v>
      </c>
      <c r="J9" s="6" t="s">
        <v>18</v>
      </c>
      <c r="K9" s="6" t="s">
        <v>19</v>
      </c>
      <c r="L9" s="5" t="s">
        <v>20</v>
      </c>
      <c r="M9" s="5" t="s">
        <v>21</v>
      </c>
      <c r="N9" s="5" t="s">
        <v>22</v>
      </c>
      <c r="O9" s="5" t="s">
        <v>23</v>
      </c>
      <c r="P9" s="5" t="s">
        <v>24</v>
      </c>
      <c r="Q9" s="7" t="str">
        <f>L9</f>
        <v>Raw_ESC_Age-2</v>
      </c>
      <c r="R9" s="7" t="str">
        <f>M9</f>
        <v>Raw_ESC_Age-3</v>
      </c>
      <c r="S9" s="7" t="str">
        <f>N9</f>
        <v>Raw_ESC_Age-4</v>
      </c>
      <c r="T9" s="7" t="str">
        <f>O9</f>
        <v>Raw_ESC_Age-5</v>
      </c>
      <c r="U9" s="7" t="str">
        <f>P9</f>
        <v>Raw_ESC_Age-6</v>
      </c>
    </row>
    <row r="10" spans="1:21" x14ac:dyDescent="0.25">
      <c r="A10" t="s">
        <v>25</v>
      </c>
      <c r="B10" t="s">
        <v>32</v>
      </c>
      <c r="C10" t="s">
        <v>26</v>
      </c>
      <c r="D10" t="s">
        <v>27</v>
      </c>
      <c r="E10">
        <v>2020</v>
      </c>
      <c r="F10">
        <v>0</v>
      </c>
      <c r="G10" s="8">
        <v>0</v>
      </c>
      <c r="H10" s="8">
        <v>0</v>
      </c>
      <c r="I10" s="8">
        <v>0</v>
      </c>
      <c r="J10" s="8">
        <v>0</v>
      </c>
      <c r="K10" s="8">
        <v>0</v>
      </c>
      <c r="L10" s="10">
        <v>0</v>
      </c>
      <c r="M10" s="10">
        <v>0</v>
      </c>
      <c r="N10" s="10">
        <v>0</v>
      </c>
      <c r="O10" s="10">
        <v>0</v>
      </c>
      <c r="P10" s="10"/>
    </row>
    <row r="11" spans="1:21" x14ac:dyDescent="0.25">
      <c r="A11" t="s">
        <v>25</v>
      </c>
      <c r="B11" t="s">
        <v>32</v>
      </c>
      <c r="C11" t="s">
        <v>28</v>
      </c>
      <c r="D11" t="s">
        <v>27</v>
      </c>
      <c r="E11">
        <v>2020</v>
      </c>
      <c r="F11" s="10">
        <f>+F14-SUM(F10:F10)</f>
        <v>3282</v>
      </c>
      <c r="G11" s="9"/>
      <c r="H11" s="9">
        <v>4</v>
      </c>
      <c r="I11" s="9">
        <v>68</v>
      </c>
      <c r="J11" s="9">
        <v>48</v>
      </c>
      <c r="K11" s="9"/>
      <c r="L11" s="10">
        <f>+(G11/(SUM($G11:$J11)))*$F11</f>
        <v>0</v>
      </c>
      <c r="M11" s="10">
        <f>+(H11/(SUM($G11:$J11)))*$F11</f>
        <v>109.39999999999999</v>
      </c>
      <c r="N11" s="10">
        <f>+(I11/(SUM($G11:$J11)))*$F11</f>
        <v>1859.8</v>
      </c>
      <c r="O11" s="10">
        <f>+(J11/(SUM($G11:$J11)))*$F11</f>
        <v>1312.8000000000002</v>
      </c>
      <c r="P11" s="10"/>
    </row>
    <row r="12" spans="1:21" x14ac:dyDescent="0.25">
      <c r="A12" t="s">
        <v>29</v>
      </c>
      <c r="B12" t="s">
        <v>32</v>
      </c>
      <c r="C12" t="s">
        <v>26</v>
      </c>
      <c r="D12" t="s">
        <v>27</v>
      </c>
      <c r="E12">
        <v>2020</v>
      </c>
      <c r="F12">
        <v>0</v>
      </c>
      <c r="L12" s="10">
        <f>+IF($F12=0,0,(G12/(SUM($G12:$J12)))*$F12)</f>
        <v>0</v>
      </c>
      <c r="M12" s="10">
        <f>+IF($F12=0,0,(H12/(SUM($G12:$J12)))*$F12)</f>
        <v>0</v>
      </c>
      <c r="N12" s="10">
        <f>+IF($F12=0,0,(I12/(SUM($G12:$J12)))*$F12)</f>
        <v>0</v>
      </c>
      <c r="O12" s="10">
        <f>+IF($F12=0,0,(J12/(SUM($G12:$J12)))*$F12)</f>
        <v>0</v>
      </c>
      <c r="P12" s="10"/>
    </row>
    <row r="13" spans="1:21" x14ac:dyDescent="0.25">
      <c r="A13" t="s">
        <v>29</v>
      </c>
      <c r="B13" t="s">
        <v>32</v>
      </c>
      <c r="C13" t="s">
        <v>28</v>
      </c>
      <c r="D13" t="s">
        <v>27</v>
      </c>
      <c r="E13">
        <v>2020</v>
      </c>
      <c r="F13">
        <v>0</v>
      </c>
      <c r="L13" s="10">
        <f>+IF(G13="",(G11/(SUM(G11:K11)))*$F13,(G13/(SUM($F13:$J13)))*$F13)</f>
        <v>0</v>
      </c>
      <c r="M13" s="10">
        <f>+IF(H13="",(H11/(SUM(G11:K11)))*$F13,(H13/(SUM($F13:$J13)))*$F13)</f>
        <v>0</v>
      </c>
      <c r="N13" s="10">
        <f>+IF(I13="",(I11/(SUM(G11:K11)))*$F13,(I13/(SUM($F13:$J13)))*$F13)</f>
        <v>0</v>
      </c>
      <c r="O13" s="10">
        <f>+IF(J13="",(J11/(SUM(G11:K11)))*$F13,(J13/(SUM($F13:$J13)))*$F13)</f>
        <v>0</v>
      </c>
      <c r="P13" s="10"/>
    </row>
    <row r="14" spans="1:21" x14ac:dyDescent="0.25">
      <c r="A14" t="s">
        <v>25</v>
      </c>
      <c r="B14" t="s">
        <v>32</v>
      </c>
      <c r="C14" t="s">
        <v>30</v>
      </c>
      <c r="D14" t="s">
        <v>27</v>
      </c>
      <c r="E14">
        <v>2020</v>
      </c>
      <c r="F14">
        <v>3282</v>
      </c>
      <c r="L14" s="10">
        <f>+SUM(L10:L11)</f>
        <v>0</v>
      </c>
      <c r="M14" s="10">
        <f>+SUM(M10:M11)</f>
        <v>109.39999999999999</v>
      </c>
      <c r="N14" s="10">
        <f>+SUM(N10:N11)</f>
        <v>1859.8</v>
      </c>
      <c r="O14" s="10">
        <f>+SUM(O10:O11)</f>
        <v>1312.8000000000002</v>
      </c>
      <c r="P14" s="10"/>
      <c r="Q14" s="12">
        <f>L14/$F$14</f>
        <v>0</v>
      </c>
      <c r="R14" s="12">
        <f t="shared" ref="R14:T14" si="0">M14/$F$14</f>
        <v>3.3333333333333333E-2</v>
      </c>
      <c r="S14" s="12">
        <f t="shared" si="0"/>
        <v>0.56666666666666665</v>
      </c>
      <c r="T14" s="12">
        <f t="shared" si="0"/>
        <v>0.40000000000000008</v>
      </c>
    </row>
    <row r="15" spans="1:21" x14ac:dyDescent="0.25">
      <c r="A15" t="s">
        <v>31</v>
      </c>
      <c r="B15" t="s">
        <v>32</v>
      </c>
      <c r="C15" t="s">
        <v>30</v>
      </c>
      <c r="D15" t="s">
        <v>27</v>
      </c>
      <c r="E15">
        <v>2020</v>
      </c>
      <c r="F15" s="11">
        <f>F14+SUM(F12:F13)</f>
        <v>3282</v>
      </c>
      <c r="L15" s="10">
        <f>SUM(L10:L13)</f>
        <v>0</v>
      </c>
      <c r="M15" s="10">
        <f>SUM(M10:M13)</f>
        <v>109.39999999999999</v>
      </c>
      <c r="N15" s="10">
        <f>SUM(N10:N13)</f>
        <v>1859.8</v>
      </c>
      <c r="O15" s="10">
        <f>SUM(O10:O13)</f>
        <v>1312.8000000000002</v>
      </c>
      <c r="P15" s="10"/>
      <c r="Q15" s="12">
        <f>L15/$F$15</f>
        <v>0</v>
      </c>
      <c r="R15" s="12">
        <f t="shared" ref="R15:T15" si="1">M15/$F$15</f>
        <v>3.3333333333333333E-2</v>
      </c>
      <c r="S15" s="12">
        <f t="shared" si="1"/>
        <v>0.56666666666666665</v>
      </c>
      <c r="T15" s="12">
        <f t="shared" si="1"/>
        <v>0.40000000000000008</v>
      </c>
    </row>
    <row r="16" spans="1:21" x14ac:dyDescent="0.25">
      <c r="F16" s="13"/>
      <c r="L16" s="13"/>
      <c r="M16" s="13"/>
      <c r="N16" s="13"/>
      <c r="O16" s="13"/>
      <c r="P16" s="13"/>
      <c r="Q16" s="14"/>
      <c r="R16" s="14"/>
      <c r="S16" s="14"/>
      <c r="T16" s="14"/>
    </row>
    <row r="17" spans="1:20" x14ac:dyDescent="0.25">
      <c r="A17" t="s">
        <v>25</v>
      </c>
      <c r="B17" t="s">
        <v>32</v>
      </c>
      <c r="C17" t="s">
        <v>26</v>
      </c>
      <c r="D17" t="s">
        <v>27</v>
      </c>
      <c r="E17">
        <v>2021</v>
      </c>
      <c r="F17">
        <v>0</v>
      </c>
      <c r="G17" s="8">
        <v>0</v>
      </c>
      <c r="H17" s="8">
        <v>0</v>
      </c>
      <c r="I17" s="8">
        <v>0</v>
      </c>
      <c r="J17" s="8">
        <v>0</v>
      </c>
      <c r="K17" s="8">
        <v>0</v>
      </c>
      <c r="L17" s="10">
        <v>0</v>
      </c>
      <c r="M17" s="10">
        <v>0</v>
      </c>
      <c r="N17" s="10">
        <v>0</v>
      </c>
      <c r="O17" s="10">
        <v>0</v>
      </c>
      <c r="P17" s="10"/>
    </row>
    <row r="18" spans="1:20" x14ac:dyDescent="0.25">
      <c r="A18" t="s">
        <v>25</v>
      </c>
      <c r="B18" t="s">
        <v>32</v>
      </c>
      <c r="C18" t="s">
        <v>28</v>
      </c>
      <c r="D18" t="s">
        <v>27</v>
      </c>
      <c r="E18">
        <v>2021</v>
      </c>
      <c r="F18" s="10">
        <f>+F21-SUM(F17:F17)</f>
        <v>2438</v>
      </c>
      <c r="G18" s="9"/>
      <c r="H18" s="9">
        <v>1</v>
      </c>
      <c r="I18" s="9">
        <v>55</v>
      </c>
      <c r="J18" s="9">
        <v>30</v>
      </c>
      <c r="K18" s="9"/>
      <c r="L18" s="10">
        <f>+(G18/(SUM($G18:$J18)))*$F18</f>
        <v>0</v>
      </c>
      <c r="M18" s="10">
        <f>+(H18/(SUM($G18:$J18)))*$F18</f>
        <v>28.348837209302324</v>
      </c>
      <c r="N18" s="10">
        <f>+(I18/(SUM($G18:$J18)))*$F18</f>
        <v>1559.1860465116279</v>
      </c>
      <c r="O18" s="10">
        <f>+(J18/(SUM($G18:$J18)))*$F18</f>
        <v>850.46511627906978</v>
      </c>
      <c r="P18" s="10"/>
    </row>
    <row r="19" spans="1:20" x14ac:dyDescent="0.25">
      <c r="A19" t="s">
        <v>29</v>
      </c>
      <c r="B19" t="s">
        <v>32</v>
      </c>
      <c r="C19" t="s">
        <v>26</v>
      </c>
      <c r="D19" t="s">
        <v>27</v>
      </c>
      <c r="E19">
        <v>2021</v>
      </c>
      <c r="F19">
        <v>0</v>
      </c>
      <c r="L19" s="10">
        <f>+IF($F19=0,0,(G19/(SUM($G19:$J19)))*$F19)</f>
        <v>0</v>
      </c>
      <c r="M19" s="10">
        <f>+IF($F19=0,0,(H19/(SUM($G19:$J19)))*$F19)</f>
        <v>0</v>
      </c>
      <c r="N19" s="10">
        <f>+IF($F19=0,0,(I19/(SUM($G19:$J19)))*$F19)</f>
        <v>0</v>
      </c>
      <c r="O19" s="10">
        <f>+IF($F19=0,0,(J19/(SUM($G19:$J19)))*$F19)</f>
        <v>0</v>
      </c>
      <c r="P19" s="10"/>
    </row>
    <row r="20" spans="1:20" x14ac:dyDescent="0.25">
      <c r="A20" t="s">
        <v>29</v>
      </c>
      <c r="B20" t="s">
        <v>32</v>
      </c>
      <c r="C20" t="s">
        <v>28</v>
      </c>
      <c r="D20" t="s">
        <v>27</v>
      </c>
      <c r="E20">
        <v>2021</v>
      </c>
      <c r="F20">
        <v>0</v>
      </c>
      <c r="L20" s="10">
        <f>+IF(G20="",(G18/(SUM(G18:K18)))*$F20,(G20/(SUM($F20:$J20)))*$F20)</f>
        <v>0</v>
      </c>
      <c r="M20" s="10">
        <f>+IF(H20="",(H18/(SUM(G18:K18)))*$F20,(H20/(SUM($F20:$J20)))*$F20)</f>
        <v>0</v>
      </c>
      <c r="N20" s="10">
        <f>+IF(I20="",(I18/(SUM(G18:K18)))*$F20,(I20/(SUM($F20:$J20)))*$F20)</f>
        <v>0</v>
      </c>
      <c r="O20" s="10">
        <f>+IF(J20="",(J18/(SUM(G18:K18)))*$F20,(J20/(SUM($F20:$J20)))*$F20)</f>
        <v>0</v>
      </c>
      <c r="P20" s="10"/>
    </row>
    <row r="21" spans="1:20" x14ac:dyDescent="0.25">
      <c r="A21" t="s">
        <v>25</v>
      </c>
      <c r="B21" t="s">
        <v>32</v>
      </c>
      <c r="C21" t="s">
        <v>30</v>
      </c>
      <c r="D21" t="s">
        <v>27</v>
      </c>
      <c r="E21">
        <v>2021</v>
      </c>
      <c r="F21">
        <v>2438</v>
      </c>
      <c r="L21" s="10">
        <f>+SUM(L17:L18)</f>
        <v>0</v>
      </c>
      <c r="M21" s="10">
        <f>+SUM(M17:M18)</f>
        <v>28.348837209302324</v>
      </c>
      <c r="N21" s="10">
        <f>+SUM(N17:N18)</f>
        <v>1559.1860465116279</v>
      </c>
      <c r="O21" s="10">
        <f>+SUM(O17:O18)</f>
        <v>850.46511627906978</v>
      </c>
      <c r="P21" s="10"/>
      <c r="Q21" s="12">
        <f>L21/$F$21</f>
        <v>0</v>
      </c>
      <c r="R21" s="12">
        <f t="shared" ref="R21:T21" si="2">M21/$F$21</f>
        <v>1.1627906976744186E-2</v>
      </c>
      <c r="S21" s="12">
        <f t="shared" si="2"/>
        <v>0.63953488372093026</v>
      </c>
      <c r="T21" s="12">
        <f t="shared" si="2"/>
        <v>0.34883720930232559</v>
      </c>
    </row>
    <row r="22" spans="1:20" x14ac:dyDescent="0.25">
      <c r="A22" t="s">
        <v>31</v>
      </c>
      <c r="B22" t="s">
        <v>32</v>
      </c>
      <c r="C22" t="s">
        <v>30</v>
      </c>
      <c r="D22" t="s">
        <v>27</v>
      </c>
      <c r="E22">
        <v>2021</v>
      </c>
      <c r="F22" s="11">
        <f>F21+SUM(F19:F20)</f>
        <v>2438</v>
      </c>
      <c r="L22" s="10">
        <f>SUM(L17:L20)</f>
        <v>0</v>
      </c>
      <c r="M22" s="10">
        <f>SUM(M17:M20)</f>
        <v>28.348837209302324</v>
      </c>
      <c r="N22" s="10">
        <f>SUM(N17:N20)</f>
        <v>1559.1860465116279</v>
      </c>
      <c r="O22" s="10">
        <f>SUM(O17:O20)</f>
        <v>850.46511627906978</v>
      </c>
      <c r="P22" s="10"/>
      <c r="Q22" s="12">
        <f>L22/$F$22</f>
        <v>0</v>
      </c>
      <c r="R22" s="12">
        <f t="shared" ref="R22:T22" si="3">M22/$F$22</f>
        <v>1.1627906976744186E-2</v>
      </c>
      <c r="S22" s="12">
        <f t="shared" si="3"/>
        <v>0.63953488372093026</v>
      </c>
      <c r="T22" s="12">
        <f t="shared" si="3"/>
        <v>0.34883720930232559</v>
      </c>
    </row>
    <row r="24" spans="1:20" x14ac:dyDescent="0.25">
      <c r="A24" t="s">
        <v>25</v>
      </c>
      <c r="B24" t="s">
        <v>32</v>
      </c>
      <c r="C24" t="s">
        <v>26</v>
      </c>
      <c r="D24" t="s">
        <v>27</v>
      </c>
      <c r="E24">
        <v>2022</v>
      </c>
      <c r="F24">
        <v>0</v>
      </c>
      <c r="G24" s="8">
        <v>0</v>
      </c>
      <c r="H24" s="8">
        <v>0</v>
      </c>
      <c r="I24" s="8">
        <v>0</v>
      </c>
      <c r="J24" s="8">
        <v>0</v>
      </c>
      <c r="K24" s="8">
        <v>0</v>
      </c>
      <c r="L24" s="10">
        <v>0</v>
      </c>
      <c r="M24" s="10">
        <v>0</v>
      </c>
      <c r="N24" s="10">
        <v>0</v>
      </c>
      <c r="O24" s="10">
        <v>0</v>
      </c>
      <c r="P24" s="10"/>
    </row>
    <row r="25" spans="1:20" x14ac:dyDescent="0.25">
      <c r="A25" t="s">
        <v>25</v>
      </c>
      <c r="B25" t="s">
        <v>32</v>
      </c>
      <c r="C25" t="s">
        <v>28</v>
      </c>
      <c r="D25" t="s">
        <v>27</v>
      </c>
      <c r="E25">
        <v>2022</v>
      </c>
      <c r="F25" s="10">
        <f>+F28-SUM(F24:F24)</f>
        <v>4126</v>
      </c>
      <c r="G25" s="9"/>
      <c r="H25" s="9"/>
      <c r="I25" s="9">
        <v>75</v>
      </c>
      <c r="J25" s="9">
        <v>14</v>
      </c>
      <c r="K25" s="9"/>
      <c r="L25" s="10">
        <f>+(G25/(SUM($G25:$J25)))*$F25</f>
        <v>0</v>
      </c>
      <c r="M25" s="10">
        <f>+(H25/(SUM($G25:$J25)))*$F25</f>
        <v>0</v>
      </c>
      <c r="N25" s="10">
        <f>+(I25/(SUM($G25:$J25)))*$F25</f>
        <v>3476.9662921348313</v>
      </c>
      <c r="O25" s="10">
        <f>+(J25/(SUM($G25:$J25)))*$F25</f>
        <v>649.03370786516848</v>
      </c>
      <c r="P25" s="10"/>
    </row>
    <row r="26" spans="1:20" x14ac:dyDescent="0.25">
      <c r="A26" t="s">
        <v>29</v>
      </c>
      <c r="B26" t="s">
        <v>32</v>
      </c>
      <c r="C26" t="s">
        <v>26</v>
      </c>
      <c r="D26" t="s">
        <v>27</v>
      </c>
      <c r="E26">
        <v>2022</v>
      </c>
      <c r="F26">
        <v>0</v>
      </c>
      <c r="L26" s="10">
        <f>+IF($F26=0,0,(G26/(SUM($G26:$J26)))*$F26)</f>
        <v>0</v>
      </c>
      <c r="M26" s="10">
        <f>+IF($F26=0,0,(H26/(SUM($G26:$J26)))*$F26)</f>
        <v>0</v>
      </c>
      <c r="N26" s="10">
        <f>+IF($F26=0,0,(I26/(SUM($G26:$J26)))*$F26)</f>
        <v>0</v>
      </c>
      <c r="O26" s="10">
        <f>+IF($F26=0,0,(J26/(SUM($G26:$J26)))*$F26)</f>
        <v>0</v>
      </c>
      <c r="P26" s="10"/>
    </row>
    <row r="27" spans="1:20" x14ac:dyDescent="0.25">
      <c r="A27" t="s">
        <v>29</v>
      </c>
      <c r="B27" t="s">
        <v>32</v>
      </c>
      <c r="C27" t="s">
        <v>28</v>
      </c>
      <c r="D27" t="s">
        <v>27</v>
      </c>
      <c r="E27">
        <v>2022</v>
      </c>
      <c r="F27">
        <v>0</v>
      </c>
      <c r="L27" s="10">
        <f>+IF(G27="",(G25/(SUM(G25:K25)))*$F27,(G27/(SUM($F27:$J27)))*$F27)</f>
        <v>0</v>
      </c>
      <c r="M27" s="10">
        <f>+IF(H27="",(H25/(SUM(G25:K25)))*$F27,(H27/(SUM($F27:$J27)))*$F27)</f>
        <v>0</v>
      </c>
      <c r="N27" s="10">
        <f>+IF(I27="",(I25/(SUM(G25:K25)))*$F27,(I27/(SUM($F27:$J27)))*$F27)</f>
        <v>0</v>
      </c>
      <c r="O27" s="10">
        <f>+IF(J27="",(J25/(SUM(G25:K25)))*$F27,(J27/(SUM($F27:$J27)))*$F27)</f>
        <v>0</v>
      </c>
      <c r="P27" s="10"/>
    </row>
    <row r="28" spans="1:20" x14ac:dyDescent="0.25">
      <c r="A28" t="s">
        <v>25</v>
      </c>
      <c r="B28" t="s">
        <v>32</v>
      </c>
      <c r="C28" t="s">
        <v>30</v>
      </c>
      <c r="D28" t="s">
        <v>27</v>
      </c>
      <c r="E28">
        <v>2022</v>
      </c>
      <c r="F28">
        <v>4126</v>
      </c>
      <c r="L28" s="10">
        <f>+SUM(L24:L25)</f>
        <v>0</v>
      </c>
      <c r="M28" s="10">
        <f>+SUM(M24:M25)</f>
        <v>0</v>
      </c>
      <c r="N28" s="10">
        <f>+SUM(N24:N25)</f>
        <v>3476.9662921348313</v>
      </c>
      <c r="O28" s="10">
        <f>+SUM(O24:O25)</f>
        <v>649.03370786516848</v>
      </c>
      <c r="P28" s="10"/>
      <c r="Q28" s="12">
        <f>L28/$F$28</f>
        <v>0</v>
      </c>
      <c r="R28" s="12">
        <f t="shared" ref="R28:T28" si="4">M28/$F$28</f>
        <v>0</v>
      </c>
      <c r="S28" s="12">
        <f t="shared" si="4"/>
        <v>0.84269662921348309</v>
      </c>
      <c r="T28" s="12">
        <f t="shared" si="4"/>
        <v>0.15730337078651685</v>
      </c>
    </row>
    <row r="29" spans="1:20" x14ac:dyDescent="0.25">
      <c r="A29" t="s">
        <v>31</v>
      </c>
      <c r="B29" t="s">
        <v>32</v>
      </c>
      <c r="C29" t="s">
        <v>30</v>
      </c>
      <c r="D29" t="s">
        <v>27</v>
      </c>
      <c r="E29">
        <v>2022</v>
      </c>
      <c r="F29" s="11">
        <f>F28+SUM(F26:F27)</f>
        <v>4126</v>
      </c>
      <c r="L29" s="10">
        <f>SUM(L24:L27)</f>
        <v>0</v>
      </c>
      <c r="M29" s="10">
        <f>SUM(M24:M27)</f>
        <v>0</v>
      </c>
      <c r="N29" s="10">
        <f>SUM(N24:N27)</f>
        <v>3476.9662921348313</v>
      </c>
      <c r="O29" s="10">
        <f>SUM(O24:O27)</f>
        <v>649.03370786516848</v>
      </c>
      <c r="P29" s="10"/>
      <c r="Q29" s="12">
        <f>L29/$F$29</f>
        <v>0</v>
      </c>
      <c r="R29" s="12">
        <f t="shared" ref="R29:T29" si="5">M29/$F$29</f>
        <v>0</v>
      </c>
      <c r="S29" s="12">
        <f t="shared" si="5"/>
        <v>0.84269662921348309</v>
      </c>
      <c r="T29" s="12">
        <f t="shared" si="5"/>
        <v>0.15730337078651685</v>
      </c>
    </row>
    <row r="31" spans="1:20" x14ac:dyDescent="0.25">
      <c r="A31" t="s">
        <v>25</v>
      </c>
      <c r="B31" t="s">
        <v>32</v>
      </c>
      <c r="C31" t="s">
        <v>26</v>
      </c>
      <c r="D31" t="s">
        <v>27</v>
      </c>
      <c r="E31">
        <v>2023</v>
      </c>
      <c r="F31">
        <v>0</v>
      </c>
      <c r="G31" s="8">
        <v>0</v>
      </c>
      <c r="H31" s="8">
        <v>0</v>
      </c>
      <c r="I31" s="8">
        <v>0</v>
      </c>
      <c r="J31" s="8">
        <v>0</v>
      </c>
      <c r="K31" s="8">
        <v>0</v>
      </c>
      <c r="L31" s="10">
        <v>0</v>
      </c>
      <c r="M31" s="10">
        <v>0</v>
      </c>
      <c r="N31" s="10">
        <v>0</v>
      </c>
      <c r="O31" s="10">
        <v>0</v>
      </c>
      <c r="P31" s="10"/>
    </row>
    <row r="32" spans="1:20" x14ac:dyDescent="0.25">
      <c r="A32" t="s">
        <v>25</v>
      </c>
      <c r="B32" t="s">
        <v>32</v>
      </c>
      <c r="C32" t="s">
        <v>28</v>
      </c>
      <c r="D32" t="s">
        <v>27</v>
      </c>
      <c r="E32">
        <v>2023</v>
      </c>
      <c r="F32" s="10">
        <f>+F35-SUM(F31:F31)</f>
        <v>1707</v>
      </c>
      <c r="G32" s="9"/>
      <c r="H32" s="9"/>
      <c r="I32" s="9">
        <v>70</v>
      </c>
      <c r="J32" s="9">
        <v>26</v>
      </c>
      <c r="K32" s="9"/>
      <c r="L32" s="10">
        <f>+(G32/(SUM($G32:$J32)))*$F32</f>
        <v>0</v>
      </c>
      <c r="M32" s="10">
        <f>+(H32/(SUM($G32:$J32)))*$F32</f>
        <v>0</v>
      </c>
      <c r="N32" s="10">
        <f>+(I32/(SUM($G32:$J32)))*$F32</f>
        <v>1244.6875</v>
      </c>
      <c r="O32" s="10">
        <f>+(J32/(SUM($G32:$J32)))*$F32</f>
        <v>462.31249999999994</v>
      </c>
      <c r="P32" s="10"/>
    </row>
    <row r="33" spans="1:20" x14ac:dyDescent="0.25">
      <c r="A33" t="s">
        <v>29</v>
      </c>
      <c r="B33" t="s">
        <v>32</v>
      </c>
      <c r="C33" t="s">
        <v>26</v>
      </c>
      <c r="D33" t="s">
        <v>27</v>
      </c>
      <c r="E33">
        <v>2023</v>
      </c>
      <c r="F33">
        <v>0</v>
      </c>
      <c r="L33" s="10">
        <f>+IF($F33=0,0,(G33/(SUM($G33:$J33)))*$F33)</f>
        <v>0</v>
      </c>
      <c r="M33" s="10">
        <f>+IF($F33=0,0,(H33/(SUM($G33:$J33)))*$F33)</f>
        <v>0</v>
      </c>
      <c r="N33" s="10">
        <f>+IF($F33=0,0,(I33/(SUM($G33:$J33)))*$F33)</f>
        <v>0</v>
      </c>
      <c r="O33" s="10">
        <f>+IF($F33=0,0,(J33/(SUM($G33:$J33)))*$F33)</f>
        <v>0</v>
      </c>
      <c r="P33" s="10"/>
    </row>
    <row r="34" spans="1:20" x14ac:dyDescent="0.25">
      <c r="A34" t="s">
        <v>29</v>
      </c>
      <c r="B34" t="s">
        <v>32</v>
      </c>
      <c r="C34" t="s">
        <v>28</v>
      </c>
      <c r="D34" t="s">
        <v>27</v>
      </c>
      <c r="E34">
        <v>2023</v>
      </c>
      <c r="F34">
        <v>0</v>
      </c>
      <c r="L34" s="10">
        <f>+IF(G34="",(G32/(SUM(G32:K32)))*$F34,(G34/(SUM($F34:$J34)))*$F34)</f>
        <v>0</v>
      </c>
      <c r="M34" s="10">
        <f>+IF(H34="",(H32/(SUM(G32:K32)))*$F34,(H34/(SUM($F34:$J34)))*$F34)</f>
        <v>0</v>
      </c>
      <c r="N34" s="10">
        <f>+IF(I34="",(I32/(SUM(G32:K32)))*$F34,(I34/(SUM($F34:$J34)))*$F34)</f>
        <v>0</v>
      </c>
      <c r="O34" s="10">
        <f>+IF(J34="",(J32/(SUM(G32:K32)))*$F34,(J34/(SUM($F34:$J34)))*$F34)</f>
        <v>0</v>
      </c>
      <c r="P34" s="10"/>
    </row>
    <row r="35" spans="1:20" x14ac:dyDescent="0.25">
      <c r="A35" t="s">
        <v>25</v>
      </c>
      <c r="B35" t="s">
        <v>32</v>
      </c>
      <c r="C35" t="s">
        <v>30</v>
      </c>
      <c r="D35" t="s">
        <v>27</v>
      </c>
      <c r="E35">
        <v>2023</v>
      </c>
      <c r="F35">
        <v>1707</v>
      </c>
      <c r="L35" s="10">
        <f>+SUM(L31:L32)</f>
        <v>0</v>
      </c>
      <c r="M35" s="10">
        <f>+SUM(M31:M32)</f>
        <v>0</v>
      </c>
      <c r="N35" s="10">
        <f>+SUM(N31:N32)</f>
        <v>1244.6875</v>
      </c>
      <c r="O35" s="10">
        <f>+SUM(O31:O32)</f>
        <v>462.31249999999994</v>
      </c>
      <c r="P35" s="10"/>
      <c r="Q35" s="12">
        <f>L35/$F$35</f>
        <v>0</v>
      </c>
      <c r="R35" s="12">
        <f t="shared" ref="R35:T35" si="6">M35/$F$35</f>
        <v>0</v>
      </c>
      <c r="S35" s="12">
        <f t="shared" si="6"/>
        <v>0.72916666666666663</v>
      </c>
      <c r="T35" s="12">
        <f t="shared" si="6"/>
        <v>0.27083333333333331</v>
      </c>
    </row>
    <row r="36" spans="1:20" x14ac:dyDescent="0.25">
      <c r="A36" t="s">
        <v>31</v>
      </c>
      <c r="B36" t="s">
        <v>32</v>
      </c>
      <c r="C36" t="s">
        <v>30</v>
      </c>
      <c r="D36" t="s">
        <v>27</v>
      </c>
      <c r="E36">
        <v>2023</v>
      </c>
      <c r="F36" s="11">
        <f>F35+SUM(F33:F34)</f>
        <v>1707</v>
      </c>
      <c r="L36" s="10">
        <f>SUM(L31:L34)</f>
        <v>0</v>
      </c>
      <c r="M36" s="10">
        <f>SUM(M31:M34)</f>
        <v>0</v>
      </c>
      <c r="N36" s="10">
        <f>SUM(N31:N34)</f>
        <v>1244.6875</v>
      </c>
      <c r="O36" s="10">
        <f>SUM(O31:O34)</f>
        <v>462.31249999999994</v>
      </c>
      <c r="P36" s="10"/>
      <c r="Q36" s="12">
        <f>L36/$F$36</f>
        <v>0</v>
      </c>
      <c r="R36" s="12">
        <f t="shared" ref="R36:T36" si="7">M36/$F$36</f>
        <v>0</v>
      </c>
      <c r="S36" s="12">
        <f t="shared" si="7"/>
        <v>0.72916666666666663</v>
      </c>
      <c r="T36" s="12">
        <f t="shared" si="7"/>
        <v>0.27083333333333331</v>
      </c>
    </row>
    <row r="38" spans="1:20" x14ac:dyDescent="0.25">
      <c r="A38" t="s">
        <v>25</v>
      </c>
      <c r="B38" t="s">
        <v>32</v>
      </c>
      <c r="C38" t="s">
        <v>26</v>
      </c>
      <c r="D38" t="s">
        <v>27</v>
      </c>
      <c r="E38">
        <v>2024</v>
      </c>
      <c r="F38">
        <v>0</v>
      </c>
      <c r="G38" s="8">
        <v>0</v>
      </c>
      <c r="H38" s="8">
        <v>0</v>
      </c>
      <c r="I38" s="8">
        <v>0</v>
      </c>
      <c r="J38" s="8">
        <v>0</v>
      </c>
      <c r="K38" s="8">
        <v>0</v>
      </c>
      <c r="L38" s="10">
        <v>0</v>
      </c>
      <c r="M38" s="10">
        <v>0</v>
      </c>
      <c r="N38" s="10">
        <v>0</v>
      </c>
      <c r="O38" s="10">
        <v>0</v>
      </c>
      <c r="P38" s="10"/>
    </row>
    <row r="39" spans="1:20" x14ac:dyDescent="0.25">
      <c r="A39" t="s">
        <v>25</v>
      </c>
      <c r="B39" t="s">
        <v>32</v>
      </c>
      <c r="C39" t="s">
        <v>28</v>
      </c>
      <c r="D39" t="s">
        <v>27</v>
      </c>
      <c r="E39">
        <v>2024</v>
      </c>
      <c r="F39" s="10">
        <f>+F42-SUM(F38:F38)</f>
        <v>1577</v>
      </c>
      <c r="G39" s="9"/>
      <c r="H39" s="9"/>
      <c r="I39" s="9">
        <v>93</v>
      </c>
      <c r="J39" s="9">
        <v>8</v>
      </c>
      <c r="K39" s="9"/>
      <c r="L39" s="10">
        <f>+(G39/(SUM($G39:$J39)))*$F39</f>
        <v>0</v>
      </c>
      <c r="M39" s="10">
        <f>+(H39/(SUM($G39:$J39)))*$F39</f>
        <v>0</v>
      </c>
      <c r="N39" s="10">
        <f>+(I39/(SUM($G39:$J39)))*$F39</f>
        <v>1452.0891089108911</v>
      </c>
      <c r="O39" s="10">
        <f>+(J39/(SUM($G39:$J39)))*$F39</f>
        <v>124.91089108910892</v>
      </c>
      <c r="P39" s="10"/>
    </row>
    <row r="40" spans="1:20" x14ac:dyDescent="0.25">
      <c r="A40" t="s">
        <v>29</v>
      </c>
      <c r="B40" t="s">
        <v>32</v>
      </c>
      <c r="C40" t="s">
        <v>26</v>
      </c>
      <c r="D40" t="s">
        <v>27</v>
      </c>
      <c r="E40">
        <v>2024</v>
      </c>
      <c r="F40">
        <v>0</v>
      </c>
      <c r="L40" s="10">
        <f>+IF($F40=0,0,(G40/(SUM($G40:$J40)))*$F40)</f>
        <v>0</v>
      </c>
      <c r="M40" s="10">
        <f>+IF($F40=0,0,(H40/(SUM($G40:$J40)))*$F40)</f>
        <v>0</v>
      </c>
      <c r="N40" s="10">
        <f>+IF($F40=0,0,(I40/(SUM($G40:$J40)))*$F40)</f>
        <v>0</v>
      </c>
      <c r="O40" s="10">
        <f>+IF($F40=0,0,(J40/(SUM($G40:$J40)))*$F40)</f>
        <v>0</v>
      </c>
      <c r="P40" s="10"/>
    </row>
    <row r="41" spans="1:20" x14ac:dyDescent="0.25">
      <c r="A41" t="s">
        <v>29</v>
      </c>
      <c r="B41" t="s">
        <v>32</v>
      </c>
      <c r="C41" t="s">
        <v>28</v>
      </c>
      <c r="D41" t="s">
        <v>27</v>
      </c>
      <c r="E41">
        <v>2024</v>
      </c>
      <c r="F41">
        <v>8</v>
      </c>
      <c r="L41" s="10">
        <f>+IF(G41="",(G39/(SUM(G39:K39)))*$F41,(G41/(SUM($F41:$J41)))*$F41)</f>
        <v>0</v>
      </c>
      <c r="M41" s="10">
        <f>+IF(H41="",(H39/(SUM(G39:K39)))*$F41,(H41/(SUM($F41:$J41)))*$F41)</f>
        <v>0</v>
      </c>
      <c r="N41" s="10">
        <f>+IF(I41="",(I39/(SUM(G39:K39)))*$F41,(I41/(SUM($F41:$J41)))*$F41)</f>
        <v>7.3663366336633667</v>
      </c>
      <c r="O41" s="10">
        <f>+IF(J41="",(J39/(SUM(G39:K39)))*$F41,(J41/(SUM($F41:$J41)))*$F41)</f>
        <v>0.63366336633663367</v>
      </c>
      <c r="P41" s="10"/>
    </row>
    <row r="42" spans="1:20" x14ac:dyDescent="0.25">
      <c r="A42" t="s">
        <v>25</v>
      </c>
      <c r="B42" t="s">
        <v>32</v>
      </c>
      <c r="C42" t="s">
        <v>30</v>
      </c>
      <c r="D42" t="s">
        <v>27</v>
      </c>
      <c r="E42">
        <v>2024</v>
      </c>
      <c r="F42">
        <v>1577</v>
      </c>
      <c r="L42" s="10">
        <f>+SUM(L38:L39)</f>
        <v>0</v>
      </c>
      <c r="M42" s="10">
        <f>+SUM(M38:M39)</f>
        <v>0</v>
      </c>
      <c r="N42" s="10">
        <f>+SUM(N38:N39)</f>
        <v>1452.0891089108911</v>
      </c>
      <c r="O42" s="10">
        <f>+SUM(O38:O39)</f>
        <v>124.91089108910892</v>
      </c>
      <c r="P42" s="10"/>
      <c r="Q42" s="12">
        <f>L42/$F$42</f>
        <v>0</v>
      </c>
      <c r="R42" s="12">
        <f t="shared" ref="R42:T42" si="8">M42/$F$42</f>
        <v>0</v>
      </c>
      <c r="S42" s="12">
        <f t="shared" si="8"/>
        <v>0.92079207920792083</v>
      </c>
      <c r="T42" s="12">
        <f t="shared" si="8"/>
        <v>7.9207920792079209E-2</v>
      </c>
    </row>
    <row r="43" spans="1:20" x14ac:dyDescent="0.25">
      <c r="A43" t="s">
        <v>31</v>
      </c>
      <c r="B43" t="s">
        <v>32</v>
      </c>
      <c r="C43" t="s">
        <v>30</v>
      </c>
      <c r="D43" t="s">
        <v>27</v>
      </c>
      <c r="E43">
        <v>2024</v>
      </c>
      <c r="F43" s="11">
        <f>F42+SUM(F40:F41)</f>
        <v>1585</v>
      </c>
      <c r="L43" s="10">
        <f>SUM(L38:L41)</f>
        <v>0</v>
      </c>
      <c r="M43" s="10">
        <f>SUM(M38:M41)</f>
        <v>0</v>
      </c>
      <c r="N43" s="10">
        <f>SUM(N38:N41)</f>
        <v>1459.4554455445545</v>
      </c>
      <c r="O43" s="10">
        <f>SUM(O38:O41)</f>
        <v>125.54455445544555</v>
      </c>
      <c r="P43" s="10"/>
      <c r="Q43" s="12">
        <f>L43/$F$43</f>
        <v>0</v>
      </c>
      <c r="R43" s="12">
        <f t="shared" ref="R43:T43" si="9">M43/$F$43</f>
        <v>0</v>
      </c>
      <c r="S43" s="12">
        <f t="shared" si="9"/>
        <v>0.92079207920792083</v>
      </c>
      <c r="T43" s="12">
        <f t="shared" si="9"/>
        <v>7.9207920792079209E-2</v>
      </c>
    </row>
  </sheetData>
  <pageMargins left="0.7" right="0.7" top="0.75" bottom="0.75" header="0.3" footer="0.3"/>
  <headerFooter>
    <oddHeader>&amp;R&amp;"Calibri"&amp;12&amp;K000000 Unclassified - Non-Classifié&amp;1#_x000D_</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Esc at age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Dunne, Morgan (DFO/MPO)</dc:creator>
  <cp:lastModifiedBy>Bailey, Colin (DFO/MPO)</cp:lastModifiedBy>
  <dcterms:created xsi:type="dcterms:W3CDTF">2015-06-05T18:17:20Z</dcterms:created>
  <dcterms:modified xsi:type="dcterms:W3CDTF">2025-12-16T16:32:48Z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2025-07-23T19:55:37Z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a20eb8f0-4131-49b6-a4dc-e8f3e7d94677</vt:lpwstr>
  </property>
  <property fmtid="{D5CDD505-2E9C-101B-9397-08002B2CF9AE}" pid="8" name="MSIP_Label_4e6cdb53-fd15-486d-84de-c510e3a62203_ContentBits">
    <vt:lpwstr>1</vt:lpwstr>
  </property>
</Properties>
</file>